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CHEROKEE\Research\Thushan 2017 Summer\"/>
    </mc:Choice>
  </mc:AlternateContent>
  <bookViews>
    <workbookView xWindow="0" yWindow="0" windowWidth="19200" windowHeight="12660" firstSheet="2" activeTab="5"/>
    <workbookView minimized="1" xWindow="0" yWindow="0" windowWidth="19200" windowHeight="12660"/>
    <workbookView minimized="1" xWindow="0" yWindow="0" windowWidth="19200" windowHeight="11370" activeTab="5"/>
  </bookViews>
  <sheets>
    <sheet name="Pooling Data Map" sheetId="6" r:id="rId1"/>
    <sheet name="All Sections" sheetId="7" r:id="rId2"/>
    <sheet name="Data" sheetId="3" r:id="rId3"/>
    <sheet name="Clean Data" sheetId="2" r:id="rId4"/>
    <sheet name="Clean Map" sheetId="8" r:id="rId5"/>
    <sheet name="TrimmedMap" sheetId="13" r:id="rId6"/>
    <sheet name="TrimmedMap2" sheetId="10" r:id="rId7"/>
    <sheet name="Clean Map2" sheetId="11" r:id="rId8"/>
  </sheets>
  <functionGroups builtInGroupCount="18"/>
  <definedNames>
    <definedName name="_xlnm._FilterDatabase" localSheetId="3" hidden="1">'Clean Data'!$B$1:$O$1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42639.6337615741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4" i="7" l="1"/>
  <c r="M73" i="7"/>
  <c r="N73" i="7"/>
  <c r="CO17" i="6"/>
  <c r="CO20" i="6"/>
  <c r="CO18" i="6"/>
  <c r="CO6" i="6"/>
  <c r="CO8" i="6"/>
  <c r="CZ8" i="6"/>
  <c r="CO7" i="6"/>
  <c r="CZ7" i="6"/>
  <c r="CZ6" i="6"/>
</calcChain>
</file>

<file path=xl/sharedStrings.xml><?xml version="1.0" encoding="utf-8"?>
<sst xmlns="http://schemas.openxmlformats.org/spreadsheetml/2006/main" count="689" uniqueCount="192">
  <si>
    <t>Pooling Case #</t>
  </si>
  <si>
    <t>Status</t>
  </si>
  <si>
    <t>Order Number</t>
  </si>
  <si>
    <t>Operator</t>
  </si>
  <si>
    <t>County</t>
  </si>
  <si>
    <t>Coordinates</t>
  </si>
  <si>
    <t>Section</t>
  </si>
  <si>
    <t>Township</t>
  </si>
  <si>
    <t>Range</t>
  </si>
  <si>
    <t>Input Date</t>
  </si>
  <si>
    <t>Hearing/Continued/Order Date</t>
  </si>
  <si>
    <t>C2!!</t>
  </si>
  <si>
    <t>Order Status (Final?)</t>
  </si>
  <si>
    <t># of Respondents</t>
  </si>
  <si>
    <t>Paloma Rating</t>
  </si>
  <si>
    <t>08W</t>
  </si>
  <si>
    <t>07W</t>
  </si>
  <si>
    <t>POOLED SECTIONS IN THE PAST 5 YEARS</t>
  </si>
  <si>
    <t>Key:</t>
  </si>
  <si>
    <t>Kingfisher Pooled Sections:</t>
  </si>
  <si>
    <t>Unpooled Sections:</t>
  </si>
  <si>
    <t>Blaine Pooled Sections:</t>
  </si>
  <si>
    <t>Calculation:</t>
  </si>
  <si>
    <t>Canadian Pooled Sections:</t>
  </si>
  <si>
    <t xml:space="preserve">Township </t>
  </si>
  <si>
    <t xml:space="preserve">Range </t>
  </si>
  <si>
    <t>Acreage</t>
  </si>
  <si>
    <t xml:space="preserve">Pooling </t>
  </si>
  <si>
    <t>Operators</t>
  </si>
  <si>
    <t xml:space="preserve">Date of App/Order </t>
  </si>
  <si>
    <t xml:space="preserve">Well Name </t>
  </si>
  <si>
    <t xml:space="preserve">Well API </t>
  </si>
  <si>
    <t>11N</t>
  </si>
  <si>
    <t>06W</t>
  </si>
  <si>
    <t>Cimarex</t>
  </si>
  <si>
    <t>RADCLIFF~1-17H</t>
  </si>
  <si>
    <t>Payrock</t>
  </si>
  <si>
    <t>MEYER 1106</t>
  </si>
  <si>
    <t>10N</t>
  </si>
  <si>
    <t>Enervest</t>
  </si>
  <si>
    <t>GOOD FARMS #1-27</t>
  </si>
  <si>
    <t>RAMSEY #1</t>
  </si>
  <si>
    <t>05W</t>
  </si>
  <si>
    <t>Citizen</t>
  </si>
  <si>
    <t>OSBORN</t>
  </si>
  <si>
    <t xml:space="preserve">Citizen </t>
  </si>
  <si>
    <t xml:space="preserve">Berlin </t>
  </si>
  <si>
    <t>MCMAHAN 1A-7</t>
  </si>
  <si>
    <t>BARBOUR 12-10-7</t>
  </si>
  <si>
    <t>04W</t>
  </si>
  <si>
    <t xml:space="preserve">Charter Oak </t>
  </si>
  <si>
    <t>ARMADILLO 1-31</t>
  </si>
  <si>
    <t>12N</t>
  </si>
  <si>
    <t>MCKINNEY 1207</t>
  </si>
  <si>
    <t>PETERS</t>
  </si>
  <si>
    <t>09N</t>
  </si>
  <si>
    <t xml:space="preserve">Eagle </t>
  </si>
  <si>
    <t>JC 2-6</t>
  </si>
  <si>
    <t>13N</t>
  </si>
  <si>
    <t xml:space="preserve">Huffman </t>
  </si>
  <si>
    <t>TOY DARROW</t>
  </si>
  <si>
    <t>ANDERSON</t>
  </si>
  <si>
    <t>MEEKS #1-5</t>
  </si>
  <si>
    <t> 3505121838</t>
  </si>
  <si>
    <t>06N</t>
  </si>
  <si>
    <t>NFX</t>
  </si>
  <si>
    <t>WATKINS</t>
  </si>
  <si>
    <t>08N</t>
  </si>
  <si>
    <t>T W PEARCY #1-32</t>
  </si>
  <si>
    <t>07N</t>
  </si>
  <si>
    <t>GOSHORN</t>
  </si>
  <si>
    <t>JERRY</t>
  </si>
  <si>
    <t xml:space="preserve">FREEMAN 1-31 </t>
  </si>
  <si>
    <t>PAYNE TRUST 1-21D</t>
  </si>
  <si>
    <t>04N</t>
  </si>
  <si>
    <t xml:space="preserve">Vitruvian </t>
  </si>
  <si>
    <t xml:space="preserve">NFX </t>
  </si>
  <si>
    <t xml:space="preserve">Scoop </t>
  </si>
  <si>
    <t>Mid Continent</t>
  </si>
  <si>
    <t xml:space="preserve">Chaparral </t>
  </si>
  <si>
    <t>Scoop</t>
  </si>
  <si>
    <t xml:space="preserve">Devon </t>
  </si>
  <si>
    <t>OLIVER</t>
  </si>
  <si>
    <t xml:space="preserve">Gaedeke </t>
  </si>
  <si>
    <t xml:space="preserve">Cimarex </t>
  </si>
  <si>
    <t xml:space="preserve">Jones </t>
  </si>
  <si>
    <t>ROSEMARY</t>
  </si>
  <si>
    <t xml:space="preserve">WILLARD 1-9H (ITD) </t>
  </si>
  <si>
    <t>Consul</t>
  </si>
  <si>
    <t>Gaedeke</t>
  </si>
  <si>
    <t>7/2016.</t>
  </si>
  <si>
    <t xml:space="preserve">pool app acres </t>
  </si>
  <si>
    <t xml:space="preserve">pool app NMA </t>
  </si>
  <si>
    <t>TPR</t>
  </si>
  <si>
    <t xml:space="preserve">Marathon </t>
  </si>
  <si>
    <t>Casillas</t>
  </si>
  <si>
    <t>TRP</t>
  </si>
  <si>
    <t xml:space="preserve">Western </t>
  </si>
  <si>
    <t> 201603231</t>
  </si>
  <si>
    <t> 201701765</t>
  </si>
  <si>
    <t> 201702184</t>
  </si>
  <si>
    <t xml:space="preserve">201506225      201600065 </t>
  </si>
  <si>
    <t>NFX                 Scoop</t>
  </si>
  <si>
    <t>Apr-2017            Jan-2016</t>
  </si>
  <si>
    <t xml:space="preserve">201600879       201702386 </t>
  </si>
  <si>
    <t xml:space="preserve">Scoop           Citizen </t>
  </si>
  <si>
    <t>Mar-2016         May-2017</t>
  </si>
  <si>
    <t xml:space="preserve">201601378       201701149  </t>
  </si>
  <si>
    <t xml:space="preserve">Scoop              Jones </t>
  </si>
  <si>
    <t>Apr-2016           Feb-2017</t>
  </si>
  <si>
    <t xml:space="preserve">201601797      201702334  </t>
  </si>
  <si>
    <t>Chaparral           TPR</t>
  </si>
  <si>
    <t>May-2016           Apr-2017</t>
  </si>
  <si>
    <t xml:space="preserve">201603871      201702346 </t>
  </si>
  <si>
    <t>Gaedeke        Jones</t>
  </si>
  <si>
    <t>Sep-2016            Apr-2017</t>
  </si>
  <si>
    <t xml:space="preserve">201605562      201700472      201700856  </t>
  </si>
  <si>
    <t>Gaedeke         Marathon      Jones</t>
  </si>
  <si>
    <t>Nov-2016         Mar-2017          Feb-2017</t>
  </si>
  <si>
    <t xml:space="preserve">201605566      201701284 </t>
  </si>
  <si>
    <t>Nov-2016            Feb-2017</t>
  </si>
  <si>
    <t xml:space="preserve">201605711      201606065  </t>
  </si>
  <si>
    <t xml:space="preserve">Dec-5-2016      Dec-27-2016     </t>
  </si>
  <si>
    <t xml:space="preserve">201606104      201700044      201701177 </t>
  </si>
  <si>
    <t>TPR                          89 Energy       Jones</t>
  </si>
  <si>
    <t>Dec-2016           Jan-2017           Feb-2017</t>
  </si>
  <si>
    <t xml:space="preserve">201606204      201700849 </t>
  </si>
  <si>
    <t xml:space="preserve"> Gaedeke       Jones</t>
  </si>
  <si>
    <t>Jan-2017           Feb-2017</t>
  </si>
  <si>
    <t xml:space="preserve">201700274      201701371 </t>
  </si>
  <si>
    <t xml:space="preserve"> Marathon     Jones </t>
  </si>
  <si>
    <t>Jan-2017           Mar-2017</t>
  </si>
  <si>
    <t xml:space="preserve">201700507      201700636      201700637 </t>
  </si>
  <si>
    <t xml:space="preserve">TPR                   Eagle                 Eagle  </t>
  </si>
  <si>
    <t>Jan-2017           Feb-2017          Feb-2017</t>
  </si>
  <si>
    <t xml:space="preserve">201700600       201700927      201702885 </t>
  </si>
  <si>
    <t>Marathon          TPR                   Jones</t>
  </si>
  <si>
    <t>Jan-2017           Feb-2017         May-2017</t>
  </si>
  <si>
    <t xml:space="preserve">201700714       201701297 </t>
  </si>
  <si>
    <t>Jones                   TRP</t>
  </si>
  <si>
    <t>Feb-2017          Mar-2017</t>
  </si>
  <si>
    <t>201701016      201701265</t>
  </si>
  <si>
    <t xml:space="preserve">201701464      201702182 </t>
  </si>
  <si>
    <t xml:space="preserve">89 Energy       Jones </t>
  </si>
  <si>
    <t>Mar-2017           Apr-2017</t>
  </si>
  <si>
    <t xml:space="preserve">201702097       201702772 </t>
  </si>
  <si>
    <t xml:space="preserve">89 Energy       Jones  </t>
  </si>
  <si>
    <t>Apr-2017          May-2017</t>
  </si>
  <si>
    <t xml:space="preserve">201702192      201702426 </t>
  </si>
  <si>
    <t>TPR          Marathon</t>
  </si>
  <si>
    <t>Apr-2017</t>
  </si>
  <si>
    <t xml:space="preserve">201702448     201703021 </t>
  </si>
  <si>
    <t>Apr-2017           May-2017</t>
  </si>
  <si>
    <t xml:space="preserve">656179                     656425 </t>
  </si>
  <si>
    <t>Sep-19-2016    Sep-27-2016</t>
  </si>
  <si>
    <t>BLANKENSHIP</t>
  </si>
  <si>
    <t>C H KRUGER #27-1</t>
  </si>
  <si>
    <t>ORIS COMPTON #1-26</t>
  </si>
  <si>
    <t>BEROUSEK #1</t>
  </si>
  <si>
    <t>CHERNICKY #1</t>
  </si>
  <si>
    <t>WRIGHT #2</t>
  </si>
  <si>
    <t>KERR MCGEE #2</t>
  </si>
  <si>
    <t>BUDDY PHILLIPS</t>
  </si>
  <si>
    <t>MASOPUST #2-30</t>
  </si>
  <si>
    <t>BALL #19-1</t>
  </si>
  <si>
    <t>BILL MACH 3-A</t>
  </si>
  <si>
    <t> NOLIN #1-7</t>
  </si>
  <si>
    <t>WEDMAN 1-3</t>
  </si>
  <si>
    <t>CERVENY 1-36</t>
  </si>
  <si>
    <t>JOHN 1-29</t>
  </si>
  <si>
    <t> ANNETTE~1-23/26H</t>
  </si>
  <si>
    <t>HESTER #1</t>
  </si>
  <si>
    <t>CAMPBELL#1-3</t>
  </si>
  <si>
    <t>WRIGHT #1-36</t>
  </si>
  <si>
    <t>PRUEGERT #1-2</t>
  </si>
  <si>
    <t>WILKONSON 1-30</t>
  </si>
  <si>
    <t>HARTLEY #1-13</t>
  </si>
  <si>
    <t>FITZGERALD 1-19</t>
  </si>
  <si>
    <t>SHANNON 1-23</t>
  </si>
  <si>
    <t>KNIPPELMIER 1-18</t>
  </si>
  <si>
    <t>KASTNER 1-17</t>
  </si>
  <si>
    <t>STARKEY~#1-29</t>
  </si>
  <si>
    <t>MAYNARD 1-9</t>
  </si>
  <si>
    <t>BARNETT 34-1</t>
  </si>
  <si>
    <t> 3508730012</t>
  </si>
  <si>
    <t>HAYHURST~1-H</t>
  </si>
  <si>
    <t>087-21847</t>
  </si>
  <si>
    <t xml:space="preserve">Total </t>
  </si>
  <si>
    <t>North</t>
  </si>
  <si>
    <t>West</t>
  </si>
  <si>
    <t>#</t>
  </si>
  <si>
    <t>Clean 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</si>
</sst>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mmm\-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8A178"/>
        <bgColor indexed="64"/>
      </patternFill>
    </fill>
    <fill>
      <patternFill patternType="solid">
        <fgColor rgb="FFFFFF8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0848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3" borderId="1" xfId="0" applyFill="1" applyBorder="1"/>
    <xf numFmtId="0" fontId="0" fillId="0" borderId="1" xfId="0" applyBorder="1"/>
    <xf numFmtId="0" fontId="0" fillId="2" borderId="2" xfId="0" applyFill="1" applyBorder="1"/>
    <xf numFmtId="0" fontId="2" fillId="4" borderId="2" xfId="0" applyFont="1" applyFill="1" applyBorder="1"/>
    <xf numFmtId="0" fontId="1" fillId="4" borderId="2" xfId="0" applyFont="1" applyFill="1" applyBorder="1"/>
    <xf numFmtId="0" fontId="0" fillId="5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0" borderId="2" xfId="0" applyFill="1" applyBorder="1"/>
    <xf numFmtId="0" fontId="0" fillId="10" borderId="2" xfId="0" applyFill="1" applyBorder="1"/>
    <xf numFmtId="0" fontId="1" fillId="2" borderId="2" xfId="0" applyFont="1" applyFill="1" applyBorder="1"/>
    <xf numFmtId="0" fontId="4" fillId="0" borderId="0" xfId="0" applyFont="1" applyFill="1" applyBorder="1" applyAlignment="1">
      <alignment horizontal="center" vertical="center" wrapText="1"/>
    </xf>
    <xf numFmtId="4" fontId="4" fillId="0" borderId="0" xfId="1" applyNumberFormat="1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0" fillId="0" borderId="0" xfId="0" applyBorder="1" applyAlignment="1">
      <alignment wrapText="1"/>
    </xf>
    <xf numFmtId="0" fontId="0" fillId="11" borderId="0" xfId="0" applyFont="1" applyFill="1" applyBorder="1" applyAlignment="1">
      <alignment horizontal="center" vertical="center" wrapText="1"/>
    </xf>
    <xf numFmtId="4" fontId="0" fillId="11" borderId="0" xfId="1" applyNumberFormat="1" applyFont="1" applyFill="1" applyBorder="1" applyAlignment="1">
      <alignment horizontal="center" vertical="center" wrapText="1"/>
    </xf>
    <xf numFmtId="164" fontId="0" fillId="11" borderId="0" xfId="0" applyNumberFormat="1" applyFont="1" applyFill="1" applyBorder="1" applyAlignment="1">
      <alignment horizontal="center" vertical="center" wrapText="1"/>
    </xf>
    <xf numFmtId="0" fontId="0" fillId="11" borderId="0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4" fontId="0" fillId="0" borderId="0" xfId="1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4" fontId="0" fillId="0" borderId="0" xfId="0" applyNumberFormat="1" applyBorder="1" applyAlignment="1">
      <alignment wrapText="1"/>
    </xf>
    <xf numFmtId="0" fontId="0" fillId="11" borderId="0" xfId="0" applyFill="1" applyBorder="1" applyAlignment="1">
      <alignment wrapText="1"/>
    </xf>
    <xf numFmtId="17" fontId="0" fillId="0" borderId="0" xfId="0" applyNumberFormat="1" applyFont="1" applyFill="1" applyBorder="1" applyAlignment="1">
      <alignment horizontal="center" vertical="center" wrapText="1"/>
    </xf>
    <xf numFmtId="49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1" fillId="0" borderId="0" xfId="0" applyFont="1" applyFill="1" applyBorder="1" applyAlignment="1">
      <alignment horizontal="center" vertical="center" wrapText="1"/>
    </xf>
    <xf numFmtId="4" fontId="1" fillId="0" borderId="0" xfId="1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" fontId="0" fillId="0" borderId="0" xfId="1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wrapText="1"/>
    </xf>
    <xf numFmtId="0" fontId="0" fillId="12" borderId="0" xfId="0" applyFill="1"/>
  </cellXfs>
  <cellStyles count="2">
    <cellStyle name="Comma" xfId="1" builtinId="3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0</xdr:row>
      <xdr:rowOff>38100</xdr:rowOff>
    </xdr:from>
    <xdr:to>
      <xdr:col>38</xdr:col>
      <xdr:colOff>24740</xdr:colOff>
      <xdr:row>86</xdr:row>
      <xdr:rowOff>98961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9EAC8FFE-52D7-4C83-A2E6-0E809A342F43}"/>
            </a:ext>
          </a:extLst>
        </xdr:cNvPr>
        <xdr:cNvCxnSpPr/>
      </xdr:nvCxnSpPr>
      <xdr:spPr>
        <a:xfrm>
          <a:off x="7962900" y="38100"/>
          <a:ext cx="24740" cy="1649148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9525</xdr:colOff>
      <xdr:row>1</xdr:row>
      <xdr:rowOff>57150</xdr:rowOff>
    </xdr:from>
    <xdr:to>
      <xdr:col>26</xdr:col>
      <xdr:colOff>12371</xdr:colOff>
      <xdr:row>86</xdr:row>
      <xdr:rowOff>12370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7439C2ED-5A2E-4EEC-AE4F-4CBEA6A3EB6D}"/>
            </a:ext>
          </a:extLst>
        </xdr:cNvPr>
        <xdr:cNvCxnSpPr/>
      </xdr:nvCxnSpPr>
      <xdr:spPr>
        <a:xfrm>
          <a:off x="5457825" y="247650"/>
          <a:ext cx="2846" cy="161953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200025</xdr:colOff>
      <xdr:row>1</xdr:row>
      <xdr:rowOff>171450</xdr:rowOff>
    </xdr:from>
    <xdr:to>
      <xdr:col>32</xdr:col>
      <xdr:colOff>12370</xdr:colOff>
      <xdr:row>86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5F7526C-478E-4ACD-BBD5-B442BF545329}"/>
            </a:ext>
          </a:extLst>
        </xdr:cNvPr>
        <xdr:cNvCxnSpPr/>
      </xdr:nvCxnSpPr>
      <xdr:spPr>
        <a:xfrm>
          <a:off x="6696075" y="361950"/>
          <a:ext cx="21895" cy="160686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1</xdr:row>
      <xdr:rowOff>114300</xdr:rowOff>
    </xdr:from>
    <xdr:to>
      <xdr:col>20</xdr:col>
      <xdr:colOff>12370</xdr:colOff>
      <xdr:row>86</xdr:row>
      <xdr:rowOff>12370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D43A111-C9FF-4ED2-AA35-735BEE111C4E}"/>
            </a:ext>
          </a:extLst>
        </xdr:cNvPr>
        <xdr:cNvCxnSpPr/>
      </xdr:nvCxnSpPr>
      <xdr:spPr>
        <a:xfrm>
          <a:off x="4200525" y="304800"/>
          <a:ext cx="2845" cy="161381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0</xdr:row>
      <xdr:rowOff>152400</xdr:rowOff>
    </xdr:from>
    <xdr:to>
      <xdr:col>14</xdr:col>
      <xdr:colOff>9525</xdr:colOff>
      <xdr:row>85</xdr:row>
      <xdr:rowOff>173181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163D8F28-FE46-4737-B385-5E3BC9C9CA2D}"/>
            </a:ext>
          </a:extLst>
        </xdr:cNvPr>
        <xdr:cNvCxnSpPr/>
      </xdr:nvCxnSpPr>
      <xdr:spPr>
        <a:xfrm flipH="1">
          <a:off x="2933700" y="152400"/>
          <a:ext cx="9525" cy="1626090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197923</xdr:colOff>
      <xdr:row>1</xdr:row>
      <xdr:rowOff>19050</xdr:rowOff>
    </xdr:from>
    <xdr:to>
      <xdr:col>8</xdr:col>
      <xdr:colOff>0</xdr:colOff>
      <xdr:row>86</xdr:row>
      <xdr:rowOff>12370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E630A0D-AC4C-45F1-AAF5-EA6EBAFD8537}"/>
            </a:ext>
          </a:extLst>
        </xdr:cNvPr>
        <xdr:cNvCxnSpPr/>
      </xdr:nvCxnSpPr>
      <xdr:spPr>
        <a:xfrm flipH="1">
          <a:off x="1664773" y="209550"/>
          <a:ext cx="11627" cy="162334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0</xdr:colOff>
      <xdr:row>0</xdr:row>
      <xdr:rowOff>180975</xdr:rowOff>
    </xdr:from>
    <xdr:to>
      <xdr:col>44</xdr:col>
      <xdr:colOff>9525</xdr:colOff>
      <xdr:row>85</xdr:row>
      <xdr:rowOff>173181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2C6B6C2-B73B-4896-84A2-B44F61410DD0}"/>
            </a:ext>
          </a:extLst>
        </xdr:cNvPr>
        <xdr:cNvCxnSpPr/>
      </xdr:nvCxnSpPr>
      <xdr:spPr>
        <a:xfrm flipH="1">
          <a:off x="9220200" y="180975"/>
          <a:ext cx="9525" cy="1623233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1</xdr:row>
      <xdr:rowOff>28575</xdr:rowOff>
    </xdr:from>
    <xdr:to>
      <xdr:col>50</xdr:col>
      <xdr:colOff>24741</xdr:colOff>
      <xdr:row>86</xdr:row>
      <xdr:rowOff>24740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D17E1C80-FF55-433E-9626-40847A65063B}"/>
            </a:ext>
          </a:extLst>
        </xdr:cNvPr>
        <xdr:cNvCxnSpPr/>
      </xdr:nvCxnSpPr>
      <xdr:spPr>
        <a:xfrm>
          <a:off x="10487025" y="219075"/>
          <a:ext cx="15216" cy="1623629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0</xdr:row>
      <xdr:rowOff>66675</xdr:rowOff>
    </xdr:from>
    <xdr:to>
      <xdr:col>56</xdr:col>
      <xdr:colOff>9525</xdr:colOff>
      <xdr:row>87</xdr:row>
      <xdr:rowOff>19050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83B8B3F-11CE-4598-8E04-2F592338267E}"/>
            </a:ext>
          </a:extLst>
        </xdr:cNvPr>
        <xdr:cNvCxnSpPr/>
      </xdr:nvCxnSpPr>
      <xdr:spPr>
        <a:xfrm>
          <a:off x="11734800" y="66675"/>
          <a:ext cx="9525" cy="1657350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12370</xdr:colOff>
      <xdr:row>0</xdr:row>
      <xdr:rowOff>171450</xdr:rowOff>
    </xdr:from>
    <xdr:to>
      <xdr:col>62</xdr:col>
      <xdr:colOff>19050</xdr:colOff>
      <xdr:row>86</xdr:row>
      <xdr:rowOff>123701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47632FD0-932E-40CE-9694-02C8AC3F986E}"/>
            </a:ext>
          </a:extLst>
        </xdr:cNvPr>
        <xdr:cNvCxnSpPr/>
      </xdr:nvCxnSpPr>
      <xdr:spPr>
        <a:xfrm flipH="1">
          <a:off x="13004470" y="171450"/>
          <a:ext cx="6680" cy="1638287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12369</xdr:colOff>
      <xdr:row>1</xdr:row>
      <xdr:rowOff>174295</xdr:rowOff>
    </xdr:from>
    <xdr:to>
      <xdr:col>68</xdr:col>
      <xdr:colOff>37109</xdr:colOff>
      <xdr:row>86</xdr:row>
      <xdr:rowOff>111331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BFA23CDB-0587-4800-87E5-93856D10D486}"/>
            </a:ext>
          </a:extLst>
        </xdr:cNvPr>
        <xdr:cNvCxnSpPr/>
      </xdr:nvCxnSpPr>
      <xdr:spPr>
        <a:xfrm>
          <a:off x="14261769" y="364795"/>
          <a:ext cx="24740" cy="1617716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74</xdr:col>
      <xdr:colOff>0</xdr:colOff>
      <xdr:row>8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B47E4D28-4331-41FC-8907-4AB122AF91AE}"/>
            </a:ext>
          </a:extLst>
        </xdr:cNvPr>
        <xdr:cNvCxnSpPr/>
      </xdr:nvCxnSpPr>
      <xdr:spPr>
        <a:xfrm>
          <a:off x="0" y="1571625"/>
          <a:ext cx="155067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38</xdr:row>
      <xdr:rowOff>0</xdr:rowOff>
    </xdr:from>
    <xdr:to>
      <xdr:col>74</xdr:col>
      <xdr:colOff>37111</xdr:colOff>
      <xdr:row>38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69425798-C1C5-4DD6-BB5D-4905E86D9D0E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44</xdr:row>
      <xdr:rowOff>9525</xdr:rowOff>
    </xdr:from>
    <xdr:to>
      <xdr:col>74</xdr:col>
      <xdr:colOff>37111</xdr:colOff>
      <xdr:row>44</xdr:row>
      <xdr:rowOff>12370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B817D601-8D2D-42B7-8136-7BD8ED52E398}"/>
            </a:ext>
          </a:extLst>
        </xdr:cNvPr>
        <xdr:cNvCxnSpPr/>
      </xdr:nvCxnSpPr>
      <xdr:spPr>
        <a:xfrm>
          <a:off x="38100" y="8439150"/>
          <a:ext cx="15505711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50</xdr:row>
      <xdr:rowOff>12371</xdr:rowOff>
    </xdr:from>
    <xdr:to>
      <xdr:col>74</xdr:col>
      <xdr:colOff>37111</xdr:colOff>
      <xdr:row>50</xdr:row>
      <xdr:rowOff>19050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87E429AC-2A79-4307-BF80-9B1984FBAE73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74</xdr:col>
      <xdr:colOff>24741</xdr:colOff>
      <xdr:row>32</xdr:row>
      <xdr:rowOff>9525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453B6D3-08EB-4084-8638-CA0D4C47ABF9}"/>
            </a:ext>
          </a:extLst>
        </xdr:cNvPr>
        <xdr:cNvCxnSpPr/>
      </xdr:nvCxnSpPr>
      <xdr:spPr>
        <a:xfrm flipV="1">
          <a:off x="0" y="6143625"/>
          <a:ext cx="1553144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123825</xdr:colOff>
      <xdr:row>25</xdr:row>
      <xdr:rowOff>180975</xdr:rowOff>
    </xdr:from>
    <xdr:to>
      <xdr:col>74</xdr:col>
      <xdr:colOff>0</xdr:colOff>
      <xdr:row>26</xdr:row>
      <xdr:rowOff>12370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EC3CBC4B-857C-48A4-AEF6-30C4882ED808}"/>
            </a:ext>
          </a:extLst>
        </xdr:cNvPr>
        <xdr:cNvCxnSpPr/>
      </xdr:nvCxnSpPr>
      <xdr:spPr>
        <a:xfrm>
          <a:off x="333375" y="4991100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19</xdr:row>
      <xdr:rowOff>180975</xdr:rowOff>
    </xdr:from>
    <xdr:to>
      <xdr:col>74</xdr:col>
      <xdr:colOff>0</xdr:colOff>
      <xdr:row>20</xdr:row>
      <xdr:rowOff>12370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84A25AC-C167-4F80-84F4-42884D378EB7}"/>
            </a:ext>
          </a:extLst>
        </xdr:cNvPr>
        <xdr:cNvCxnSpPr/>
      </xdr:nvCxnSpPr>
      <xdr:spPr>
        <a:xfrm>
          <a:off x="342900" y="3848100"/>
          <a:ext cx="15163800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173182</xdr:rowOff>
    </xdr:from>
    <xdr:to>
      <xdr:col>74</xdr:col>
      <xdr:colOff>12371</xdr:colOff>
      <xdr:row>14</xdr:row>
      <xdr:rowOff>24741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2F5389F8-F236-4D25-9DEF-632CEFF7E616}"/>
            </a:ext>
          </a:extLst>
        </xdr:cNvPr>
        <xdr:cNvCxnSpPr/>
      </xdr:nvCxnSpPr>
      <xdr:spPr>
        <a:xfrm>
          <a:off x="419100" y="2697307"/>
          <a:ext cx="15099971" cy="420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70037</xdr:colOff>
      <xdr:row>55</xdr:row>
      <xdr:rowOff>182095</xdr:rowOff>
    </xdr:from>
    <xdr:to>
      <xdr:col>74</xdr:col>
      <xdr:colOff>24741</xdr:colOff>
      <xdr:row>56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3B42ECFC-F1B4-4FB9-B4A2-CFC59F786191}"/>
            </a:ext>
          </a:extLst>
        </xdr:cNvPr>
        <xdr:cNvCxnSpPr/>
      </xdr:nvCxnSpPr>
      <xdr:spPr>
        <a:xfrm>
          <a:off x="279587" y="10707220"/>
          <a:ext cx="15251854" cy="840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62</xdr:row>
      <xdr:rowOff>0</xdr:rowOff>
    </xdr:from>
    <xdr:to>
      <xdr:col>74</xdr:col>
      <xdr:colOff>12371</xdr:colOff>
      <xdr:row>62</xdr:row>
      <xdr:rowOff>9525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32BCB735-B584-406B-915E-0F8E6FF81831}"/>
            </a:ext>
          </a:extLst>
        </xdr:cNvPr>
        <xdr:cNvCxnSpPr/>
      </xdr:nvCxnSpPr>
      <xdr:spPr>
        <a:xfrm flipV="1">
          <a:off x="190500" y="11858625"/>
          <a:ext cx="1532857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68</xdr:row>
      <xdr:rowOff>0</xdr:rowOff>
    </xdr:from>
    <xdr:to>
      <xdr:col>74</xdr:col>
      <xdr:colOff>61851</xdr:colOff>
      <xdr:row>68</xdr:row>
      <xdr:rowOff>19050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E7F2BC16-CD02-4B6D-BED2-5CB14C1FBD8D}"/>
            </a:ext>
          </a:extLst>
        </xdr:cNvPr>
        <xdr:cNvCxnSpPr/>
      </xdr:nvCxnSpPr>
      <xdr:spPr>
        <a:xfrm flipV="1">
          <a:off x="342900" y="13001625"/>
          <a:ext cx="15225651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73</xdr:row>
      <xdr:rowOff>180975</xdr:rowOff>
    </xdr:from>
    <xdr:to>
      <xdr:col>74</xdr:col>
      <xdr:colOff>61851</xdr:colOff>
      <xdr:row>74</xdr:row>
      <xdr:rowOff>12370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460A31B7-D283-488D-BE4A-34AB1DD90ABA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80</xdr:row>
      <xdr:rowOff>9525</xdr:rowOff>
    </xdr:from>
    <xdr:to>
      <xdr:col>74</xdr:col>
      <xdr:colOff>61851</xdr:colOff>
      <xdr:row>80</xdr:row>
      <xdr:rowOff>12370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EEFF8CEC-0282-46D8-86CB-EBD6E120712F}"/>
            </a:ext>
          </a:extLst>
        </xdr:cNvPr>
        <xdr:cNvCxnSpPr/>
      </xdr:nvCxnSpPr>
      <xdr:spPr>
        <a:xfrm>
          <a:off x="9525" y="15297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203948</xdr:colOff>
      <xdr:row>1</xdr:row>
      <xdr:rowOff>160812</xdr:rowOff>
    </xdr:from>
    <xdr:to>
      <xdr:col>56</xdr:col>
      <xdr:colOff>24740</xdr:colOff>
      <xdr:row>86</xdr:row>
      <xdr:rowOff>179854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8EDB7A09-816D-414A-AB58-6574D90D3476}"/>
            </a:ext>
          </a:extLst>
        </xdr:cNvPr>
        <xdr:cNvCxnSpPr/>
      </xdr:nvCxnSpPr>
      <xdr:spPr>
        <a:xfrm flipH="1">
          <a:off x="11729198" y="351312"/>
          <a:ext cx="30342" cy="1625916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123702</xdr:colOff>
      <xdr:row>7</xdr:row>
      <xdr:rowOff>175657</xdr:rowOff>
    </xdr:from>
    <xdr:to>
      <xdr:col>62</xdr:col>
      <xdr:colOff>12370</xdr:colOff>
      <xdr:row>8</xdr:row>
      <xdr:rowOff>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365BEF2B-C8B3-4BE7-B9FB-C32D55B62319}"/>
            </a:ext>
          </a:extLst>
        </xdr:cNvPr>
        <xdr:cNvCxnSpPr/>
      </xdr:nvCxnSpPr>
      <xdr:spPr>
        <a:xfrm>
          <a:off x="1590552" y="1556782"/>
          <a:ext cx="11413918" cy="148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12369</xdr:colOff>
      <xdr:row>7</xdr:row>
      <xdr:rowOff>111331</xdr:rowOff>
    </xdr:from>
    <xdr:to>
      <xdr:col>62</xdr:col>
      <xdr:colOff>12369</xdr:colOff>
      <xdr:row>86</xdr:row>
      <xdr:rowOff>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AD0349E5-DF93-4D23-B7B3-A66F9A39FBB4}"/>
            </a:ext>
          </a:extLst>
        </xdr:cNvPr>
        <xdr:cNvCxnSpPr/>
      </xdr:nvCxnSpPr>
      <xdr:spPr>
        <a:xfrm>
          <a:off x="13004469" y="1492456"/>
          <a:ext cx="0" cy="1493816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16328</xdr:colOff>
      <xdr:row>7</xdr:row>
      <xdr:rowOff>115290</xdr:rowOff>
    </xdr:from>
    <xdr:to>
      <xdr:col>8</xdr:col>
      <xdr:colOff>16328</xdr:colOff>
      <xdr:row>86</xdr:row>
      <xdr:rowOff>3959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21A3A6B1-CF6D-4594-B6FD-26026C0EAA23}"/>
            </a:ext>
          </a:extLst>
        </xdr:cNvPr>
        <xdr:cNvCxnSpPr/>
      </xdr:nvCxnSpPr>
      <xdr:spPr>
        <a:xfrm>
          <a:off x="1692728" y="1496415"/>
          <a:ext cx="0" cy="1493816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20286</xdr:colOff>
      <xdr:row>62</xdr:row>
      <xdr:rowOff>12370</xdr:rowOff>
    </xdr:from>
    <xdr:to>
      <xdr:col>38</xdr:col>
      <xdr:colOff>24740</xdr:colOff>
      <xdr:row>86</xdr:row>
      <xdr:rowOff>20287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7AD8AB4D-866D-4B07-8C72-A1A827C13D7D}"/>
            </a:ext>
          </a:extLst>
        </xdr:cNvPr>
        <xdr:cNvCxnSpPr/>
      </xdr:nvCxnSpPr>
      <xdr:spPr>
        <a:xfrm flipH="1">
          <a:off x="7983186" y="11870995"/>
          <a:ext cx="4454" cy="4579917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190007</xdr:colOff>
      <xdr:row>8</xdr:row>
      <xdr:rowOff>-1</xdr:rowOff>
    </xdr:from>
    <xdr:to>
      <xdr:col>32</xdr:col>
      <xdr:colOff>24740</xdr:colOff>
      <xdr:row>37</xdr:row>
      <xdr:rowOff>148442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16B36533-22CA-476E-B82E-3C150E700C87}"/>
            </a:ext>
          </a:extLst>
        </xdr:cNvPr>
        <xdr:cNvCxnSpPr/>
      </xdr:nvCxnSpPr>
      <xdr:spPr>
        <a:xfrm>
          <a:off x="6686057" y="1571624"/>
          <a:ext cx="44283" cy="56729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181099</xdr:rowOff>
    </xdr:from>
    <xdr:to>
      <xdr:col>10</xdr:col>
      <xdr:colOff>37111</xdr:colOff>
      <xdr:row>8</xdr:row>
      <xdr:rowOff>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5C53ACE2-D7D3-44C9-940E-6D7B7F7DF3BA}"/>
            </a:ext>
          </a:extLst>
        </xdr:cNvPr>
        <xdr:cNvCxnSpPr/>
      </xdr:nvCxnSpPr>
      <xdr:spPr>
        <a:xfrm flipH="1" flipV="1">
          <a:off x="0" y="1562224"/>
          <a:ext cx="2132611" cy="940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31</xdr:row>
      <xdr:rowOff>173182</xdr:rowOff>
    </xdr:from>
    <xdr:to>
      <xdr:col>8</xdr:col>
      <xdr:colOff>24740</xdr:colOff>
      <xdr:row>31</xdr:row>
      <xdr:rowOff>173183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F6662A84-C4D5-4886-AAC2-33FF78F84B9E}"/>
            </a:ext>
          </a:extLst>
        </xdr:cNvPr>
        <xdr:cNvCxnSpPr/>
      </xdr:nvCxnSpPr>
      <xdr:spPr>
        <a:xfrm flipH="1">
          <a:off x="1" y="6126307"/>
          <a:ext cx="1701139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197923</xdr:colOff>
      <xdr:row>37</xdr:row>
      <xdr:rowOff>173182</xdr:rowOff>
    </xdr:from>
    <xdr:to>
      <xdr:col>62</xdr:col>
      <xdr:colOff>49480</xdr:colOff>
      <xdr:row>38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C918E2DD-BA34-4028-A323-C02E39406EBC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12371</xdr:colOff>
      <xdr:row>37</xdr:row>
      <xdr:rowOff>145597</xdr:rowOff>
    </xdr:from>
    <xdr:to>
      <xdr:col>26</xdr:col>
      <xdr:colOff>13360</xdr:colOff>
      <xdr:row>62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9D0FFD60-8CC7-45BB-AF51-98C6DDE6BBC6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173183</xdr:colOff>
      <xdr:row>61</xdr:row>
      <xdr:rowOff>173181</xdr:rowOff>
    </xdr:from>
    <xdr:to>
      <xdr:col>38</xdr:col>
      <xdr:colOff>74221</xdr:colOff>
      <xdr:row>62</xdr:row>
      <xdr:rowOff>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73DAB5D-B21E-4197-A857-A74549F1FEBB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8186</xdr:colOff>
      <xdr:row>61</xdr:row>
      <xdr:rowOff>120244</xdr:rowOff>
    </xdr:from>
    <xdr:to>
      <xdr:col>68</xdr:col>
      <xdr:colOff>102089</xdr:colOff>
      <xdr:row>68</xdr:row>
      <xdr:rowOff>162563</xdr:rowOff>
    </xdr:to>
    <xdr:sp macro="" textlink="">
      <xdr:nvSpPr>
        <xdr:cNvPr id="37" name="Freeform: Shape 36">
          <a:extLst>
            <a:ext uri="{FF2B5EF4-FFF2-40B4-BE49-F238E27FC236}">
              <a16:creationId xmlns:a16="http://schemas.microsoft.com/office/drawing/2014/main" id="{63822E16-4AF9-47D2-A827-D8F7504B1865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148442</xdr:colOff>
      <xdr:row>50</xdr:row>
      <xdr:rowOff>12371</xdr:rowOff>
    </xdr:from>
    <xdr:to>
      <xdr:col>26</xdr:col>
      <xdr:colOff>12371</xdr:colOff>
      <xdr:row>50</xdr:row>
      <xdr:rowOff>12371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394150D8-8E8F-4C12-A49C-C6D82EE9DA52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160812</xdr:colOff>
      <xdr:row>22</xdr:row>
      <xdr:rowOff>123701</xdr:rowOff>
    </xdr:from>
    <xdr:ext cx="1724831" cy="718466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53D40E36-DC5E-4C8C-BD57-A0FBB4AE641B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39</xdr:col>
      <xdr:colOff>21113</xdr:colOff>
      <xdr:row>22</xdr:row>
      <xdr:rowOff>66551</xdr:rowOff>
    </xdr:from>
    <xdr:ext cx="2744021" cy="718466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EE6D998E-BF8E-4C68-A044-D121EE0AE9C6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38</xdr:col>
      <xdr:colOff>107827</xdr:colOff>
      <xdr:row>47</xdr:row>
      <xdr:rowOff>29379</xdr:rowOff>
    </xdr:from>
    <xdr:ext cx="2524665" cy="718466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4156A263-0817-43A9-BBEC-8F8F6D9BD7A9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12</xdr:col>
      <xdr:colOff>111332</xdr:colOff>
      <xdr:row>64</xdr:row>
      <xdr:rowOff>24740</xdr:rowOff>
    </xdr:from>
    <xdr:ext cx="1760610" cy="718466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F5B52F63-2ABB-4423-8028-956753260915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44</xdr:col>
      <xdr:colOff>119213</xdr:colOff>
      <xdr:row>76</xdr:row>
      <xdr:rowOff>113907</xdr:rowOff>
    </xdr:from>
    <xdr:ext cx="1701043" cy="718466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47FA8C2C-F730-4BC2-9953-BC422CB90C7D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2</xdr:col>
      <xdr:colOff>185552</xdr:colOff>
      <xdr:row>9</xdr:row>
      <xdr:rowOff>136071</xdr:rowOff>
    </xdr:from>
    <xdr:ext cx="784510" cy="280205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6989F99A-7CE7-4F09-BB67-3800D4288207}"/>
            </a:ext>
          </a:extLst>
        </xdr:cNvPr>
        <xdr:cNvSpPr txBox="1"/>
      </xdr:nvSpPr>
      <xdr:spPr>
        <a:xfrm>
          <a:off x="604652" y="189819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9</xdr:col>
      <xdr:colOff>41068</xdr:colOff>
      <xdr:row>9</xdr:row>
      <xdr:rowOff>152399</xdr:rowOff>
    </xdr:from>
    <xdr:ext cx="784510" cy="280205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77C3CDF6-D556-4E57-99FE-5D5BFB410EB8}"/>
            </a:ext>
          </a:extLst>
        </xdr:cNvPr>
        <xdr:cNvSpPr txBox="1"/>
      </xdr:nvSpPr>
      <xdr:spPr>
        <a:xfrm>
          <a:off x="1927018" y="191452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21</xdr:col>
      <xdr:colOff>45027</xdr:colOff>
      <xdr:row>9</xdr:row>
      <xdr:rowOff>168728</xdr:rowOff>
    </xdr:from>
    <xdr:ext cx="784510" cy="280205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333813FC-3C1A-4E0E-A678-5ED5D1325F65}"/>
            </a:ext>
          </a:extLst>
        </xdr:cNvPr>
        <xdr:cNvSpPr txBox="1"/>
      </xdr:nvSpPr>
      <xdr:spPr>
        <a:xfrm>
          <a:off x="4445577" y="19308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27</xdr:col>
      <xdr:colOff>24245</xdr:colOff>
      <xdr:row>9</xdr:row>
      <xdr:rowOff>160316</xdr:rowOff>
    </xdr:from>
    <xdr:ext cx="784510" cy="280205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D40952FF-810E-4C5E-87DA-D9CB27593944}"/>
            </a:ext>
          </a:extLst>
        </xdr:cNvPr>
        <xdr:cNvSpPr txBox="1"/>
      </xdr:nvSpPr>
      <xdr:spPr>
        <a:xfrm>
          <a:off x="5682095" y="19224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56</xdr:col>
      <xdr:colOff>151904</xdr:colOff>
      <xdr:row>9</xdr:row>
      <xdr:rowOff>176645</xdr:rowOff>
    </xdr:from>
    <xdr:ext cx="706540" cy="280205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8FE04424-3B2D-47A0-8830-3FB47AAB0BFE}"/>
            </a:ext>
          </a:extLst>
        </xdr:cNvPr>
        <xdr:cNvSpPr txBox="1"/>
      </xdr:nvSpPr>
      <xdr:spPr>
        <a:xfrm>
          <a:off x="11886704" y="193877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</xdr:col>
      <xdr:colOff>168234</xdr:colOff>
      <xdr:row>15</xdr:row>
      <xdr:rowOff>131124</xdr:rowOff>
    </xdr:from>
    <xdr:ext cx="784510" cy="468077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CF2AAD82-E584-46EB-AC57-771D131726B1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33</xdr:col>
      <xdr:colOff>36120</xdr:colOff>
      <xdr:row>9</xdr:row>
      <xdr:rowOff>159822</xdr:rowOff>
    </xdr:from>
    <xdr:ext cx="706540" cy="280205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C26D2124-CCB1-42EA-9250-C1055A6D6DD1}"/>
            </a:ext>
          </a:extLst>
        </xdr:cNvPr>
        <xdr:cNvSpPr txBox="1"/>
      </xdr:nvSpPr>
      <xdr:spPr>
        <a:xfrm>
          <a:off x="6951270" y="192194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50</xdr:col>
      <xdr:colOff>151410</xdr:colOff>
      <xdr:row>9</xdr:row>
      <xdr:rowOff>163780</xdr:rowOff>
    </xdr:from>
    <xdr:ext cx="706540" cy="280205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A5B39511-68E4-4112-9DFD-3517808EEF44}"/>
            </a:ext>
          </a:extLst>
        </xdr:cNvPr>
        <xdr:cNvSpPr txBox="1"/>
      </xdr:nvSpPr>
      <xdr:spPr>
        <a:xfrm>
          <a:off x="10628910" y="1925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44</xdr:col>
      <xdr:colOff>204849</xdr:colOff>
      <xdr:row>10</xdr:row>
      <xdr:rowOff>6927</xdr:rowOff>
    </xdr:from>
    <xdr:ext cx="706540" cy="28020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741D34D0-BD03-479F-A8E1-57FC1AB8C70C}"/>
            </a:ext>
          </a:extLst>
        </xdr:cNvPr>
        <xdr:cNvSpPr txBox="1"/>
      </xdr:nvSpPr>
      <xdr:spPr>
        <a:xfrm>
          <a:off x="9425049" y="19595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39</xdr:col>
      <xdr:colOff>23256</xdr:colOff>
      <xdr:row>9</xdr:row>
      <xdr:rowOff>159327</xdr:rowOff>
    </xdr:from>
    <xdr:ext cx="706540" cy="280205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D7C0853A-894E-4B68-A5D0-E1569BF803F8}"/>
            </a:ext>
          </a:extLst>
        </xdr:cNvPr>
        <xdr:cNvSpPr txBox="1"/>
      </xdr:nvSpPr>
      <xdr:spPr>
        <a:xfrm>
          <a:off x="8195706" y="19214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15</xdr:col>
      <xdr:colOff>51955</xdr:colOff>
      <xdr:row>9</xdr:row>
      <xdr:rowOff>150915</xdr:rowOff>
    </xdr:from>
    <xdr:ext cx="784510" cy="280205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A25BF3E2-F2C8-43B2-A009-510A31549C48}"/>
            </a:ext>
          </a:extLst>
        </xdr:cNvPr>
        <xdr:cNvSpPr txBox="1"/>
      </xdr:nvSpPr>
      <xdr:spPr>
        <a:xfrm>
          <a:off x="3195205" y="19130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32</xdr:col>
      <xdr:colOff>172192</xdr:colOff>
      <xdr:row>15</xdr:row>
      <xdr:rowOff>122712</xdr:rowOff>
    </xdr:from>
    <xdr:ext cx="706540" cy="468077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12F51EB-68E9-4010-BF60-F2B48ACF8700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101930</xdr:colOff>
      <xdr:row>15</xdr:row>
      <xdr:rowOff>139040</xdr:rowOff>
    </xdr:from>
    <xdr:ext cx="784510" cy="468077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A103BFD8-A2F2-4F26-B828-811349EF9874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180109</xdr:colOff>
      <xdr:row>15</xdr:row>
      <xdr:rowOff>155369</xdr:rowOff>
    </xdr:from>
    <xdr:ext cx="706540" cy="468077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77E2CF10-ED3A-4C17-A948-E434BD6D007F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26</xdr:col>
      <xdr:colOff>122217</xdr:colOff>
      <xdr:row>15</xdr:row>
      <xdr:rowOff>134586</xdr:rowOff>
    </xdr:from>
    <xdr:ext cx="784510" cy="468077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3C3C9F14-2C61-43A8-AD09-14C53ED17DEE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45</xdr:col>
      <xdr:colOff>2474</xdr:colOff>
      <xdr:row>15</xdr:row>
      <xdr:rowOff>138545</xdr:rowOff>
    </xdr:from>
    <xdr:ext cx="706540" cy="468077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FB5E4D83-CA3D-46F9-A28B-B864988E4B2F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167244</xdr:colOff>
      <xdr:row>15</xdr:row>
      <xdr:rowOff>142504</xdr:rowOff>
    </xdr:from>
    <xdr:ext cx="784510" cy="468077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C679FAC-64AB-4FAF-827B-6C97B91CB9B0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8</xdr:col>
      <xdr:colOff>146461</xdr:colOff>
      <xdr:row>15</xdr:row>
      <xdr:rowOff>121722</xdr:rowOff>
    </xdr:from>
    <xdr:ext cx="784510" cy="468077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355F46A2-0D64-4F0A-A075-13E4740FCF5E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204354</xdr:colOff>
      <xdr:row>15</xdr:row>
      <xdr:rowOff>142504</xdr:rowOff>
    </xdr:from>
    <xdr:ext cx="706540" cy="468077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2376FFFF-FBDE-420B-A4F6-BFE56BD7B42C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195941</xdr:colOff>
      <xdr:row>15</xdr:row>
      <xdr:rowOff>146462</xdr:rowOff>
    </xdr:from>
    <xdr:ext cx="706540" cy="468077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9653FC97-F2D6-4509-93F5-72D03F57D63D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205344</xdr:colOff>
      <xdr:row>21</xdr:row>
      <xdr:rowOff>131124</xdr:rowOff>
    </xdr:from>
    <xdr:ext cx="784510" cy="468077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B4AF1A8D-6EB6-494B-A18B-B4FF200B458C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32</xdr:col>
      <xdr:colOff>196932</xdr:colOff>
      <xdr:row>21</xdr:row>
      <xdr:rowOff>147452</xdr:rowOff>
    </xdr:from>
    <xdr:ext cx="706540" cy="468077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8D30206C-5050-496D-A4A2-E198AFD4D136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27</xdr:col>
      <xdr:colOff>2968</xdr:colOff>
      <xdr:row>21</xdr:row>
      <xdr:rowOff>151411</xdr:rowOff>
    </xdr:from>
    <xdr:ext cx="784510" cy="468077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34BB1455-E543-4388-BC57-956C5932B9E2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192479</xdr:colOff>
      <xdr:row>21</xdr:row>
      <xdr:rowOff>142999</xdr:rowOff>
    </xdr:from>
    <xdr:ext cx="784510" cy="468077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60F621F-30FB-4F6A-8404-63D7AD8894F4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171697</xdr:colOff>
      <xdr:row>21</xdr:row>
      <xdr:rowOff>146958</xdr:rowOff>
    </xdr:from>
    <xdr:ext cx="784510" cy="468077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FA05BD57-1749-4FCE-99CE-D70CCB415CCC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9</xdr:col>
      <xdr:colOff>2473</xdr:colOff>
      <xdr:row>21</xdr:row>
      <xdr:rowOff>126176</xdr:rowOff>
    </xdr:from>
    <xdr:ext cx="784510" cy="468077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7C82E42E-D4BD-49C1-88FF-4C06201FE5D0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200891</xdr:colOff>
      <xdr:row>21</xdr:row>
      <xdr:rowOff>139040</xdr:rowOff>
    </xdr:from>
    <xdr:ext cx="706540" cy="468077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E807C4D3-3732-4029-9E92-ABD53589DD1D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44</xdr:col>
      <xdr:colOff>192480</xdr:colOff>
      <xdr:row>21</xdr:row>
      <xdr:rowOff>142999</xdr:rowOff>
    </xdr:from>
    <xdr:ext cx="706540" cy="468077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E9FD8259-43A6-4296-BE86-B6187CAA14CB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158090</xdr:colOff>
      <xdr:row>21</xdr:row>
      <xdr:rowOff>119125</xdr:rowOff>
    </xdr:from>
    <xdr:ext cx="706540" cy="468077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C889E98F-D67B-4296-A467-E18380F9C93E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197922</xdr:colOff>
      <xdr:row>21</xdr:row>
      <xdr:rowOff>148441</xdr:rowOff>
    </xdr:from>
    <xdr:ext cx="706540" cy="468077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5DA24BC-71C5-432F-8595-D67E76FB1587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168233</xdr:colOff>
      <xdr:row>27</xdr:row>
      <xdr:rowOff>143494</xdr:rowOff>
    </xdr:from>
    <xdr:ext cx="784510" cy="280205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11C5D429-C70E-43B0-9201-B9FF810BFAD9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33</xdr:col>
      <xdr:colOff>60859</xdr:colOff>
      <xdr:row>27</xdr:row>
      <xdr:rowOff>122711</xdr:rowOff>
    </xdr:from>
    <xdr:ext cx="706540" cy="280205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512DAB8F-0836-4CA3-B41E-906680A9E351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27</xdr:col>
      <xdr:colOff>15337</xdr:colOff>
      <xdr:row>27</xdr:row>
      <xdr:rowOff>151411</xdr:rowOff>
    </xdr:from>
    <xdr:ext cx="784510" cy="28020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1F00F843-B5F6-4297-97A6-CEA650E58C84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21</xdr:col>
      <xdr:colOff>31666</xdr:colOff>
      <xdr:row>27</xdr:row>
      <xdr:rowOff>167739</xdr:rowOff>
    </xdr:from>
    <xdr:ext cx="784510" cy="280205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739EFD01-3B98-4C78-B633-723733C1E132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14</xdr:col>
      <xdr:colOff>196436</xdr:colOff>
      <xdr:row>27</xdr:row>
      <xdr:rowOff>159328</xdr:rowOff>
    </xdr:from>
    <xdr:ext cx="784510" cy="280205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745C5AC5-8B84-4431-93B0-F8F697CEE5BC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8</xdr:col>
      <xdr:colOff>188024</xdr:colOff>
      <xdr:row>27</xdr:row>
      <xdr:rowOff>150916</xdr:rowOff>
    </xdr:from>
    <xdr:ext cx="784510" cy="280205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F5508E57-AF0F-4905-BE67-20F538FD45E0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50</xdr:col>
      <xdr:colOff>176149</xdr:colOff>
      <xdr:row>27</xdr:row>
      <xdr:rowOff>163780</xdr:rowOff>
    </xdr:from>
    <xdr:ext cx="706540" cy="28020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6EABA1F-56DE-43A5-B643-BFF2C89CDD1F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44</xdr:col>
      <xdr:colOff>180108</xdr:colOff>
      <xdr:row>27</xdr:row>
      <xdr:rowOff>167738</xdr:rowOff>
    </xdr:from>
    <xdr:ext cx="706540" cy="280205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988D032E-0854-40FF-B8A3-EE39F1E37C72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56</xdr:col>
      <xdr:colOff>134585</xdr:colOff>
      <xdr:row>27</xdr:row>
      <xdr:rowOff>146957</xdr:rowOff>
    </xdr:from>
    <xdr:ext cx="706540" cy="280205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F316BD99-C726-4C3D-ACDD-225BCE552557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38</xdr:col>
      <xdr:colOff>113803</xdr:colOff>
      <xdr:row>27</xdr:row>
      <xdr:rowOff>175655</xdr:rowOff>
    </xdr:from>
    <xdr:ext cx="706540" cy="280205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72335DDF-22F6-4ECB-B985-BF4DA750A001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2</xdr:col>
      <xdr:colOff>131122</xdr:colOff>
      <xdr:row>33</xdr:row>
      <xdr:rowOff>155865</xdr:rowOff>
    </xdr:from>
    <xdr:ext cx="784510" cy="28020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D09EAB38-FB15-4DB1-AE50-6ACB45011928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26</xdr:col>
      <xdr:colOff>135081</xdr:colOff>
      <xdr:row>33</xdr:row>
      <xdr:rowOff>147454</xdr:rowOff>
    </xdr:from>
    <xdr:ext cx="784510" cy="28020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803A7ADB-52CD-4DAF-8CF2-C909F3C8C569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21</xdr:col>
      <xdr:colOff>2967</xdr:colOff>
      <xdr:row>33</xdr:row>
      <xdr:rowOff>163782</xdr:rowOff>
    </xdr:from>
    <xdr:ext cx="784510" cy="280205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271D6BDD-707D-4428-B058-1D2402AF22AC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8</xdr:col>
      <xdr:colOff>118257</xdr:colOff>
      <xdr:row>33</xdr:row>
      <xdr:rowOff>155370</xdr:rowOff>
    </xdr:from>
    <xdr:ext cx="784510" cy="280205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777725B8-72D7-4051-938A-07F5F30FE007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15</xdr:col>
      <xdr:colOff>10884</xdr:colOff>
      <xdr:row>33</xdr:row>
      <xdr:rowOff>159329</xdr:rowOff>
    </xdr:from>
    <xdr:ext cx="784510" cy="28020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144442E1-D3DF-49E5-A31E-51CC7A85A7E0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50</xdr:col>
      <xdr:colOff>163780</xdr:colOff>
      <xdr:row>33</xdr:row>
      <xdr:rowOff>139043</xdr:rowOff>
    </xdr:from>
    <xdr:ext cx="706540" cy="28020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B295CFE7-B739-40A3-AC8F-A494CD6ABA31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38</xdr:col>
      <xdr:colOff>167738</xdr:colOff>
      <xdr:row>33</xdr:row>
      <xdr:rowOff>143001</xdr:rowOff>
    </xdr:from>
    <xdr:ext cx="70654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E2D0A929-76CD-469B-9389-F423AEBF9FD6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56</xdr:col>
      <xdr:colOff>159325</xdr:colOff>
      <xdr:row>33</xdr:row>
      <xdr:rowOff>159329</xdr:rowOff>
    </xdr:from>
    <xdr:ext cx="706540" cy="28020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D0A07A5D-0D45-4F19-848A-0E09B96338D2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32</xdr:col>
      <xdr:colOff>200395</xdr:colOff>
      <xdr:row>33</xdr:row>
      <xdr:rowOff>175658</xdr:rowOff>
    </xdr:from>
    <xdr:ext cx="706540" cy="28020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7BA09F87-F68B-43B2-8DE4-077449C2E768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44</xdr:col>
      <xdr:colOff>154873</xdr:colOff>
      <xdr:row>33</xdr:row>
      <xdr:rowOff>179616</xdr:rowOff>
    </xdr:from>
    <xdr:ext cx="706540" cy="280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EEECD32A-1557-475B-90AD-9D0ED60D4EE8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2</xdr:col>
      <xdr:colOff>135080</xdr:colOff>
      <xdr:row>39</xdr:row>
      <xdr:rowOff>159823</xdr:rowOff>
    </xdr:from>
    <xdr:ext cx="784510" cy="28020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9910A78F-F321-4B4A-89C1-3D016B2DB743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8</xdr:col>
      <xdr:colOff>139038</xdr:colOff>
      <xdr:row>39</xdr:row>
      <xdr:rowOff>163782</xdr:rowOff>
    </xdr:from>
    <xdr:ext cx="784510" cy="28020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29DB87B4-60F1-4742-9CB1-48658B989B39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14</xdr:col>
      <xdr:colOff>167737</xdr:colOff>
      <xdr:row>39</xdr:row>
      <xdr:rowOff>167740</xdr:rowOff>
    </xdr:from>
    <xdr:ext cx="784510" cy="280205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88552677-14B9-41AC-A648-64035B77BF0F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20</xdr:col>
      <xdr:colOff>146956</xdr:colOff>
      <xdr:row>39</xdr:row>
      <xdr:rowOff>171698</xdr:rowOff>
    </xdr:from>
    <xdr:ext cx="784510" cy="280205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62FA4976-C85F-4649-9E6C-4B0AC67285A1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27</xdr:col>
      <xdr:colOff>37110</xdr:colOff>
      <xdr:row>39</xdr:row>
      <xdr:rowOff>160812</xdr:rowOff>
    </xdr:from>
    <xdr:ext cx="784510" cy="280205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61F43464-3D85-4BE6-B368-CA3B859F6C34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32</xdr:col>
      <xdr:colOff>201880</xdr:colOff>
      <xdr:row>39</xdr:row>
      <xdr:rowOff>152400</xdr:rowOff>
    </xdr:from>
    <xdr:ext cx="706540" cy="280205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AEDC99E-ABFE-4956-89D4-D3BC90404211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38</xdr:col>
      <xdr:colOff>160811</xdr:colOff>
      <xdr:row>39</xdr:row>
      <xdr:rowOff>136071</xdr:rowOff>
    </xdr:from>
    <xdr:ext cx="706540" cy="280205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BA4BB19A-3530-41D2-83C6-89FC4511AAE4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44</xdr:col>
      <xdr:colOff>160812</xdr:colOff>
      <xdr:row>39</xdr:row>
      <xdr:rowOff>148442</xdr:rowOff>
    </xdr:from>
    <xdr:ext cx="706540" cy="280205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17723FAE-2309-4FEC-B1BD-2DE5ED5A4CB7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50</xdr:col>
      <xdr:colOff>197923</xdr:colOff>
      <xdr:row>39</xdr:row>
      <xdr:rowOff>160812</xdr:rowOff>
    </xdr:from>
    <xdr:ext cx="706540" cy="280205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EF53A79-0D9C-433B-8245-4B4FB6E90636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56</xdr:col>
      <xdr:colOff>173182</xdr:colOff>
      <xdr:row>39</xdr:row>
      <xdr:rowOff>160812</xdr:rowOff>
    </xdr:from>
    <xdr:ext cx="706540" cy="280205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8549B4FB-C750-4256-A657-A790967F9E18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2</xdr:col>
      <xdr:colOff>126668</xdr:colOff>
      <xdr:row>45</xdr:row>
      <xdr:rowOff>139041</xdr:rowOff>
    </xdr:from>
    <xdr:ext cx="784510" cy="280205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2EB5368E-4E74-4034-A29F-DEF1FB400EA5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45</xdr:col>
      <xdr:colOff>6925</xdr:colOff>
      <xdr:row>45</xdr:row>
      <xdr:rowOff>142999</xdr:rowOff>
    </xdr:from>
    <xdr:ext cx="706540" cy="280205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14817D9D-489F-4A51-8082-E7E3732D75E8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14</xdr:col>
      <xdr:colOff>146955</xdr:colOff>
      <xdr:row>45</xdr:row>
      <xdr:rowOff>134588</xdr:rowOff>
    </xdr:from>
    <xdr:ext cx="784510" cy="280205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26A2FA81-3522-494B-B225-D66FF2FFB530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8</xdr:col>
      <xdr:colOff>188023</xdr:colOff>
      <xdr:row>45</xdr:row>
      <xdr:rowOff>163286</xdr:rowOff>
    </xdr:from>
    <xdr:ext cx="784510" cy="280205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FF1D846E-8867-478D-A13F-FDCDDA49C9F7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20</xdr:col>
      <xdr:colOff>179612</xdr:colOff>
      <xdr:row>45</xdr:row>
      <xdr:rowOff>154875</xdr:rowOff>
    </xdr:from>
    <xdr:ext cx="784510" cy="280205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0703BA02-F355-4450-8906-7602E41CB06F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32</xdr:col>
      <xdr:colOff>208310</xdr:colOff>
      <xdr:row>45</xdr:row>
      <xdr:rowOff>134093</xdr:rowOff>
    </xdr:from>
    <xdr:ext cx="706540" cy="280205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EB247608-66FD-466A-80D9-2C1E2182D763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27</xdr:col>
      <xdr:colOff>14346</xdr:colOff>
      <xdr:row>45</xdr:row>
      <xdr:rowOff>138051</xdr:rowOff>
    </xdr:from>
    <xdr:ext cx="784510" cy="280205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3F88BE08-CA29-435A-BC3C-F06CB8803C48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38</xdr:col>
      <xdr:colOff>166747</xdr:colOff>
      <xdr:row>45</xdr:row>
      <xdr:rowOff>154379</xdr:rowOff>
    </xdr:from>
    <xdr:ext cx="706540" cy="280205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459F0D03-8712-4B5F-9869-1D2EEA08A6D9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50</xdr:col>
      <xdr:colOff>197923</xdr:colOff>
      <xdr:row>45</xdr:row>
      <xdr:rowOff>136072</xdr:rowOff>
    </xdr:from>
    <xdr:ext cx="706540" cy="280205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675EF6C7-901F-48DF-A8E7-B92874D6661B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56</xdr:col>
      <xdr:colOff>177141</xdr:colOff>
      <xdr:row>45</xdr:row>
      <xdr:rowOff>140030</xdr:rowOff>
    </xdr:from>
    <xdr:ext cx="706540" cy="280205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2A3D25B4-4401-41AA-A0BF-9EFE84499B12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2</xdr:col>
      <xdr:colOff>71438</xdr:colOff>
      <xdr:row>51</xdr:row>
      <xdr:rowOff>155760</xdr:rowOff>
    </xdr:from>
    <xdr:ext cx="784510" cy="280205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69F53AF8-C92F-4DE8-B3D7-906FD5E4F00A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44</xdr:col>
      <xdr:colOff>94570</xdr:colOff>
      <xdr:row>51</xdr:row>
      <xdr:rowOff>167655</xdr:rowOff>
    </xdr:from>
    <xdr:ext cx="706540" cy="280205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F7A7BC46-F89F-4D1F-919C-E4BCB05390FD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14</xdr:col>
      <xdr:colOff>91725</xdr:colOff>
      <xdr:row>51</xdr:row>
      <xdr:rowOff>151307</xdr:rowOff>
    </xdr:from>
    <xdr:ext cx="784510" cy="280205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CCB5B3A9-9698-42D9-9003-3E1CC30162EE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8</xdr:col>
      <xdr:colOff>132793</xdr:colOff>
      <xdr:row>51</xdr:row>
      <xdr:rowOff>180005</xdr:rowOff>
    </xdr:from>
    <xdr:ext cx="784510" cy="280205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B19F0DF7-9CCA-45AD-9FA1-D3BFE19B8EAE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20</xdr:col>
      <xdr:colOff>124382</xdr:colOff>
      <xdr:row>51</xdr:row>
      <xdr:rowOff>171594</xdr:rowOff>
    </xdr:from>
    <xdr:ext cx="784510" cy="280205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45876860-04E0-4471-B27F-360EB081EB90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32</xdr:col>
      <xdr:colOff>153080</xdr:colOff>
      <xdr:row>51</xdr:row>
      <xdr:rowOff>150812</xdr:rowOff>
    </xdr:from>
    <xdr:ext cx="706540" cy="280205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A10DB9E7-3152-47D5-A56E-C267B5F6FBB6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26</xdr:col>
      <xdr:colOff>165491</xdr:colOff>
      <xdr:row>51</xdr:row>
      <xdr:rowOff>154770</xdr:rowOff>
    </xdr:from>
    <xdr:ext cx="784510" cy="280205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28A51DFE-6CA9-4652-B4AB-D2B2D06FBBF0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38</xdr:col>
      <xdr:colOff>111517</xdr:colOff>
      <xdr:row>51</xdr:row>
      <xdr:rowOff>171098</xdr:rowOff>
    </xdr:from>
    <xdr:ext cx="706540" cy="280205"/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10148B13-23D4-4D68-A1F5-1DED9AE94797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50</xdr:col>
      <xdr:colOff>142693</xdr:colOff>
      <xdr:row>51</xdr:row>
      <xdr:rowOff>152791</xdr:rowOff>
    </xdr:from>
    <xdr:ext cx="706540" cy="280205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6DA17C2B-1A26-43C6-AF93-DBAC3CA54B86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56</xdr:col>
      <xdr:colOff>121911</xdr:colOff>
      <xdr:row>51</xdr:row>
      <xdr:rowOff>156749</xdr:rowOff>
    </xdr:from>
    <xdr:ext cx="706540" cy="280205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230E6892-00A1-4E07-B74B-19C516462F42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2</xdr:col>
      <xdr:colOff>58412</xdr:colOff>
      <xdr:row>57</xdr:row>
      <xdr:rowOff>169635</xdr:rowOff>
    </xdr:from>
    <xdr:ext cx="784510" cy="280205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CD480DFD-5767-4822-9BE9-372820E99A9E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44</xdr:col>
      <xdr:colOff>145044</xdr:colOff>
      <xdr:row>57</xdr:row>
      <xdr:rowOff>173593</xdr:rowOff>
    </xdr:from>
    <xdr:ext cx="706540" cy="280205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48926D86-B1E1-439B-8772-93FBCECD6386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14</xdr:col>
      <xdr:colOff>78699</xdr:colOff>
      <xdr:row>57</xdr:row>
      <xdr:rowOff>165182</xdr:rowOff>
    </xdr:from>
    <xdr:ext cx="784510" cy="280205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C9908F22-3FE1-48F0-818E-ED49CFD90FC5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8</xdr:col>
      <xdr:colOff>119767</xdr:colOff>
      <xdr:row>58</xdr:row>
      <xdr:rowOff>3380</xdr:rowOff>
    </xdr:from>
    <xdr:ext cx="784510" cy="280205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F479F92A-05B4-4C2A-9BC6-BBF27EB7B6E6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20</xdr:col>
      <xdr:colOff>111356</xdr:colOff>
      <xdr:row>57</xdr:row>
      <xdr:rowOff>185469</xdr:rowOff>
    </xdr:from>
    <xdr:ext cx="784510" cy="280205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84F831DF-6F64-47F4-99F3-254D602DF6E1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32</xdr:col>
      <xdr:colOff>140054</xdr:colOff>
      <xdr:row>57</xdr:row>
      <xdr:rowOff>164687</xdr:rowOff>
    </xdr:from>
    <xdr:ext cx="706540" cy="280205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1219F0D3-3943-4081-A32C-64EB58FEC5DA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26</xdr:col>
      <xdr:colOff>152465</xdr:colOff>
      <xdr:row>57</xdr:row>
      <xdr:rowOff>168645</xdr:rowOff>
    </xdr:from>
    <xdr:ext cx="784510" cy="280205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A4376DED-6856-4765-8D30-4F161C6BC7E3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38</xdr:col>
      <xdr:colOff>98491</xdr:colOff>
      <xdr:row>57</xdr:row>
      <xdr:rowOff>184973</xdr:rowOff>
    </xdr:from>
    <xdr:ext cx="706540" cy="280205"/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D01701E8-A49E-46EA-B2BB-69B29543DBEC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50</xdr:col>
      <xdr:colOff>129667</xdr:colOff>
      <xdr:row>57</xdr:row>
      <xdr:rowOff>166666</xdr:rowOff>
    </xdr:from>
    <xdr:ext cx="706540" cy="280205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F8A39548-1B59-4706-8C35-C07FE7C342A9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56</xdr:col>
      <xdr:colOff>108885</xdr:colOff>
      <xdr:row>57</xdr:row>
      <xdr:rowOff>170624</xdr:rowOff>
    </xdr:from>
    <xdr:ext cx="706540" cy="280205"/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713DEC65-7B75-4BDB-8184-258EC523129F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2</xdr:col>
      <xdr:colOff>71437</xdr:colOff>
      <xdr:row>63</xdr:row>
      <xdr:rowOff>155760</xdr:rowOff>
    </xdr:from>
    <xdr:ext cx="784510" cy="280205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3614B2DF-8C65-46C8-93EE-B3228F2F27FC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44</xdr:col>
      <xdr:colOff>158069</xdr:colOff>
      <xdr:row>63</xdr:row>
      <xdr:rowOff>159718</xdr:rowOff>
    </xdr:from>
    <xdr:ext cx="706540" cy="280205"/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D117CF90-EAD5-4C64-B9D6-259B72AFDDEF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14</xdr:col>
      <xdr:colOff>91724</xdr:colOff>
      <xdr:row>63</xdr:row>
      <xdr:rowOff>151307</xdr:rowOff>
    </xdr:from>
    <xdr:ext cx="784510" cy="280205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EDED862B-98E8-45BB-88FE-1E34A061AC75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8</xdr:col>
      <xdr:colOff>132792</xdr:colOff>
      <xdr:row>63</xdr:row>
      <xdr:rowOff>180005</xdr:rowOff>
    </xdr:from>
    <xdr:ext cx="784510" cy="280205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B9AB199E-817E-4CD4-A10A-DA3EC92AD37D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20</xdr:col>
      <xdr:colOff>124381</xdr:colOff>
      <xdr:row>63</xdr:row>
      <xdr:rowOff>171594</xdr:rowOff>
    </xdr:from>
    <xdr:ext cx="784510" cy="280205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2F10A76A-8B41-48A5-82C9-F9B7E86300DA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32</xdr:col>
      <xdr:colOff>153079</xdr:colOff>
      <xdr:row>63</xdr:row>
      <xdr:rowOff>150812</xdr:rowOff>
    </xdr:from>
    <xdr:ext cx="706540" cy="280205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1FD74909-4156-4DCB-9230-8D84C1F72214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26</xdr:col>
      <xdr:colOff>165490</xdr:colOff>
      <xdr:row>63</xdr:row>
      <xdr:rowOff>154770</xdr:rowOff>
    </xdr:from>
    <xdr:ext cx="784510" cy="280205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81A4EC7C-2AAA-4FE2-973B-00EA1800986C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38</xdr:col>
      <xdr:colOff>111516</xdr:colOff>
      <xdr:row>63</xdr:row>
      <xdr:rowOff>171098</xdr:rowOff>
    </xdr:from>
    <xdr:ext cx="706540" cy="280205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0526ACC1-7645-4A78-8A72-BE81946D5207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51</xdr:col>
      <xdr:colOff>110942</xdr:colOff>
      <xdr:row>62</xdr:row>
      <xdr:rowOff>176604</xdr:rowOff>
    </xdr:from>
    <xdr:ext cx="706540" cy="280205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B7CB456F-E2A9-4227-9CCA-4F54993BA266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56</xdr:col>
      <xdr:colOff>121910</xdr:colOff>
      <xdr:row>63</xdr:row>
      <xdr:rowOff>156749</xdr:rowOff>
    </xdr:from>
    <xdr:ext cx="706540" cy="280205"/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D6C08F73-C09F-429E-B8BA-16894CFD20FD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2</xdr:col>
      <xdr:colOff>55713</xdr:colOff>
      <xdr:row>69</xdr:row>
      <xdr:rowOff>166480</xdr:rowOff>
    </xdr:from>
    <xdr:ext cx="706540" cy="280205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AE448D43-D96A-4F11-B566-C39C37DD73BE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44</xdr:col>
      <xdr:colOff>142345</xdr:colOff>
      <xdr:row>69</xdr:row>
      <xdr:rowOff>170438</xdr:rowOff>
    </xdr:from>
    <xdr:ext cx="628570" cy="280205"/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id="{F21529EE-BD2E-42AE-8C42-72E20A1DF068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14</xdr:col>
      <xdr:colOff>76000</xdr:colOff>
      <xdr:row>69</xdr:row>
      <xdr:rowOff>162027</xdr:rowOff>
    </xdr:from>
    <xdr:ext cx="706540" cy="280205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EA903B33-5A08-43C8-B3BA-EDA0FB8E5524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8</xdr:col>
      <xdr:colOff>117068</xdr:colOff>
      <xdr:row>69</xdr:row>
      <xdr:rowOff>151037</xdr:rowOff>
    </xdr:from>
    <xdr:ext cx="706540" cy="280205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37322D68-87E4-4F7F-A716-08D62FE6235C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20</xdr:col>
      <xdr:colOff>132470</xdr:colOff>
      <xdr:row>69</xdr:row>
      <xdr:rowOff>166439</xdr:rowOff>
    </xdr:from>
    <xdr:ext cx="706540" cy="280205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86C7D89E-726F-417F-B74D-5D77CCB8CD67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32</xdr:col>
      <xdr:colOff>137355</xdr:colOff>
      <xdr:row>69</xdr:row>
      <xdr:rowOff>161532</xdr:rowOff>
    </xdr:from>
    <xdr:ext cx="628570" cy="280205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C2420365-FEC2-4751-B26B-37CFC524BE39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26</xdr:col>
      <xdr:colOff>149766</xdr:colOff>
      <xdr:row>69</xdr:row>
      <xdr:rowOff>165490</xdr:rowOff>
    </xdr:from>
    <xdr:ext cx="706540" cy="280205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714DAE86-5C2F-4323-9A1D-F4636E25A980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38</xdr:col>
      <xdr:colOff>135479</xdr:colOff>
      <xdr:row>69</xdr:row>
      <xdr:rowOff>173880</xdr:rowOff>
    </xdr:from>
    <xdr:ext cx="628570" cy="280205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B8CA1B29-A12C-47B5-8961-175E911E09AB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50</xdr:col>
      <xdr:colOff>126968</xdr:colOff>
      <xdr:row>69</xdr:row>
      <xdr:rowOff>163511</xdr:rowOff>
    </xdr:from>
    <xdr:ext cx="628570" cy="280205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7889B426-4F92-4312-9D5C-63DC76BB25F4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56</xdr:col>
      <xdr:colOff>106186</xdr:colOff>
      <xdr:row>69</xdr:row>
      <xdr:rowOff>167469</xdr:rowOff>
    </xdr:from>
    <xdr:ext cx="628570" cy="280205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BC9F85F1-818B-4634-B658-AA9CA989E0E8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2</xdr:col>
      <xdr:colOff>104926</xdr:colOff>
      <xdr:row>75</xdr:row>
      <xdr:rowOff>152193</xdr:rowOff>
    </xdr:from>
    <xdr:ext cx="706540" cy="280205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7BF7A243-BEAD-4D83-BBD4-75634B09458B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44</xdr:col>
      <xdr:colOff>191558</xdr:colOff>
      <xdr:row>75</xdr:row>
      <xdr:rowOff>156151</xdr:rowOff>
    </xdr:from>
    <xdr:ext cx="628570" cy="280205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07BDC70C-454E-49B2-B09C-BDF7ED1326BF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14</xdr:col>
      <xdr:colOff>125213</xdr:colOff>
      <xdr:row>75</xdr:row>
      <xdr:rowOff>147740</xdr:rowOff>
    </xdr:from>
    <xdr:ext cx="706540" cy="280205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419162C3-9087-4883-9F67-3A618110DC92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8</xdr:col>
      <xdr:colOff>166281</xdr:colOff>
      <xdr:row>75</xdr:row>
      <xdr:rowOff>136750</xdr:rowOff>
    </xdr:from>
    <xdr:ext cx="706540" cy="280205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F69F6D36-C573-4770-84B1-793457701A97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20</xdr:col>
      <xdr:colOff>181683</xdr:colOff>
      <xdr:row>75</xdr:row>
      <xdr:rowOff>152152</xdr:rowOff>
    </xdr:from>
    <xdr:ext cx="706540" cy="280205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544195D5-C76E-43CC-B1CD-94FCADD31677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32</xdr:col>
      <xdr:colOff>186568</xdr:colOff>
      <xdr:row>75</xdr:row>
      <xdr:rowOff>147245</xdr:rowOff>
    </xdr:from>
    <xdr:ext cx="628570" cy="280205"/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ACA862DC-0782-4815-B242-36869EED6E3B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26</xdr:col>
      <xdr:colOff>198979</xdr:colOff>
      <xdr:row>75</xdr:row>
      <xdr:rowOff>151203</xdr:rowOff>
    </xdr:from>
    <xdr:ext cx="706540" cy="280205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0D7C882F-F2DC-4393-AAA9-D3AA23E6D748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38</xdr:col>
      <xdr:colOff>184692</xdr:colOff>
      <xdr:row>75</xdr:row>
      <xdr:rowOff>159593</xdr:rowOff>
    </xdr:from>
    <xdr:ext cx="628570" cy="280205"/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BF730044-25A7-4F0B-9C47-2DC4704A813D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50</xdr:col>
      <xdr:colOff>176181</xdr:colOff>
      <xdr:row>75</xdr:row>
      <xdr:rowOff>149224</xdr:rowOff>
    </xdr:from>
    <xdr:ext cx="628570" cy="280205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5B1FFB60-471D-4200-A8A2-EDAD49E2F25B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56</xdr:col>
      <xdr:colOff>155399</xdr:colOff>
      <xdr:row>75</xdr:row>
      <xdr:rowOff>153182</xdr:rowOff>
    </xdr:from>
    <xdr:ext cx="628570" cy="280205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D1CC41C8-4F31-4E64-BAFE-7CA83BC847FB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2</xdr:col>
      <xdr:colOff>98576</xdr:colOff>
      <xdr:row>81</xdr:row>
      <xdr:rowOff>145843</xdr:rowOff>
    </xdr:from>
    <xdr:ext cx="706540" cy="280205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614A21C0-B67E-4F7C-9E72-2742C7FBF353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44</xdr:col>
      <xdr:colOff>185208</xdr:colOff>
      <xdr:row>81</xdr:row>
      <xdr:rowOff>149801</xdr:rowOff>
    </xdr:from>
    <xdr:ext cx="628570" cy="280205"/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949672D3-B521-420F-BC0E-BAC8F0763292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14</xdr:col>
      <xdr:colOff>118863</xdr:colOff>
      <xdr:row>81</xdr:row>
      <xdr:rowOff>141390</xdr:rowOff>
    </xdr:from>
    <xdr:ext cx="706540" cy="280205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E65069F4-50C6-47EE-8EF3-B95AC31F07EF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8</xdr:col>
      <xdr:colOff>159931</xdr:colOff>
      <xdr:row>81</xdr:row>
      <xdr:rowOff>130400</xdr:rowOff>
    </xdr:from>
    <xdr:ext cx="706540" cy="280205"/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240D1581-AE9B-4695-B2F9-03D9810EF62D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20</xdr:col>
      <xdr:colOff>175333</xdr:colOff>
      <xdr:row>81</xdr:row>
      <xdr:rowOff>145802</xdr:rowOff>
    </xdr:from>
    <xdr:ext cx="706540" cy="280205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FED22668-D14F-4029-BF40-7CEEE614536F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32</xdr:col>
      <xdr:colOff>180218</xdr:colOff>
      <xdr:row>81</xdr:row>
      <xdr:rowOff>140895</xdr:rowOff>
    </xdr:from>
    <xdr:ext cx="628570" cy="280205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26A73977-76A1-4D87-A02A-8CED4F22CF0B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26</xdr:col>
      <xdr:colOff>192629</xdr:colOff>
      <xdr:row>81</xdr:row>
      <xdr:rowOff>144853</xdr:rowOff>
    </xdr:from>
    <xdr:ext cx="706540" cy="280205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E3DB1DB5-AA62-42D5-A1FA-9D70B3CDC637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38</xdr:col>
      <xdr:colOff>178342</xdr:colOff>
      <xdr:row>81</xdr:row>
      <xdr:rowOff>153243</xdr:rowOff>
    </xdr:from>
    <xdr:ext cx="628570" cy="28020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B9F46015-EE47-43BF-B0E8-405C2FDC3A46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50</xdr:col>
      <xdr:colOff>169831</xdr:colOff>
      <xdr:row>81</xdr:row>
      <xdr:rowOff>142874</xdr:rowOff>
    </xdr:from>
    <xdr:ext cx="628570" cy="280205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2126C44-8541-4143-BC16-165F735BD07F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56</xdr:col>
      <xdr:colOff>149049</xdr:colOff>
      <xdr:row>81</xdr:row>
      <xdr:rowOff>146832</xdr:rowOff>
    </xdr:from>
    <xdr:ext cx="628570" cy="280205"/>
    <xdr:sp macro="" textlink="">
      <xdr:nvSpPr>
        <xdr:cNvPr id="173" name="TextBox 172">
          <a:extLst>
            <a:ext uri="{FF2B5EF4-FFF2-40B4-BE49-F238E27FC236}">
              <a16:creationId xmlns:a16="http://schemas.microsoft.com/office/drawing/2014/main" id="{8138FFBD-5EBD-4D1A-8D72-3808697C927B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twoCellAnchor>
    <xdr:from>
      <xdr:col>26</xdr:col>
      <xdr:colOff>9525</xdr:colOff>
      <xdr:row>1</xdr:row>
      <xdr:rowOff>57150</xdr:rowOff>
    </xdr:from>
    <xdr:to>
      <xdr:col>26</xdr:col>
      <xdr:colOff>19050</xdr:colOff>
      <xdr:row>104</xdr:row>
      <xdr:rowOff>104775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C12DE42-B514-4619-A87B-25363C2ADAD1}"/>
            </a:ext>
          </a:extLst>
        </xdr:cNvPr>
        <xdr:cNvCxnSpPr/>
      </xdr:nvCxnSpPr>
      <xdr:spPr>
        <a:xfrm>
          <a:off x="5457825" y="247650"/>
          <a:ext cx="9525" cy="197167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200025</xdr:colOff>
      <xdr:row>1</xdr:row>
      <xdr:rowOff>171450</xdr:rowOff>
    </xdr:from>
    <xdr:to>
      <xdr:col>32</xdr:col>
      <xdr:colOff>19050</xdr:colOff>
      <xdr:row>104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D5A64932-911A-4FD4-9B1D-DD00A24FCBB3}"/>
            </a:ext>
          </a:extLst>
        </xdr:cNvPr>
        <xdr:cNvCxnSpPr/>
      </xdr:nvCxnSpPr>
      <xdr:spPr>
        <a:xfrm>
          <a:off x="6619047" y="364711"/>
          <a:ext cx="26090" cy="1988681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1</xdr:row>
      <xdr:rowOff>114300</xdr:rowOff>
    </xdr:from>
    <xdr:to>
      <xdr:col>20</xdr:col>
      <xdr:colOff>19050</xdr:colOff>
      <xdr:row>104</xdr:row>
      <xdr:rowOff>38100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47D4D255-5E8F-4F69-966B-DB9B7E7DEEC4}"/>
            </a:ext>
          </a:extLst>
        </xdr:cNvPr>
        <xdr:cNvCxnSpPr/>
      </xdr:nvCxnSpPr>
      <xdr:spPr>
        <a:xfrm>
          <a:off x="4200525" y="304800"/>
          <a:ext cx="9525" cy="195929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200025</xdr:colOff>
      <xdr:row>0</xdr:row>
      <xdr:rowOff>152400</xdr:rowOff>
    </xdr:from>
    <xdr:to>
      <xdr:col>14</xdr:col>
      <xdr:colOff>9526</xdr:colOff>
      <xdr:row>104</xdr:row>
      <xdr:rowOff>47625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994DD751-A392-470F-AEF5-292477CF7530}"/>
            </a:ext>
          </a:extLst>
        </xdr:cNvPr>
        <xdr:cNvCxnSpPr/>
      </xdr:nvCxnSpPr>
      <xdr:spPr>
        <a:xfrm flipH="1">
          <a:off x="2924175" y="152400"/>
          <a:ext cx="19051" cy="197548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1</xdr:row>
      <xdr:rowOff>19050</xdr:rowOff>
    </xdr:from>
    <xdr:to>
      <xdr:col>8</xdr:col>
      <xdr:colOff>19050</xdr:colOff>
      <xdr:row>104</xdr:row>
      <xdr:rowOff>76200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id="{62168389-A364-4AF1-9658-D98C7123EFCE}"/>
            </a:ext>
          </a:extLst>
        </xdr:cNvPr>
        <xdr:cNvCxnSpPr/>
      </xdr:nvCxnSpPr>
      <xdr:spPr>
        <a:xfrm>
          <a:off x="1676401" y="209550"/>
          <a:ext cx="19049" cy="197262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</xdr:colOff>
      <xdr:row>0</xdr:row>
      <xdr:rowOff>180975</xdr:rowOff>
    </xdr:from>
    <xdr:to>
      <xdr:col>44</xdr:col>
      <xdr:colOff>9526</xdr:colOff>
      <xdr:row>104</xdr:row>
      <xdr:rowOff>85725</xdr:rowOff>
    </xdr:to>
    <xdr:cxnSp macro="">
      <xdr:nvCxnSpPr>
        <xdr:cNvPr id="179" name="Straight Connector 178">
          <a:extLst>
            <a:ext uri="{FF2B5EF4-FFF2-40B4-BE49-F238E27FC236}">
              <a16:creationId xmlns:a16="http://schemas.microsoft.com/office/drawing/2014/main" id="{C015F606-9F6C-4A27-ABEA-B0D0E47F7FDA}"/>
            </a:ext>
          </a:extLst>
        </xdr:cNvPr>
        <xdr:cNvCxnSpPr/>
      </xdr:nvCxnSpPr>
      <xdr:spPr>
        <a:xfrm flipH="1">
          <a:off x="9229725" y="180975"/>
          <a:ext cx="1" cy="19764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1</xdr:row>
      <xdr:rowOff>28575</xdr:rowOff>
    </xdr:from>
    <xdr:to>
      <xdr:col>50</xdr:col>
      <xdr:colOff>9525</xdr:colOff>
      <xdr:row>104</xdr:row>
      <xdr:rowOff>123825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id="{39E05D00-1602-4E81-AC41-96825AC4DE34}"/>
            </a:ext>
          </a:extLst>
        </xdr:cNvPr>
        <xdr:cNvCxnSpPr/>
      </xdr:nvCxnSpPr>
      <xdr:spPr>
        <a:xfrm flipH="1">
          <a:off x="10477500" y="219075"/>
          <a:ext cx="9525" cy="19764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0</xdr:row>
      <xdr:rowOff>66675</xdr:rowOff>
    </xdr:from>
    <xdr:to>
      <xdr:col>56</xdr:col>
      <xdr:colOff>9525</xdr:colOff>
      <xdr:row>104</xdr:row>
      <xdr:rowOff>38100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CDAF1E6E-EAD7-446B-B63D-2B54ECAE2CD4}"/>
            </a:ext>
          </a:extLst>
        </xdr:cNvPr>
        <xdr:cNvCxnSpPr/>
      </xdr:nvCxnSpPr>
      <xdr:spPr>
        <a:xfrm>
          <a:off x="11734800" y="66675"/>
          <a:ext cx="9525" cy="19831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19050</xdr:colOff>
      <xdr:row>0</xdr:row>
      <xdr:rowOff>171450</xdr:rowOff>
    </xdr:from>
    <xdr:to>
      <xdr:col>62</xdr:col>
      <xdr:colOff>19050</xdr:colOff>
      <xdr:row>104</xdr:row>
      <xdr:rowOff>9525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D31A1FA1-613E-4995-B7B4-46526481F2E1}"/>
            </a:ext>
          </a:extLst>
        </xdr:cNvPr>
        <xdr:cNvCxnSpPr/>
      </xdr:nvCxnSpPr>
      <xdr:spPr>
        <a:xfrm>
          <a:off x="13011150" y="171450"/>
          <a:ext cx="0" cy="1969770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12369</xdr:colOff>
      <xdr:row>1</xdr:row>
      <xdr:rowOff>174295</xdr:rowOff>
    </xdr:from>
    <xdr:to>
      <xdr:col>68</xdr:col>
      <xdr:colOff>19050</xdr:colOff>
      <xdr:row>104</xdr:row>
      <xdr:rowOff>38100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59C3C046-0C34-4113-AAAD-DDA5BD13D4F8}"/>
            </a:ext>
          </a:extLst>
        </xdr:cNvPr>
        <xdr:cNvCxnSpPr/>
      </xdr:nvCxnSpPr>
      <xdr:spPr>
        <a:xfrm>
          <a:off x="14261769" y="364795"/>
          <a:ext cx="6681" cy="19532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74</xdr:col>
      <xdr:colOff>0</xdr:colOff>
      <xdr:row>8</xdr:row>
      <xdr:rowOff>0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EA507BB7-873B-4B17-AD30-19D4255163BE}"/>
            </a:ext>
          </a:extLst>
        </xdr:cNvPr>
        <xdr:cNvCxnSpPr/>
      </xdr:nvCxnSpPr>
      <xdr:spPr>
        <a:xfrm>
          <a:off x="0" y="1571625"/>
          <a:ext cx="155067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38</xdr:row>
      <xdr:rowOff>0</xdr:rowOff>
    </xdr:from>
    <xdr:to>
      <xdr:col>74</xdr:col>
      <xdr:colOff>37111</xdr:colOff>
      <xdr:row>38</xdr:row>
      <xdr:rowOff>9525</xdr:rowOff>
    </xdr:to>
    <xdr:cxnSp macro="">
      <xdr:nvCxnSpPr>
        <xdr:cNvPr id="185" name="Straight Connector 184">
          <a:extLst>
            <a:ext uri="{FF2B5EF4-FFF2-40B4-BE49-F238E27FC236}">
              <a16:creationId xmlns:a16="http://schemas.microsoft.com/office/drawing/2014/main" id="{1D43732A-150D-48E0-AE5C-3A670A804B3F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44</xdr:row>
      <xdr:rowOff>9525</xdr:rowOff>
    </xdr:from>
    <xdr:to>
      <xdr:col>74</xdr:col>
      <xdr:colOff>37111</xdr:colOff>
      <xdr:row>44</xdr:row>
      <xdr:rowOff>12370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3F7B8785-E68A-48D3-BDB7-59069E2E4CA4}"/>
            </a:ext>
          </a:extLst>
        </xdr:cNvPr>
        <xdr:cNvCxnSpPr/>
      </xdr:nvCxnSpPr>
      <xdr:spPr>
        <a:xfrm>
          <a:off x="38100" y="8439150"/>
          <a:ext cx="15505711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50</xdr:row>
      <xdr:rowOff>12371</xdr:rowOff>
    </xdr:from>
    <xdr:to>
      <xdr:col>74</xdr:col>
      <xdr:colOff>37111</xdr:colOff>
      <xdr:row>50</xdr:row>
      <xdr:rowOff>19050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BC63D071-DD19-4099-9098-51E66D493FAD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74</xdr:col>
      <xdr:colOff>24741</xdr:colOff>
      <xdr:row>32</xdr:row>
      <xdr:rowOff>9525</xdr:rowOff>
    </xdr:to>
    <xdr:cxnSp macro="">
      <xdr:nvCxnSpPr>
        <xdr:cNvPr id="188" name="Straight Connector 187">
          <a:extLst>
            <a:ext uri="{FF2B5EF4-FFF2-40B4-BE49-F238E27FC236}">
              <a16:creationId xmlns:a16="http://schemas.microsoft.com/office/drawing/2014/main" id="{C897BF0A-CF24-4EEA-B1EF-ED8DF6C13B2C}"/>
            </a:ext>
          </a:extLst>
        </xdr:cNvPr>
        <xdr:cNvCxnSpPr/>
      </xdr:nvCxnSpPr>
      <xdr:spPr>
        <a:xfrm flipV="1">
          <a:off x="0" y="6143625"/>
          <a:ext cx="1553144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25</xdr:row>
      <xdr:rowOff>180975</xdr:rowOff>
    </xdr:from>
    <xdr:to>
      <xdr:col>74</xdr:col>
      <xdr:colOff>9525</xdr:colOff>
      <xdr:row>26</xdr:row>
      <xdr:rowOff>12370</xdr:rowOff>
    </xdr:to>
    <xdr:cxnSp macro="">
      <xdr:nvCxnSpPr>
        <xdr:cNvPr id="189" name="Straight Connector 188">
          <a:extLst>
            <a:ext uri="{FF2B5EF4-FFF2-40B4-BE49-F238E27FC236}">
              <a16:creationId xmlns:a16="http://schemas.microsoft.com/office/drawing/2014/main" id="{BDA8858F-375D-45E3-A974-29E18DF6AAA5}"/>
            </a:ext>
          </a:extLst>
        </xdr:cNvPr>
        <xdr:cNvCxnSpPr/>
      </xdr:nvCxnSpPr>
      <xdr:spPr>
        <a:xfrm>
          <a:off x="342900" y="4943475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19</xdr:row>
      <xdr:rowOff>180975</xdr:rowOff>
    </xdr:from>
    <xdr:to>
      <xdr:col>74</xdr:col>
      <xdr:colOff>0</xdr:colOff>
      <xdr:row>20</xdr:row>
      <xdr:rowOff>12370</xdr:rowOff>
    </xdr:to>
    <xdr:cxnSp macro="">
      <xdr:nvCxnSpPr>
        <xdr:cNvPr id="190" name="Straight Connector 189">
          <a:extLst>
            <a:ext uri="{FF2B5EF4-FFF2-40B4-BE49-F238E27FC236}">
              <a16:creationId xmlns:a16="http://schemas.microsoft.com/office/drawing/2014/main" id="{2745DEB8-C4AA-4B5D-9A5F-149B4C4310BD}"/>
            </a:ext>
          </a:extLst>
        </xdr:cNvPr>
        <xdr:cNvCxnSpPr/>
      </xdr:nvCxnSpPr>
      <xdr:spPr>
        <a:xfrm>
          <a:off x="340415" y="3852932"/>
          <a:ext cx="14996215" cy="2465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173182</xdr:rowOff>
    </xdr:from>
    <xdr:to>
      <xdr:col>74</xdr:col>
      <xdr:colOff>12371</xdr:colOff>
      <xdr:row>14</xdr:row>
      <xdr:rowOff>24741</xdr:rowOff>
    </xdr:to>
    <xdr:cxnSp macro="">
      <xdr:nvCxnSpPr>
        <xdr:cNvPr id="191" name="Straight Connector 190">
          <a:extLst>
            <a:ext uri="{FF2B5EF4-FFF2-40B4-BE49-F238E27FC236}">
              <a16:creationId xmlns:a16="http://schemas.microsoft.com/office/drawing/2014/main" id="{11C06CC6-A227-4F60-9539-7F782EB25C99}"/>
            </a:ext>
          </a:extLst>
        </xdr:cNvPr>
        <xdr:cNvCxnSpPr/>
      </xdr:nvCxnSpPr>
      <xdr:spPr>
        <a:xfrm>
          <a:off x="419100" y="2697307"/>
          <a:ext cx="15099971" cy="420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70037</xdr:colOff>
      <xdr:row>55</xdr:row>
      <xdr:rowOff>182095</xdr:rowOff>
    </xdr:from>
    <xdr:to>
      <xdr:col>74</xdr:col>
      <xdr:colOff>24741</xdr:colOff>
      <xdr:row>56</xdr:row>
      <xdr:rowOff>0</xdr:rowOff>
    </xdr:to>
    <xdr:cxnSp macro="">
      <xdr:nvCxnSpPr>
        <xdr:cNvPr id="192" name="Straight Connector 191">
          <a:extLst>
            <a:ext uri="{FF2B5EF4-FFF2-40B4-BE49-F238E27FC236}">
              <a16:creationId xmlns:a16="http://schemas.microsoft.com/office/drawing/2014/main" id="{8FCCD9AA-ED22-4C7B-A748-68AD025DFDE1}"/>
            </a:ext>
          </a:extLst>
        </xdr:cNvPr>
        <xdr:cNvCxnSpPr/>
      </xdr:nvCxnSpPr>
      <xdr:spPr>
        <a:xfrm>
          <a:off x="280147" y="10967757"/>
          <a:ext cx="15306763" cy="14008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62</xdr:row>
      <xdr:rowOff>0</xdr:rowOff>
    </xdr:from>
    <xdr:to>
      <xdr:col>74</xdr:col>
      <xdr:colOff>12371</xdr:colOff>
      <xdr:row>62</xdr:row>
      <xdr:rowOff>9525</xdr:rowOff>
    </xdr:to>
    <xdr:cxnSp macro="">
      <xdr:nvCxnSpPr>
        <xdr:cNvPr id="193" name="Straight Connector 192">
          <a:extLst>
            <a:ext uri="{FF2B5EF4-FFF2-40B4-BE49-F238E27FC236}">
              <a16:creationId xmlns:a16="http://schemas.microsoft.com/office/drawing/2014/main" id="{845A80AB-0064-4C35-835C-190D8672EB75}"/>
            </a:ext>
          </a:extLst>
        </xdr:cNvPr>
        <xdr:cNvCxnSpPr/>
      </xdr:nvCxnSpPr>
      <xdr:spPr>
        <a:xfrm flipV="1">
          <a:off x="190500" y="11858625"/>
          <a:ext cx="1532857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68</xdr:row>
      <xdr:rowOff>0</xdr:rowOff>
    </xdr:from>
    <xdr:to>
      <xdr:col>74</xdr:col>
      <xdr:colOff>61851</xdr:colOff>
      <xdr:row>68</xdr:row>
      <xdr:rowOff>19050</xdr:rowOff>
    </xdr:to>
    <xdr:cxnSp macro="">
      <xdr:nvCxnSpPr>
        <xdr:cNvPr id="194" name="Straight Connector 193">
          <a:extLst>
            <a:ext uri="{FF2B5EF4-FFF2-40B4-BE49-F238E27FC236}">
              <a16:creationId xmlns:a16="http://schemas.microsoft.com/office/drawing/2014/main" id="{B3804A94-99A6-43B5-9519-E0C082BA3E9B}"/>
            </a:ext>
          </a:extLst>
        </xdr:cNvPr>
        <xdr:cNvCxnSpPr/>
      </xdr:nvCxnSpPr>
      <xdr:spPr>
        <a:xfrm flipV="1">
          <a:off x="342900" y="13001625"/>
          <a:ext cx="15225651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73</xdr:row>
      <xdr:rowOff>180975</xdr:rowOff>
    </xdr:from>
    <xdr:to>
      <xdr:col>74</xdr:col>
      <xdr:colOff>61851</xdr:colOff>
      <xdr:row>74</xdr:row>
      <xdr:rowOff>12370</xdr:rowOff>
    </xdr:to>
    <xdr:cxnSp macro="">
      <xdr:nvCxnSpPr>
        <xdr:cNvPr id="195" name="Straight Connector 194">
          <a:extLst>
            <a:ext uri="{FF2B5EF4-FFF2-40B4-BE49-F238E27FC236}">
              <a16:creationId xmlns:a16="http://schemas.microsoft.com/office/drawing/2014/main" id="{863787C8-4D35-4C10-A223-62DD7479B2B1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80</xdr:row>
      <xdr:rowOff>9525</xdr:rowOff>
    </xdr:from>
    <xdr:to>
      <xdr:col>74</xdr:col>
      <xdr:colOff>61851</xdr:colOff>
      <xdr:row>80</xdr:row>
      <xdr:rowOff>12370</xdr:rowOff>
    </xdr:to>
    <xdr:cxnSp macro="">
      <xdr:nvCxnSpPr>
        <xdr:cNvPr id="196" name="Straight Connector 195">
          <a:extLst>
            <a:ext uri="{FF2B5EF4-FFF2-40B4-BE49-F238E27FC236}">
              <a16:creationId xmlns:a16="http://schemas.microsoft.com/office/drawing/2014/main" id="{B0F5C4A3-4480-4127-A519-4A14FE832A67}"/>
            </a:ext>
          </a:extLst>
        </xdr:cNvPr>
        <xdr:cNvCxnSpPr/>
      </xdr:nvCxnSpPr>
      <xdr:spPr>
        <a:xfrm>
          <a:off x="9525" y="15297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203949</xdr:colOff>
      <xdr:row>2</xdr:row>
      <xdr:rowOff>13048</xdr:rowOff>
    </xdr:from>
    <xdr:to>
      <xdr:col>56</xdr:col>
      <xdr:colOff>13048</xdr:colOff>
      <xdr:row>86</xdr:row>
      <xdr:rowOff>179854</xdr:rowOff>
    </xdr:to>
    <xdr:cxnSp macro="">
      <xdr:nvCxnSpPr>
        <xdr:cNvPr id="197" name="Straight Connector 196">
          <a:extLst>
            <a:ext uri="{FF2B5EF4-FFF2-40B4-BE49-F238E27FC236}">
              <a16:creationId xmlns:a16="http://schemas.microsoft.com/office/drawing/2014/main" id="{CB873A5C-550F-42BB-84AB-2057B6DE8996}"/>
            </a:ext>
          </a:extLst>
        </xdr:cNvPr>
        <xdr:cNvCxnSpPr/>
      </xdr:nvCxnSpPr>
      <xdr:spPr>
        <a:xfrm flipH="1">
          <a:off x="11686141" y="404486"/>
          <a:ext cx="17866" cy="1660721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123702</xdr:colOff>
      <xdr:row>7</xdr:row>
      <xdr:rowOff>175657</xdr:rowOff>
    </xdr:from>
    <xdr:to>
      <xdr:col>62</xdr:col>
      <xdr:colOff>12370</xdr:colOff>
      <xdr:row>8</xdr:row>
      <xdr:rowOff>0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EA369239-750B-4A94-991E-D07752765074}"/>
            </a:ext>
          </a:extLst>
        </xdr:cNvPr>
        <xdr:cNvCxnSpPr/>
      </xdr:nvCxnSpPr>
      <xdr:spPr>
        <a:xfrm>
          <a:off x="1590552" y="1556782"/>
          <a:ext cx="11413918" cy="148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12369</xdr:colOff>
      <xdr:row>7</xdr:row>
      <xdr:rowOff>111331</xdr:rowOff>
    </xdr:from>
    <xdr:to>
      <xdr:col>62</xdr:col>
      <xdr:colOff>19050</xdr:colOff>
      <xdr:row>97</xdr:row>
      <xdr:rowOff>171450</xdr:rowOff>
    </xdr:to>
    <xdr:cxnSp macro="">
      <xdr:nvCxnSpPr>
        <xdr:cNvPr id="199" name="Straight Connector 198">
          <a:extLst>
            <a:ext uri="{FF2B5EF4-FFF2-40B4-BE49-F238E27FC236}">
              <a16:creationId xmlns:a16="http://schemas.microsoft.com/office/drawing/2014/main" id="{C9B948DE-FDC3-43FF-9A5F-8F9DF8E4665D}"/>
            </a:ext>
          </a:extLst>
        </xdr:cNvPr>
        <xdr:cNvCxnSpPr/>
      </xdr:nvCxnSpPr>
      <xdr:spPr>
        <a:xfrm>
          <a:off x="13004469" y="1492456"/>
          <a:ext cx="6681" cy="172051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62</xdr:row>
      <xdr:rowOff>12370</xdr:rowOff>
    </xdr:from>
    <xdr:to>
      <xdr:col>38</xdr:col>
      <xdr:colOff>24741</xdr:colOff>
      <xdr:row>98</xdr:row>
      <xdr:rowOff>19050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F8740879-3757-4386-882F-6217D26ED8B5}"/>
            </a:ext>
          </a:extLst>
        </xdr:cNvPr>
        <xdr:cNvCxnSpPr/>
      </xdr:nvCxnSpPr>
      <xdr:spPr>
        <a:xfrm flipH="1">
          <a:off x="7962900" y="11870995"/>
          <a:ext cx="24741" cy="686468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190007</xdr:colOff>
      <xdr:row>7</xdr:row>
      <xdr:rowOff>193260</xdr:rowOff>
    </xdr:from>
    <xdr:to>
      <xdr:col>32</xdr:col>
      <xdr:colOff>24740</xdr:colOff>
      <xdr:row>37</xdr:row>
      <xdr:rowOff>148442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5B098316-300E-4611-8731-C635A9FAF8CA}"/>
            </a:ext>
          </a:extLst>
        </xdr:cNvPr>
        <xdr:cNvCxnSpPr/>
      </xdr:nvCxnSpPr>
      <xdr:spPr>
        <a:xfrm>
          <a:off x="6609029" y="1546086"/>
          <a:ext cx="41798" cy="575300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181099</xdr:rowOff>
    </xdr:from>
    <xdr:to>
      <xdr:col>10</xdr:col>
      <xdr:colOff>37111</xdr:colOff>
      <xdr:row>8</xdr:row>
      <xdr:rowOff>0</xdr:rowOff>
    </xdr:to>
    <xdr:cxnSp macro="">
      <xdr:nvCxnSpPr>
        <xdr:cNvPr id="203" name="Straight Connector 202">
          <a:extLst>
            <a:ext uri="{FF2B5EF4-FFF2-40B4-BE49-F238E27FC236}">
              <a16:creationId xmlns:a16="http://schemas.microsoft.com/office/drawing/2014/main" id="{DD084A78-1EBA-4DE0-8E83-B7E4FC916CED}"/>
            </a:ext>
          </a:extLst>
        </xdr:cNvPr>
        <xdr:cNvCxnSpPr/>
      </xdr:nvCxnSpPr>
      <xdr:spPr>
        <a:xfrm flipH="1" flipV="1">
          <a:off x="0" y="1562224"/>
          <a:ext cx="2132611" cy="940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31</xdr:row>
      <xdr:rowOff>173182</xdr:rowOff>
    </xdr:from>
    <xdr:to>
      <xdr:col>8</xdr:col>
      <xdr:colOff>24740</xdr:colOff>
      <xdr:row>31</xdr:row>
      <xdr:rowOff>173183</xdr:rowOff>
    </xdr:to>
    <xdr:cxnSp macro="">
      <xdr:nvCxnSpPr>
        <xdr:cNvPr id="204" name="Straight Connector 203">
          <a:extLst>
            <a:ext uri="{FF2B5EF4-FFF2-40B4-BE49-F238E27FC236}">
              <a16:creationId xmlns:a16="http://schemas.microsoft.com/office/drawing/2014/main" id="{314BB6B5-DA34-4509-8402-65ADF4591F1A}"/>
            </a:ext>
          </a:extLst>
        </xdr:cNvPr>
        <xdr:cNvCxnSpPr/>
      </xdr:nvCxnSpPr>
      <xdr:spPr>
        <a:xfrm flipH="1">
          <a:off x="1" y="6126307"/>
          <a:ext cx="1701139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197923</xdr:colOff>
      <xdr:row>37</xdr:row>
      <xdr:rowOff>173182</xdr:rowOff>
    </xdr:from>
    <xdr:to>
      <xdr:col>62</xdr:col>
      <xdr:colOff>49480</xdr:colOff>
      <xdr:row>38</xdr:row>
      <xdr:rowOff>0</xdr:rowOff>
    </xdr:to>
    <xdr:cxnSp macro="">
      <xdr:nvCxnSpPr>
        <xdr:cNvPr id="205" name="Straight Connector 204">
          <a:extLst>
            <a:ext uri="{FF2B5EF4-FFF2-40B4-BE49-F238E27FC236}">
              <a16:creationId xmlns:a16="http://schemas.microsoft.com/office/drawing/2014/main" id="{2F03F73B-840A-41F1-9913-BD686EC02FC3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12371</xdr:colOff>
      <xdr:row>37</xdr:row>
      <xdr:rowOff>145597</xdr:rowOff>
    </xdr:from>
    <xdr:to>
      <xdr:col>26</xdr:col>
      <xdr:colOff>13360</xdr:colOff>
      <xdr:row>62</xdr:row>
      <xdr:rowOff>0</xdr:rowOff>
    </xdr:to>
    <xdr:cxnSp macro="">
      <xdr:nvCxnSpPr>
        <xdr:cNvPr id="206" name="Straight Connector 205">
          <a:extLst>
            <a:ext uri="{FF2B5EF4-FFF2-40B4-BE49-F238E27FC236}">
              <a16:creationId xmlns:a16="http://schemas.microsoft.com/office/drawing/2014/main" id="{A402D719-BBB3-4CB5-90C1-6DCAAB8DE411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173183</xdr:colOff>
      <xdr:row>61</xdr:row>
      <xdr:rowOff>173181</xdr:rowOff>
    </xdr:from>
    <xdr:to>
      <xdr:col>38</xdr:col>
      <xdr:colOff>74221</xdr:colOff>
      <xdr:row>62</xdr:row>
      <xdr:rowOff>0</xdr:rowOff>
    </xdr:to>
    <xdr:cxnSp macro="">
      <xdr:nvCxnSpPr>
        <xdr:cNvPr id="207" name="Straight Connector 206">
          <a:extLst>
            <a:ext uri="{FF2B5EF4-FFF2-40B4-BE49-F238E27FC236}">
              <a16:creationId xmlns:a16="http://schemas.microsoft.com/office/drawing/2014/main" id="{6BCA71CE-3460-49D1-9189-E22D5DA766B0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8186</xdr:colOff>
      <xdr:row>61</xdr:row>
      <xdr:rowOff>120244</xdr:rowOff>
    </xdr:from>
    <xdr:to>
      <xdr:col>68</xdr:col>
      <xdr:colOff>102089</xdr:colOff>
      <xdr:row>68</xdr:row>
      <xdr:rowOff>162563</xdr:rowOff>
    </xdr:to>
    <xdr:sp macro="" textlink="">
      <xdr:nvSpPr>
        <xdr:cNvPr id="208" name="Freeform: Shape 207">
          <a:extLst>
            <a:ext uri="{FF2B5EF4-FFF2-40B4-BE49-F238E27FC236}">
              <a16:creationId xmlns:a16="http://schemas.microsoft.com/office/drawing/2014/main" id="{0195E47C-61D7-4EF3-ACAB-435B8FC1E6A1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148442</xdr:colOff>
      <xdr:row>50</xdr:row>
      <xdr:rowOff>12371</xdr:rowOff>
    </xdr:from>
    <xdr:to>
      <xdr:col>26</xdr:col>
      <xdr:colOff>12371</xdr:colOff>
      <xdr:row>50</xdr:row>
      <xdr:rowOff>12371</xdr:rowOff>
    </xdr:to>
    <xdr:cxnSp macro="">
      <xdr:nvCxnSpPr>
        <xdr:cNvPr id="209" name="Straight Connector 208">
          <a:extLst>
            <a:ext uri="{FF2B5EF4-FFF2-40B4-BE49-F238E27FC236}">
              <a16:creationId xmlns:a16="http://schemas.microsoft.com/office/drawing/2014/main" id="{0D8874C2-7BAB-4801-870B-E620CF43F8ED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160812</xdr:colOff>
      <xdr:row>22</xdr:row>
      <xdr:rowOff>123701</xdr:rowOff>
    </xdr:from>
    <xdr:ext cx="1724831" cy="718466"/>
    <xdr:sp macro="" textlink="">
      <xdr:nvSpPr>
        <xdr:cNvPr id="210" name="TextBox 209">
          <a:extLst>
            <a:ext uri="{FF2B5EF4-FFF2-40B4-BE49-F238E27FC236}">
              <a16:creationId xmlns:a16="http://schemas.microsoft.com/office/drawing/2014/main" id="{310175E9-8F44-4483-AB6F-4F22CA4C67E8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39</xdr:col>
      <xdr:colOff>21113</xdr:colOff>
      <xdr:row>22</xdr:row>
      <xdr:rowOff>66551</xdr:rowOff>
    </xdr:from>
    <xdr:ext cx="2744021" cy="718466"/>
    <xdr:sp macro="" textlink="">
      <xdr:nvSpPr>
        <xdr:cNvPr id="211" name="TextBox 210">
          <a:extLst>
            <a:ext uri="{FF2B5EF4-FFF2-40B4-BE49-F238E27FC236}">
              <a16:creationId xmlns:a16="http://schemas.microsoft.com/office/drawing/2014/main" id="{88F75CBA-F432-410A-A029-174332E3515D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38</xdr:col>
      <xdr:colOff>107827</xdr:colOff>
      <xdr:row>47</xdr:row>
      <xdr:rowOff>29379</xdr:rowOff>
    </xdr:from>
    <xdr:ext cx="2524665" cy="718466"/>
    <xdr:sp macro="" textlink="">
      <xdr:nvSpPr>
        <xdr:cNvPr id="212" name="TextBox 211">
          <a:extLst>
            <a:ext uri="{FF2B5EF4-FFF2-40B4-BE49-F238E27FC236}">
              <a16:creationId xmlns:a16="http://schemas.microsoft.com/office/drawing/2014/main" id="{A0B60F8B-A9DC-4CA4-A42E-0447822EFAA5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12</xdr:col>
      <xdr:colOff>111332</xdr:colOff>
      <xdr:row>64</xdr:row>
      <xdr:rowOff>24740</xdr:rowOff>
    </xdr:from>
    <xdr:ext cx="1760610" cy="718466"/>
    <xdr:sp macro="" textlink="">
      <xdr:nvSpPr>
        <xdr:cNvPr id="213" name="TextBox 212">
          <a:extLst>
            <a:ext uri="{FF2B5EF4-FFF2-40B4-BE49-F238E27FC236}">
              <a16:creationId xmlns:a16="http://schemas.microsoft.com/office/drawing/2014/main" id="{27BE6ED7-B00B-4560-91D6-5AF1FA4E04E3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44</xdr:col>
      <xdr:colOff>119213</xdr:colOff>
      <xdr:row>76</xdr:row>
      <xdr:rowOff>113907</xdr:rowOff>
    </xdr:from>
    <xdr:ext cx="1701043" cy="718466"/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9B4B9B9E-1CF3-4979-9E55-C8BA253A3B3B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2</xdr:col>
      <xdr:colOff>185552</xdr:colOff>
      <xdr:row>9</xdr:row>
      <xdr:rowOff>136071</xdr:rowOff>
    </xdr:from>
    <xdr:ext cx="784510" cy="280205"/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D2350602-DC53-4451-B333-0E8EB34FF014}"/>
            </a:ext>
          </a:extLst>
        </xdr:cNvPr>
        <xdr:cNvSpPr txBox="1"/>
      </xdr:nvSpPr>
      <xdr:spPr>
        <a:xfrm>
          <a:off x="604652" y="189819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9</xdr:col>
      <xdr:colOff>41068</xdr:colOff>
      <xdr:row>9</xdr:row>
      <xdr:rowOff>152399</xdr:rowOff>
    </xdr:from>
    <xdr:ext cx="784510" cy="280205"/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7208941B-6C43-46EB-A044-60D27D7778B4}"/>
            </a:ext>
          </a:extLst>
        </xdr:cNvPr>
        <xdr:cNvSpPr txBox="1"/>
      </xdr:nvSpPr>
      <xdr:spPr>
        <a:xfrm>
          <a:off x="1927018" y="191452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21</xdr:col>
      <xdr:colOff>45027</xdr:colOff>
      <xdr:row>9</xdr:row>
      <xdr:rowOff>168728</xdr:rowOff>
    </xdr:from>
    <xdr:ext cx="784510" cy="280205"/>
    <xdr:sp macro="" textlink="">
      <xdr:nvSpPr>
        <xdr:cNvPr id="217" name="TextBox 216">
          <a:extLst>
            <a:ext uri="{FF2B5EF4-FFF2-40B4-BE49-F238E27FC236}">
              <a16:creationId xmlns:a16="http://schemas.microsoft.com/office/drawing/2014/main" id="{9E4E872B-931F-45AC-A30A-4285FEF5D72D}"/>
            </a:ext>
          </a:extLst>
        </xdr:cNvPr>
        <xdr:cNvSpPr txBox="1"/>
      </xdr:nvSpPr>
      <xdr:spPr>
        <a:xfrm>
          <a:off x="4445577" y="19308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27</xdr:col>
      <xdr:colOff>24245</xdr:colOff>
      <xdr:row>9</xdr:row>
      <xdr:rowOff>160316</xdr:rowOff>
    </xdr:from>
    <xdr:ext cx="784510" cy="280205"/>
    <xdr:sp macro="" textlink="">
      <xdr:nvSpPr>
        <xdr:cNvPr id="218" name="TextBox 217">
          <a:extLst>
            <a:ext uri="{FF2B5EF4-FFF2-40B4-BE49-F238E27FC236}">
              <a16:creationId xmlns:a16="http://schemas.microsoft.com/office/drawing/2014/main" id="{C5259A98-ABA6-492A-B998-0F45A23B1BEC}"/>
            </a:ext>
          </a:extLst>
        </xdr:cNvPr>
        <xdr:cNvSpPr txBox="1"/>
      </xdr:nvSpPr>
      <xdr:spPr>
        <a:xfrm>
          <a:off x="5682095" y="19224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56</xdr:col>
      <xdr:colOff>151904</xdr:colOff>
      <xdr:row>9</xdr:row>
      <xdr:rowOff>176645</xdr:rowOff>
    </xdr:from>
    <xdr:ext cx="706540" cy="280205"/>
    <xdr:sp macro="" textlink="">
      <xdr:nvSpPr>
        <xdr:cNvPr id="219" name="TextBox 218">
          <a:extLst>
            <a:ext uri="{FF2B5EF4-FFF2-40B4-BE49-F238E27FC236}">
              <a16:creationId xmlns:a16="http://schemas.microsoft.com/office/drawing/2014/main" id="{6955C412-155A-4B30-AFBD-3E9CE06527A9}"/>
            </a:ext>
          </a:extLst>
        </xdr:cNvPr>
        <xdr:cNvSpPr txBox="1"/>
      </xdr:nvSpPr>
      <xdr:spPr>
        <a:xfrm>
          <a:off x="11886704" y="193877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</xdr:col>
      <xdr:colOff>168234</xdr:colOff>
      <xdr:row>15</xdr:row>
      <xdr:rowOff>131124</xdr:rowOff>
    </xdr:from>
    <xdr:ext cx="784510" cy="468077"/>
    <xdr:sp macro="" textlink="">
      <xdr:nvSpPr>
        <xdr:cNvPr id="220" name="TextBox 219">
          <a:extLst>
            <a:ext uri="{FF2B5EF4-FFF2-40B4-BE49-F238E27FC236}">
              <a16:creationId xmlns:a16="http://schemas.microsoft.com/office/drawing/2014/main" id="{288383C0-6FFE-4D88-B956-BE6C2C4E52F6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33</xdr:col>
      <xdr:colOff>36120</xdr:colOff>
      <xdr:row>9</xdr:row>
      <xdr:rowOff>159822</xdr:rowOff>
    </xdr:from>
    <xdr:ext cx="706540" cy="280205"/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23983318-A7BE-4E82-B643-F0C5F084A61F}"/>
            </a:ext>
          </a:extLst>
        </xdr:cNvPr>
        <xdr:cNvSpPr txBox="1"/>
      </xdr:nvSpPr>
      <xdr:spPr>
        <a:xfrm>
          <a:off x="6951270" y="192194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50</xdr:col>
      <xdr:colOff>151410</xdr:colOff>
      <xdr:row>9</xdr:row>
      <xdr:rowOff>163780</xdr:rowOff>
    </xdr:from>
    <xdr:ext cx="706540" cy="280205"/>
    <xdr:sp macro="" textlink="">
      <xdr:nvSpPr>
        <xdr:cNvPr id="222" name="TextBox 221">
          <a:extLst>
            <a:ext uri="{FF2B5EF4-FFF2-40B4-BE49-F238E27FC236}">
              <a16:creationId xmlns:a16="http://schemas.microsoft.com/office/drawing/2014/main" id="{069642E3-1DAE-48F4-8C0A-1E5ADF2FFF28}"/>
            </a:ext>
          </a:extLst>
        </xdr:cNvPr>
        <xdr:cNvSpPr txBox="1"/>
      </xdr:nvSpPr>
      <xdr:spPr>
        <a:xfrm>
          <a:off x="10628910" y="1925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44</xdr:col>
      <xdr:colOff>204849</xdr:colOff>
      <xdr:row>10</xdr:row>
      <xdr:rowOff>6927</xdr:rowOff>
    </xdr:from>
    <xdr:ext cx="706540" cy="280205"/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B0C4E50A-6806-4B98-9B28-0B2D07FBDDEA}"/>
            </a:ext>
          </a:extLst>
        </xdr:cNvPr>
        <xdr:cNvSpPr txBox="1"/>
      </xdr:nvSpPr>
      <xdr:spPr>
        <a:xfrm>
          <a:off x="9425049" y="19595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39</xdr:col>
      <xdr:colOff>23256</xdr:colOff>
      <xdr:row>9</xdr:row>
      <xdr:rowOff>159327</xdr:rowOff>
    </xdr:from>
    <xdr:ext cx="706540" cy="280205"/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64DD04E5-FCE8-4F39-AE1D-5CE8ECCB20A0}"/>
            </a:ext>
          </a:extLst>
        </xdr:cNvPr>
        <xdr:cNvSpPr txBox="1"/>
      </xdr:nvSpPr>
      <xdr:spPr>
        <a:xfrm>
          <a:off x="8195706" y="19214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15</xdr:col>
      <xdr:colOff>51955</xdr:colOff>
      <xdr:row>9</xdr:row>
      <xdr:rowOff>150915</xdr:rowOff>
    </xdr:from>
    <xdr:ext cx="784510" cy="280205"/>
    <xdr:sp macro="" textlink="">
      <xdr:nvSpPr>
        <xdr:cNvPr id="225" name="TextBox 224">
          <a:extLst>
            <a:ext uri="{FF2B5EF4-FFF2-40B4-BE49-F238E27FC236}">
              <a16:creationId xmlns:a16="http://schemas.microsoft.com/office/drawing/2014/main" id="{75AD23F1-2C81-44E7-B0BD-56D3EA57B177}"/>
            </a:ext>
          </a:extLst>
        </xdr:cNvPr>
        <xdr:cNvSpPr txBox="1"/>
      </xdr:nvSpPr>
      <xdr:spPr>
        <a:xfrm>
          <a:off x="3195205" y="19130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32</xdr:col>
      <xdr:colOff>172192</xdr:colOff>
      <xdr:row>15</xdr:row>
      <xdr:rowOff>122712</xdr:rowOff>
    </xdr:from>
    <xdr:ext cx="706540" cy="468077"/>
    <xdr:sp macro="" textlink="">
      <xdr:nvSpPr>
        <xdr:cNvPr id="226" name="TextBox 225">
          <a:extLst>
            <a:ext uri="{FF2B5EF4-FFF2-40B4-BE49-F238E27FC236}">
              <a16:creationId xmlns:a16="http://schemas.microsoft.com/office/drawing/2014/main" id="{0E856F6D-0615-4289-B6FB-A733D718FF3F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101930</xdr:colOff>
      <xdr:row>15</xdr:row>
      <xdr:rowOff>139040</xdr:rowOff>
    </xdr:from>
    <xdr:ext cx="784510" cy="468077"/>
    <xdr:sp macro="" textlink="">
      <xdr:nvSpPr>
        <xdr:cNvPr id="227" name="TextBox 226">
          <a:extLst>
            <a:ext uri="{FF2B5EF4-FFF2-40B4-BE49-F238E27FC236}">
              <a16:creationId xmlns:a16="http://schemas.microsoft.com/office/drawing/2014/main" id="{526EACC3-C842-4D1A-8042-33B3B6489855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180109</xdr:colOff>
      <xdr:row>15</xdr:row>
      <xdr:rowOff>155369</xdr:rowOff>
    </xdr:from>
    <xdr:ext cx="706540" cy="468077"/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id="{7FB4FA72-BF0B-4721-A030-B9941BF74CA4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26</xdr:col>
      <xdr:colOff>122217</xdr:colOff>
      <xdr:row>15</xdr:row>
      <xdr:rowOff>134586</xdr:rowOff>
    </xdr:from>
    <xdr:ext cx="784510" cy="468077"/>
    <xdr:sp macro="" textlink="">
      <xdr:nvSpPr>
        <xdr:cNvPr id="229" name="TextBox 228">
          <a:extLst>
            <a:ext uri="{FF2B5EF4-FFF2-40B4-BE49-F238E27FC236}">
              <a16:creationId xmlns:a16="http://schemas.microsoft.com/office/drawing/2014/main" id="{18D69F98-BB1F-4C30-9A02-C7AD6368C1F6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45</xdr:col>
      <xdr:colOff>2474</xdr:colOff>
      <xdr:row>15</xdr:row>
      <xdr:rowOff>138545</xdr:rowOff>
    </xdr:from>
    <xdr:ext cx="706540" cy="468077"/>
    <xdr:sp macro="" textlink="">
      <xdr:nvSpPr>
        <xdr:cNvPr id="230" name="TextBox 229">
          <a:extLst>
            <a:ext uri="{FF2B5EF4-FFF2-40B4-BE49-F238E27FC236}">
              <a16:creationId xmlns:a16="http://schemas.microsoft.com/office/drawing/2014/main" id="{97BBF940-5934-4884-B916-7FB1F33021F2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167244</xdr:colOff>
      <xdr:row>15</xdr:row>
      <xdr:rowOff>142504</xdr:rowOff>
    </xdr:from>
    <xdr:ext cx="784510" cy="468077"/>
    <xdr:sp macro="" textlink="">
      <xdr:nvSpPr>
        <xdr:cNvPr id="231" name="TextBox 230">
          <a:extLst>
            <a:ext uri="{FF2B5EF4-FFF2-40B4-BE49-F238E27FC236}">
              <a16:creationId xmlns:a16="http://schemas.microsoft.com/office/drawing/2014/main" id="{987EE563-688C-44E5-BAB5-BC36FB752DFD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8</xdr:col>
      <xdr:colOff>146461</xdr:colOff>
      <xdr:row>15</xdr:row>
      <xdr:rowOff>121722</xdr:rowOff>
    </xdr:from>
    <xdr:ext cx="784510" cy="468077"/>
    <xdr:sp macro="" textlink="">
      <xdr:nvSpPr>
        <xdr:cNvPr id="232" name="TextBox 231">
          <a:extLst>
            <a:ext uri="{FF2B5EF4-FFF2-40B4-BE49-F238E27FC236}">
              <a16:creationId xmlns:a16="http://schemas.microsoft.com/office/drawing/2014/main" id="{2D25E33A-6E16-4435-B87A-9F04752E3E9C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204354</xdr:colOff>
      <xdr:row>15</xdr:row>
      <xdr:rowOff>142504</xdr:rowOff>
    </xdr:from>
    <xdr:ext cx="706540" cy="468077"/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DF844808-2025-49D9-8798-E83DC55E5B4A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195941</xdr:colOff>
      <xdr:row>15</xdr:row>
      <xdr:rowOff>146462</xdr:rowOff>
    </xdr:from>
    <xdr:ext cx="706540" cy="468077"/>
    <xdr:sp macro="" textlink="">
      <xdr:nvSpPr>
        <xdr:cNvPr id="234" name="TextBox 233">
          <a:extLst>
            <a:ext uri="{FF2B5EF4-FFF2-40B4-BE49-F238E27FC236}">
              <a16:creationId xmlns:a16="http://schemas.microsoft.com/office/drawing/2014/main" id="{7DF052FE-5068-400C-8A43-DB2C61A403DD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205344</xdr:colOff>
      <xdr:row>21</xdr:row>
      <xdr:rowOff>131124</xdr:rowOff>
    </xdr:from>
    <xdr:ext cx="784510" cy="468077"/>
    <xdr:sp macro="" textlink="">
      <xdr:nvSpPr>
        <xdr:cNvPr id="235" name="TextBox 234">
          <a:extLst>
            <a:ext uri="{FF2B5EF4-FFF2-40B4-BE49-F238E27FC236}">
              <a16:creationId xmlns:a16="http://schemas.microsoft.com/office/drawing/2014/main" id="{27816CA8-57EE-412E-8FBC-05EC23100037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32</xdr:col>
      <xdr:colOff>196932</xdr:colOff>
      <xdr:row>21</xdr:row>
      <xdr:rowOff>147452</xdr:rowOff>
    </xdr:from>
    <xdr:ext cx="706540" cy="468077"/>
    <xdr:sp macro="" textlink="">
      <xdr:nvSpPr>
        <xdr:cNvPr id="236" name="TextBox 235">
          <a:extLst>
            <a:ext uri="{FF2B5EF4-FFF2-40B4-BE49-F238E27FC236}">
              <a16:creationId xmlns:a16="http://schemas.microsoft.com/office/drawing/2014/main" id="{C83DEC8A-D910-4591-8E08-E6EC908F2BAB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27</xdr:col>
      <xdr:colOff>2968</xdr:colOff>
      <xdr:row>21</xdr:row>
      <xdr:rowOff>151411</xdr:rowOff>
    </xdr:from>
    <xdr:ext cx="784510" cy="468077"/>
    <xdr:sp macro="" textlink="">
      <xdr:nvSpPr>
        <xdr:cNvPr id="237" name="TextBox 236">
          <a:extLst>
            <a:ext uri="{FF2B5EF4-FFF2-40B4-BE49-F238E27FC236}">
              <a16:creationId xmlns:a16="http://schemas.microsoft.com/office/drawing/2014/main" id="{E3F42DF9-410C-4155-8858-C9EB82AFC070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192479</xdr:colOff>
      <xdr:row>21</xdr:row>
      <xdr:rowOff>142999</xdr:rowOff>
    </xdr:from>
    <xdr:ext cx="784510" cy="468077"/>
    <xdr:sp macro="" textlink="">
      <xdr:nvSpPr>
        <xdr:cNvPr id="238" name="TextBox 237">
          <a:extLst>
            <a:ext uri="{FF2B5EF4-FFF2-40B4-BE49-F238E27FC236}">
              <a16:creationId xmlns:a16="http://schemas.microsoft.com/office/drawing/2014/main" id="{B32606C3-7F5B-4085-B500-7718820CC85D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171697</xdr:colOff>
      <xdr:row>21</xdr:row>
      <xdr:rowOff>146958</xdr:rowOff>
    </xdr:from>
    <xdr:ext cx="784510" cy="468077"/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BB4C2C37-D0CF-4CE6-B248-9790F586FEC8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9</xdr:col>
      <xdr:colOff>2473</xdr:colOff>
      <xdr:row>21</xdr:row>
      <xdr:rowOff>126176</xdr:rowOff>
    </xdr:from>
    <xdr:ext cx="784510" cy="468077"/>
    <xdr:sp macro="" textlink="">
      <xdr:nvSpPr>
        <xdr:cNvPr id="240" name="TextBox 239">
          <a:extLst>
            <a:ext uri="{FF2B5EF4-FFF2-40B4-BE49-F238E27FC236}">
              <a16:creationId xmlns:a16="http://schemas.microsoft.com/office/drawing/2014/main" id="{6BAF7CB7-EDD4-40FC-BB6C-F5A606D87D5F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200891</xdr:colOff>
      <xdr:row>21</xdr:row>
      <xdr:rowOff>139040</xdr:rowOff>
    </xdr:from>
    <xdr:ext cx="706540" cy="468077"/>
    <xdr:sp macro="" textlink="">
      <xdr:nvSpPr>
        <xdr:cNvPr id="241" name="TextBox 240">
          <a:extLst>
            <a:ext uri="{FF2B5EF4-FFF2-40B4-BE49-F238E27FC236}">
              <a16:creationId xmlns:a16="http://schemas.microsoft.com/office/drawing/2014/main" id="{8D194564-FE4C-467D-A3F3-7F7EF09B82A3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44</xdr:col>
      <xdr:colOff>192480</xdr:colOff>
      <xdr:row>21</xdr:row>
      <xdr:rowOff>142999</xdr:rowOff>
    </xdr:from>
    <xdr:ext cx="706540" cy="468077"/>
    <xdr:sp macro="" textlink="">
      <xdr:nvSpPr>
        <xdr:cNvPr id="242" name="TextBox 241">
          <a:extLst>
            <a:ext uri="{FF2B5EF4-FFF2-40B4-BE49-F238E27FC236}">
              <a16:creationId xmlns:a16="http://schemas.microsoft.com/office/drawing/2014/main" id="{3BAE5B84-EF4F-4BCF-B525-85D2F7A4E931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158090</xdr:colOff>
      <xdr:row>21</xdr:row>
      <xdr:rowOff>119125</xdr:rowOff>
    </xdr:from>
    <xdr:ext cx="706540" cy="468077"/>
    <xdr:sp macro="" textlink="">
      <xdr:nvSpPr>
        <xdr:cNvPr id="243" name="TextBox 242">
          <a:extLst>
            <a:ext uri="{FF2B5EF4-FFF2-40B4-BE49-F238E27FC236}">
              <a16:creationId xmlns:a16="http://schemas.microsoft.com/office/drawing/2014/main" id="{71DFAB2A-6E47-43E4-B314-3D35C448A24D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197922</xdr:colOff>
      <xdr:row>21</xdr:row>
      <xdr:rowOff>148441</xdr:rowOff>
    </xdr:from>
    <xdr:ext cx="706540" cy="468077"/>
    <xdr:sp macro="" textlink="">
      <xdr:nvSpPr>
        <xdr:cNvPr id="244" name="TextBox 243">
          <a:extLst>
            <a:ext uri="{FF2B5EF4-FFF2-40B4-BE49-F238E27FC236}">
              <a16:creationId xmlns:a16="http://schemas.microsoft.com/office/drawing/2014/main" id="{DDE735E7-CFA5-4508-B539-1577905480BC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168233</xdr:colOff>
      <xdr:row>27</xdr:row>
      <xdr:rowOff>143494</xdr:rowOff>
    </xdr:from>
    <xdr:ext cx="784510" cy="280205"/>
    <xdr:sp macro="" textlink="">
      <xdr:nvSpPr>
        <xdr:cNvPr id="245" name="TextBox 244">
          <a:extLst>
            <a:ext uri="{FF2B5EF4-FFF2-40B4-BE49-F238E27FC236}">
              <a16:creationId xmlns:a16="http://schemas.microsoft.com/office/drawing/2014/main" id="{0150B400-3FD3-4679-B6EC-1E93ECB05B66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33</xdr:col>
      <xdr:colOff>60859</xdr:colOff>
      <xdr:row>27</xdr:row>
      <xdr:rowOff>122711</xdr:rowOff>
    </xdr:from>
    <xdr:ext cx="706540" cy="280205"/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DF425D35-0A81-489E-AF24-0E6B2F2715CB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27</xdr:col>
      <xdr:colOff>15337</xdr:colOff>
      <xdr:row>27</xdr:row>
      <xdr:rowOff>151411</xdr:rowOff>
    </xdr:from>
    <xdr:ext cx="784510" cy="280205"/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36B529A6-5245-41CD-9522-0603794677BC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21</xdr:col>
      <xdr:colOff>31666</xdr:colOff>
      <xdr:row>27</xdr:row>
      <xdr:rowOff>167739</xdr:rowOff>
    </xdr:from>
    <xdr:ext cx="784510" cy="280205"/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D639482F-402A-4CF9-87D1-83B2702E490F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14</xdr:col>
      <xdr:colOff>196436</xdr:colOff>
      <xdr:row>27</xdr:row>
      <xdr:rowOff>159328</xdr:rowOff>
    </xdr:from>
    <xdr:ext cx="784510" cy="280205"/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1A5366C9-DC99-44A3-B6F2-BE03C08A3545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8</xdr:col>
      <xdr:colOff>188024</xdr:colOff>
      <xdr:row>27</xdr:row>
      <xdr:rowOff>150916</xdr:rowOff>
    </xdr:from>
    <xdr:ext cx="784510" cy="280205"/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F01A5A79-C898-4483-8D79-37A740243010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50</xdr:col>
      <xdr:colOff>176149</xdr:colOff>
      <xdr:row>27</xdr:row>
      <xdr:rowOff>163780</xdr:rowOff>
    </xdr:from>
    <xdr:ext cx="706540" cy="280205"/>
    <xdr:sp macro="" textlink="">
      <xdr:nvSpPr>
        <xdr:cNvPr id="251" name="TextBox 250">
          <a:extLst>
            <a:ext uri="{FF2B5EF4-FFF2-40B4-BE49-F238E27FC236}">
              <a16:creationId xmlns:a16="http://schemas.microsoft.com/office/drawing/2014/main" id="{7D25068C-7B75-4C7B-B241-605499935B1A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44</xdr:col>
      <xdr:colOff>180108</xdr:colOff>
      <xdr:row>27</xdr:row>
      <xdr:rowOff>167738</xdr:rowOff>
    </xdr:from>
    <xdr:ext cx="706540" cy="280205"/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E14BE1A0-3D2F-4C8C-B70C-085D008330ED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56</xdr:col>
      <xdr:colOff>134585</xdr:colOff>
      <xdr:row>27</xdr:row>
      <xdr:rowOff>146957</xdr:rowOff>
    </xdr:from>
    <xdr:ext cx="706540" cy="280205"/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F8A37C14-C0AE-406C-A146-3D97FF211BFA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38</xdr:col>
      <xdr:colOff>113803</xdr:colOff>
      <xdr:row>27</xdr:row>
      <xdr:rowOff>175655</xdr:rowOff>
    </xdr:from>
    <xdr:ext cx="706540" cy="280205"/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5715F0B6-7494-4286-B170-C7278DA95DEF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2</xdr:col>
      <xdr:colOff>131122</xdr:colOff>
      <xdr:row>33</xdr:row>
      <xdr:rowOff>155865</xdr:rowOff>
    </xdr:from>
    <xdr:ext cx="784510" cy="280205"/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5D22DC0C-9A9E-4E7C-B4D5-B21D039A1C28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26</xdr:col>
      <xdr:colOff>135081</xdr:colOff>
      <xdr:row>33</xdr:row>
      <xdr:rowOff>147454</xdr:rowOff>
    </xdr:from>
    <xdr:ext cx="784510" cy="280205"/>
    <xdr:sp macro="" textlink="">
      <xdr:nvSpPr>
        <xdr:cNvPr id="256" name="TextBox 255">
          <a:extLst>
            <a:ext uri="{FF2B5EF4-FFF2-40B4-BE49-F238E27FC236}">
              <a16:creationId xmlns:a16="http://schemas.microsoft.com/office/drawing/2014/main" id="{F3580486-64E4-4C90-BCD1-1856479AC7A6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21</xdr:col>
      <xdr:colOff>2967</xdr:colOff>
      <xdr:row>33</xdr:row>
      <xdr:rowOff>163782</xdr:rowOff>
    </xdr:from>
    <xdr:ext cx="784510" cy="280205"/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62E5B08E-A853-4965-968C-77626634825C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8</xdr:col>
      <xdr:colOff>118257</xdr:colOff>
      <xdr:row>33</xdr:row>
      <xdr:rowOff>155370</xdr:rowOff>
    </xdr:from>
    <xdr:ext cx="784510" cy="280205"/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2B1A78CC-FF67-4877-811C-3FDFA111F403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15</xdr:col>
      <xdr:colOff>10884</xdr:colOff>
      <xdr:row>33</xdr:row>
      <xdr:rowOff>159329</xdr:rowOff>
    </xdr:from>
    <xdr:ext cx="784510" cy="280205"/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E949CFA-6182-4E2B-9BD4-077C6CBD86D0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50</xdr:col>
      <xdr:colOff>163780</xdr:colOff>
      <xdr:row>33</xdr:row>
      <xdr:rowOff>139043</xdr:rowOff>
    </xdr:from>
    <xdr:ext cx="706540" cy="280205"/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CB9859D-D259-46A6-BA84-9E5FC31A6EC2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38</xdr:col>
      <xdr:colOff>167738</xdr:colOff>
      <xdr:row>33</xdr:row>
      <xdr:rowOff>143001</xdr:rowOff>
    </xdr:from>
    <xdr:ext cx="706540" cy="280205"/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11341C7A-B4FF-45C5-BC4E-6BDB06BB67B1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56</xdr:col>
      <xdr:colOff>159325</xdr:colOff>
      <xdr:row>33</xdr:row>
      <xdr:rowOff>159329</xdr:rowOff>
    </xdr:from>
    <xdr:ext cx="706540" cy="280205"/>
    <xdr:sp macro="" textlink="">
      <xdr:nvSpPr>
        <xdr:cNvPr id="262" name="TextBox 261">
          <a:extLst>
            <a:ext uri="{FF2B5EF4-FFF2-40B4-BE49-F238E27FC236}">
              <a16:creationId xmlns:a16="http://schemas.microsoft.com/office/drawing/2014/main" id="{27F8C66D-4152-45D4-B755-7A209118EDF9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32</xdr:col>
      <xdr:colOff>200395</xdr:colOff>
      <xdr:row>33</xdr:row>
      <xdr:rowOff>175658</xdr:rowOff>
    </xdr:from>
    <xdr:ext cx="706540" cy="280205"/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60326D6C-D701-4CA7-AC71-67B8AC0FF785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44</xdr:col>
      <xdr:colOff>154873</xdr:colOff>
      <xdr:row>33</xdr:row>
      <xdr:rowOff>179616</xdr:rowOff>
    </xdr:from>
    <xdr:ext cx="706540" cy="280205"/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79C3AE64-7E78-4641-AD0B-99E4D418B22B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2</xdr:col>
      <xdr:colOff>135080</xdr:colOff>
      <xdr:row>39</xdr:row>
      <xdr:rowOff>159823</xdr:rowOff>
    </xdr:from>
    <xdr:ext cx="784510" cy="280205"/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CF321A5B-DDD4-4C6A-AC10-A58E48C28CFE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8</xdr:col>
      <xdr:colOff>139038</xdr:colOff>
      <xdr:row>39</xdr:row>
      <xdr:rowOff>163782</xdr:rowOff>
    </xdr:from>
    <xdr:ext cx="784510" cy="280205"/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E8E14FCE-3B66-4E0F-A45E-1DD2A20B5E4F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14</xdr:col>
      <xdr:colOff>167737</xdr:colOff>
      <xdr:row>39</xdr:row>
      <xdr:rowOff>167740</xdr:rowOff>
    </xdr:from>
    <xdr:ext cx="784510" cy="280205"/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2471F19B-B068-4C48-B030-B70BB803D8F2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20</xdr:col>
      <xdr:colOff>146956</xdr:colOff>
      <xdr:row>39</xdr:row>
      <xdr:rowOff>171698</xdr:rowOff>
    </xdr:from>
    <xdr:ext cx="784510" cy="280205"/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25B1D199-3BC9-42FE-BA3D-36367B00C452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27</xdr:col>
      <xdr:colOff>37110</xdr:colOff>
      <xdr:row>39</xdr:row>
      <xdr:rowOff>160812</xdr:rowOff>
    </xdr:from>
    <xdr:ext cx="784510" cy="280205"/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DB63CEE8-815B-4EAD-B727-D676BB3FB7C9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32</xdr:col>
      <xdr:colOff>201880</xdr:colOff>
      <xdr:row>39</xdr:row>
      <xdr:rowOff>152400</xdr:rowOff>
    </xdr:from>
    <xdr:ext cx="706540" cy="280205"/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E268AA12-19EE-4B02-9F3D-1111B02F9094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38</xdr:col>
      <xdr:colOff>160811</xdr:colOff>
      <xdr:row>39</xdr:row>
      <xdr:rowOff>136071</xdr:rowOff>
    </xdr:from>
    <xdr:ext cx="706540" cy="280205"/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F4E5ADDA-FC63-4D50-8609-27A24D6B790B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44</xdr:col>
      <xdr:colOff>160812</xdr:colOff>
      <xdr:row>39</xdr:row>
      <xdr:rowOff>148442</xdr:rowOff>
    </xdr:from>
    <xdr:ext cx="706540" cy="280205"/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88F3B4D-887B-4E54-8184-A2EEFBDE1122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50</xdr:col>
      <xdr:colOff>197923</xdr:colOff>
      <xdr:row>39</xdr:row>
      <xdr:rowOff>160812</xdr:rowOff>
    </xdr:from>
    <xdr:ext cx="706540" cy="280205"/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58879E9B-65F2-4654-B342-9BFBE1C51E89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56</xdr:col>
      <xdr:colOff>173182</xdr:colOff>
      <xdr:row>39</xdr:row>
      <xdr:rowOff>160812</xdr:rowOff>
    </xdr:from>
    <xdr:ext cx="706540" cy="280205"/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603EDBC7-3B0E-4B04-8954-2F8EFF7BF4F8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2</xdr:col>
      <xdr:colOff>126668</xdr:colOff>
      <xdr:row>45</xdr:row>
      <xdr:rowOff>139041</xdr:rowOff>
    </xdr:from>
    <xdr:ext cx="784510" cy="280205"/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D16B84E1-05FB-4871-821D-94454D344F4A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45</xdr:col>
      <xdr:colOff>6925</xdr:colOff>
      <xdr:row>45</xdr:row>
      <xdr:rowOff>142999</xdr:rowOff>
    </xdr:from>
    <xdr:ext cx="706540" cy="280205"/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19530126-DB24-4ECD-BB68-30C4A45B4347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14</xdr:col>
      <xdr:colOff>146955</xdr:colOff>
      <xdr:row>45</xdr:row>
      <xdr:rowOff>134588</xdr:rowOff>
    </xdr:from>
    <xdr:ext cx="784510" cy="280205"/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1E38F09D-0D46-4B25-8082-726D8B84C49B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8</xdr:col>
      <xdr:colOff>188023</xdr:colOff>
      <xdr:row>45</xdr:row>
      <xdr:rowOff>163286</xdr:rowOff>
    </xdr:from>
    <xdr:ext cx="784510" cy="280205"/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894CD29A-EBA2-487E-862B-C34A2660E01A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20</xdr:col>
      <xdr:colOff>179612</xdr:colOff>
      <xdr:row>45</xdr:row>
      <xdr:rowOff>154875</xdr:rowOff>
    </xdr:from>
    <xdr:ext cx="784510" cy="280205"/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589369AC-33ED-4F6D-B358-B130DCA2AF87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32</xdr:col>
      <xdr:colOff>208310</xdr:colOff>
      <xdr:row>45</xdr:row>
      <xdr:rowOff>134093</xdr:rowOff>
    </xdr:from>
    <xdr:ext cx="706540" cy="280205"/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4BA72DAE-E462-47E8-B7E4-1C5B9BC19DD0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27</xdr:col>
      <xdr:colOff>14346</xdr:colOff>
      <xdr:row>45</xdr:row>
      <xdr:rowOff>138051</xdr:rowOff>
    </xdr:from>
    <xdr:ext cx="784510" cy="280205"/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1A80F70A-8247-4CE8-B3D6-F87E902C9F8D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38</xdr:col>
      <xdr:colOff>166747</xdr:colOff>
      <xdr:row>45</xdr:row>
      <xdr:rowOff>154379</xdr:rowOff>
    </xdr:from>
    <xdr:ext cx="706540" cy="280205"/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65C9822F-B0ED-4D35-A049-182FA3DF1234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50</xdr:col>
      <xdr:colOff>197923</xdr:colOff>
      <xdr:row>45</xdr:row>
      <xdr:rowOff>136072</xdr:rowOff>
    </xdr:from>
    <xdr:ext cx="706540" cy="280205"/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4C0496CB-67AB-486D-B129-F8EC67C4180C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56</xdr:col>
      <xdr:colOff>177141</xdr:colOff>
      <xdr:row>45</xdr:row>
      <xdr:rowOff>140030</xdr:rowOff>
    </xdr:from>
    <xdr:ext cx="706540" cy="280205"/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356565BF-2FF7-4766-8092-7B83B60E7059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2</xdr:col>
      <xdr:colOff>71438</xdr:colOff>
      <xdr:row>51</xdr:row>
      <xdr:rowOff>155760</xdr:rowOff>
    </xdr:from>
    <xdr:ext cx="784510" cy="280205"/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E8AD7A25-CED1-4D7A-8D96-9CB5DC7E1906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44</xdr:col>
      <xdr:colOff>94570</xdr:colOff>
      <xdr:row>51</xdr:row>
      <xdr:rowOff>167655</xdr:rowOff>
    </xdr:from>
    <xdr:ext cx="706540" cy="280205"/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46C3C43D-38CC-49BC-B7C2-CC96B4E853C1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14</xdr:col>
      <xdr:colOff>91725</xdr:colOff>
      <xdr:row>51</xdr:row>
      <xdr:rowOff>151307</xdr:rowOff>
    </xdr:from>
    <xdr:ext cx="784510" cy="280205"/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C58D5EF-5037-415F-86C3-83CE2FC839F7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8</xdr:col>
      <xdr:colOff>132793</xdr:colOff>
      <xdr:row>51</xdr:row>
      <xdr:rowOff>180005</xdr:rowOff>
    </xdr:from>
    <xdr:ext cx="784510" cy="280205"/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4267F023-BE50-4E8F-88B6-17D9FF8CCAE0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20</xdr:col>
      <xdr:colOff>124382</xdr:colOff>
      <xdr:row>51</xdr:row>
      <xdr:rowOff>171594</xdr:rowOff>
    </xdr:from>
    <xdr:ext cx="784510" cy="280205"/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E473AC1E-CEB3-48AF-A7E4-496842DEA75E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32</xdr:col>
      <xdr:colOff>153080</xdr:colOff>
      <xdr:row>51</xdr:row>
      <xdr:rowOff>150812</xdr:rowOff>
    </xdr:from>
    <xdr:ext cx="706540" cy="280205"/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3C69F043-A6D4-4618-A2C7-E05DDCFA74E7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26</xdr:col>
      <xdr:colOff>165491</xdr:colOff>
      <xdr:row>51</xdr:row>
      <xdr:rowOff>154770</xdr:rowOff>
    </xdr:from>
    <xdr:ext cx="784510" cy="280205"/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BB915FE1-64F0-4EA2-9906-5B639C5B8C0B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38</xdr:col>
      <xdr:colOff>111517</xdr:colOff>
      <xdr:row>51</xdr:row>
      <xdr:rowOff>171098</xdr:rowOff>
    </xdr:from>
    <xdr:ext cx="706540" cy="280205"/>
    <xdr:sp macro="" textlink="">
      <xdr:nvSpPr>
        <xdr:cNvPr id="292" name="TextBox 291">
          <a:extLst>
            <a:ext uri="{FF2B5EF4-FFF2-40B4-BE49-F238E27FC236}">
              <a16:creationId xmlns:a16="http://schemas.microsoft.com/office/drawing/2014/main" id="{5389B577-A12D-4E62-B401-579DD734F5D1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50</xdr:col>
      <xdr:colOff>142693</xdr:colOff>
      <xdr:row>51</xdr:row>
      <xdr:rowOff>152791</xdr:rowOff>
    </xdr:from>
    <xdr:ext cx="706540" cy="280205"/>
    <xdr:sp macro="" textlink="">
      <xdr:nvSpPr>
        <xdr:cNvPr id="293" name="TextBox 292">
          <a:extLst>
            <a:ext uri="{FF2B5EF4-FFF2-40B4-BE49-F238E27FC236}">
              <a16:creationId xmlns:a16="http://schemas.microsoft.com/office/drawing/2014/main" id="{44D09737-3698-437E-8388-B50041140455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56</xdr:col>
      <xdr:colOff>121911</xdr:colOff>
      <xdr:row>51</xdr:row>
      <xdr:rowOff>156749</xdr:rowOff>
    </xdr:from>
    <xdr:ext cx="706540" cy="280205"/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B3A6EEB3-9ACE-4FF3-83B7-D2C530A1DD02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2</xdr:col>
      <xdr:colOff>58412</xdr:colOff>
      <xdr:row>57</xdr:row>
      <xdr:rowOff>169635</xdr:rowOff>
    </xdr:from>
    <xdr:ext cx="784510" cy="280205"/>
    <xdr:sp macro="" textlink="">
      <xdr:nvSpPr>
        <xdr:cNvPr id="295" name="TextBox 294">
          <a:extLst>
            <a:ext uri="{FF2B5EF4-FFF2-40B4-BE49-F238E27FC236}">
              <a16:creationId xmlns:a16="http://schemas.microsoft.com/office/drawing/2014/main" id="{DB229F51-A7D5-4D42-80C7-02E4D3CB0827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44</xdr:col>
      <xdr:colOff>145044</xdr:colOff>
      <xdr:row>57</xdr:row>
      <xdr:rowOff>173593</xdr:rowOff>
    </xdr:from>
    <xdr:ext cx="706540" cy="280205"/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53A516F-AA31-4F8B-807F-2ED9CEC643E1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14</xdr:col>
      <xdr:colOff>78699</xdr:colOff>
      <xdr:row>57</xdr:row>
      <xdr:rowOff>165182</xdr:rowOff>
    </xdr:from>
    <xdr:ext cx="784510" cy="280205"/>
    <xdr:sp macro="" textlink="">
      <xdr:nvSpPr>
        <xdr:cNvPr id="297" name="TextBox 296">
          <a:extLst>
            <a:ext uri="{FF2B5EF4-FFF2-40B4-BE49-F238E27FC236}">
              <a16:creationId xmlns:a16="http://schemas.microsoft.com/office/drawing/2014/main" id="{ADBA11E9-436B-4A97-8935-FF1AC31A2D40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8</xdr:col>
      <xdr:colOff>119767</xdr:colOff>
      <xdr:row>58</xdr:row>
      <xdr:rowOff>3380</xdr:rowOff>
    </xdr:from>
    <xdr:ext cx="784510" cy="280205"/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C4589D69-7C57-4C16-BD69-93AB0DAA2D13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20</xdr:col>
      <xdr:colOff>111356</xdr:colOff>
      <xdr:row>57</xdr:row>
      <xdr:rowOff>185469</xdr:rowOff>
    </xdr:from>
    <xdr:ext cx="784510" cy="280205"/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932BE012-D0F7-48BF-B8F0-65498731B37B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32</xdr:col>
      <xdr:colOff>140054</xdr:colOff>
      <xdr:row>57</xdr:row>
      <xdr:rowOff>164687</xdr:rowOff>
    </xdr:from>
    <xdr:ext cx="706540" cy="280205"/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6215FC2B-82E5-44C6-9C76-0A5B2ACB68B0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26</xdr:col>
      <xdr:colOff>152465</xdr:colOff>
      <xdr:row>57</xdr:row>
      <xdr:rowOff>168645</xdr:rowOff>
    </xdr:from>
    <xdr:ext cx="784510" cy="280205"/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2A3D1784-95F6-4A21-B6AB-84B4F9C5545A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38</xdr:col>
      <xdr:colOff>98491</xdr:colOff>
      <xdr:row>57</xdr:row>
      <xdr:rowOff>184973</xdr:rowOff>
    </xdr:from>
    <xdr:ext cx="706540" cy="280205"/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1F325D1B-D45A-487A-B109-2E7FB1550F5D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50</xdr:col>
      <xdr:colOff>129667</xdr:colOff>
      <xdr:row>57</xdr:row>
      <xdr:rowOff>166666</xdr:rowOff>
    </xdr:from>
    <xdr:ext cx="706540" cy="280205"/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30A3AA19-11B9-4C56-B25A-79B3A8C0BEB9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56</xdr:col>
      <xdr:colOff>108885</xdr:colOff>
      <xdr:row>57</xdr:row>
      <xdr:rowOff>170624</xdr:rowOff>
    </xdr:from>
    <xdr:ext cx="706540" cy="280205"/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153654C8-9365-43B6-B627-F6311746C818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2</xdr:col>
      <xdr:colOff>71437</xdr:colOff>
      <xdr:row>63</xdr:row>
      <xdr:rowOff>155760</xdr:rowOff>
    </xdr:from>
    <xdr:ext cx="784510" cy="280205"/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C43515D9-5ACC-4162-B4B6-F50D1ED48E8E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44</xdr:col>
      <xdr:colOff>158069</xdr:colOff>
      <xdr:row>63</xdr:row>
      <xdr:rowOff>159718</xdr:rowOff>
    </xdr:from>
    <xdr:ext cx="706540" cy="280205"/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2BA80F9E-3EA6-495F-9E0F-A3343A5279B1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14</xdr:col>
      <xdr:colOff>91724</xdr:colOff>
      <xdr:row>63</xdr:row>
      <xdr:rowOff>151307</xdr:rowOff>
    </xdr:from>
    <xdr:ext cx="784510" cy="280205"/>
    <xdr:sp macro="" textlink="">
      <xdr:nvSpPr>
        <xdr:cNvPr id="307" name="TextBox 306">
          <a:extLst>
            <a:ext uri="{FF2B5EF4-FFF2-40B4-BE49-F238E27FC236}">
              <a16:creationId xmlns:a16="http://schemas.microsoft.com/office/drawing/2014/main" id="{A3EEA47F-CDFB-492F-B4A4-19FE21AB6A70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8</xdr:col>
      <xdr:colOff>132792</xdr:colOff>
      <xdr:row>63</xdr:row>
      <xdr:rowOff>180005</xdr:rowOff>
    </xdr:from>
    <xdr:ext cx="784510" cy="280205"/>
    <xdr:sp macro="" textlink="">
      <xdr:nvSpPr>
        <xdr:cNvPr id="308" name="TextBox 307">
          <a:extLst>
            <a:ext uri="{FF2B5EF4-FFF2-40B4-BE49-F238E27FC236}">
              <a16:creationId xmlns:a16="http://schemas.microsoft.com/office/drawing/2014/main" id="{AD9DA535-CA30-41B9-9036-FEDBC94F91C2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20</xdr:col>
      <xdr:colOff>124381</xdr:colOff>
      <xdr:row>63</xdr:row>
      <xdr:rowOff>171594</xdr:rowOff>
    </xdr:from>
    <xdr:ext cx="784510" cy="280205"/>
    <xdr:sp macro="" textlink="">
      <xdr:nvSpPr>
        <xdr:cNvPr id="309" name="TextBox 308">
          <a:extLst>
            <a:ext uri="{FF2B5EF4-FFF2-40B4-BE49-F238E27FC236}">
              <a16:creationId xmlns:a16="http://schemas.microsoft.com/office/drawing/2014/main" id="{FA7AC690-D326-41A3-8C92-8A73E4D27E0F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32</xdr:col>
      <xdr:colOff>153079</xdr:colOff>
      <xdr:row>63</xdr:row>
      <xdr:rowOff>150812</xdr:rowOff>
    </xdr:from>
    <xdr:ext cx="706540" cy="280205"/>
    <xdr:sp macro="" textlink="">
      <xdr:nvSpPr>
        <xdr:cNvPr id="310" name="TextBox 309">
          <a:extLst>
            <a:ext uri="{FF2B5EF4-FFF2-40B4-BE49-F238E27FC236}">
              <a16:creationId xmlns:a16="http://schemas.microsoft.com/office/drawing/2014/main" id="{69DDEF9F-76A2-475B-A272-EC7FCAD02502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26</xdr:col>
      <xdr:colOff>165490</xdr:colOff>
      <xdr:row>63</xdr:row>
      <xdr:rowOff>154770</xdr:rowOff>
    </xdr:from>
    <xdr:ext cx="784510" cy="280205"/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219F68AC-1ABE-4C91-8EDD-DC37BCD64915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38</xdr:col>
      <xdr:colOff>111516</xdr:colOff>
      <xdr:row>63</xdr:row>
      <xdr:rowOff>171098</xdr:rowOff>
    </xdr:from>
    <xdr:ext cx="706540" cy="280205"/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FC4B2749-361E-4625-8905-A2F303EE7884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51</xdr:col>
      <xdr:colOff>110942</xdr:colOff>
      <xdr:row>62</xdr:row>
      <xdr:rowOff>176604</xdr:rowOff>
    </xdr:from>
    <xdr:ext cx="706540" cy="280205"/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7D2D14B-3AB2-4E78-89E4-EC222FBE4C36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56</xdr:col>
      <xdr:colOff>121910</xdr:colOff>
      <xdr:row>63</xdr:row>
      <xdr:rowOff>156749</xdr:rowOff>
    </xdr:from>
    <xdr:ext cx="706540" cy="280205"/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388F3A04-87E1-46F2-BEDE-0D77D1B337CE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2</xdr:col>
      <xdr:colOff>55713</xdr:colOff>
      <xdr:row>69</xdr:row>
      <xdr:rowOff>166480</xdr:rowOff>
    </xdr:from>
    <xdr:ext cx="706540" cy="280205"/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9C57D449-64A8-41E0-8CCC-85D0B92B91B0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44</xdr:col>
      <xdr:colOff>142345</xdr:colOff>
      <xdr:row>69</xdr:row>
      <xdr:rowOff>170438</xdr:rowOff>
    </xdr:from>
    <xdr:ext cx="628570" cy="280205"/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F43588B4-0775-4AA8-A508-633CE412E8A4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14</xdr:col>
      <xdr:colOff>76000</xdr:colOff>
      <xdr:row>69</xdr:row>
      <xdr:rowOff>162027</xdr:rowOff>
    </xdr:from>
    <xdr:ext cx="706540" cy="280205"/>
    <xdr:sp macro="" textlink="">
      <xdr:nvSpPr>
        <xdr:cNvPr id="317" name="TextBox 316">
          <a:extLst>
            <a:ext uri="{FF2B5EF4-FFF2-40B4-BE49-F238E27FC236}">
              <a16:creationId xmlns:a16="http://schemas.microsoft.com/office/drawing/2014/main" id="{AC2ACD01-3427-4A29-AAA2-113E71AEF9AA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8</xdr:col>
      <xdr:colOff>117068</xdr:colOff>
      <xdr:row>69</xdr:row>
      <xdr:rowOff>151037</xdr:rowOff>
    </xdr:from>
    <xdr:ext cx="706540" cy="280205"/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5FE2FAE2-6A88-4500-B99F-947EB6D69565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20</xdr:col>
      <xdr:colOff>132470</xdr:colOff>
      <xdr:row>69</xdr:row>
      <xdr:rowOff>166439</xdr:rowOff>
    </xdr:from>
    <xdr:ext cx="706540" cy="280205"/>
    <xdr:sp macro="" textlink="">
      <xdr:nvSpPr>
        <xdr:cNvPr id="319" name="TextBox 318">
          <a:extLst>
            <a:ext uri="{FF2B5EF4-FFF2-40B4-BE49-F238E27FC236}">
              <a16:creationId xmlns:a16="http://schemas.microsoft.com/office/drawing/2014/main" id="{25E34100-4437-4268-B6E5-C3831BE69779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32</xdr:col>
      <xdr:colOff>137355</xdr:colOff>
      <xdr:row>69</xdr:row>
      <xdr:rowOff>161532</xdr:rowOff>
    </xdr:from>
    <xdr:ext cx="628570" cy="280205"/>
    <xdr:sp macro="" textlink="">
      <xdr:nvSpPr>
        <xdr:cNvPr id="320" name="TextBox 319">
          <a:extLst>
            <a:ext uri="{FF2B5EF4-FFF2-40B4-BE49-F238E27FC236}">
              <a16:creationId xmlns:a16="http://schemas.microsoft.com/office/drawing/2014/main" id="{0BA9E390-B6A8-4F81-800B-CFFF57549F00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26</xdr:col>
      <xdr:colOff>149766</xdr:colOff>
      <xdr:row>69</xdr:row>
      <xdr:rowOff>165490</xdr:rowOff>
    </xdr:from>
    <xdr:ext cx="706540" cy="280205"/>
    <xdr:sp macro="" textlink="">
      <xdr:nvSpPr>
        <xdr:cNvPr id="321" name="TextBox 320">
          <a:extLst>
            <a:ext uri="{FF2B5EF4-FFF2-40B4-BE49-F238E27FC236}">
              <a16:creationId xmlns:a16="http://schemas.microsoft.com/office/drawing/2014/main" id="{EA10D9C0-B13F-4476-9933-78838104C17F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38</xdr:col>
      <xdr:colOff>135479</xdr:colOff>
      <xdr:row>69</xdr:row>
      <xdr:rowOff>173880</xdr:rowOff>
    </xdr:from>
    <xdr:ext cx="628570" cy="280205"/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B2EC3BE2-454C-42F0-8614-01FFFA314081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50</xdr:col>
      <xdr:colOff>126968</xdr:colOff>
      <xdr:row>69</xdr:row>
      <xdr:rowOff>163511</xdr:rowOff>
    </xdr:from>
    <xdr:ext cx="628570" cy="280205"/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9DE02D3A-8DC3-4914-842B-5BC3DE53A353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56</xdr:col>
      <xdr:colOff>106186</xdr:colOff>
      <xdr:row>69</xdr:row>
      <xdr:rowOff>167469</xdr:rowOff>
    </xdr:from>
    <xdr:ext cx="628570" cy="280205"/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18E43C8E-04BC-44F0-9260-B544B7669817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2</xdr:col>
      <xdr:colOff>104926</xdr:colOff>
      <xdr:row>75</xdr:row>
      <xdr:rowOff>152193</xdr:rowOff>
    </xdr:from>
    <xdr:ext cx="706540" cy="280205"/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71E07657-96C6-42AD-8BBC-38E88B7AD6C5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44</xdr:col>
      <xdr:colOff>191558</xdr:colOff>
      <xdr:row>75</xdr:row>
      <xdr:rowOff>156151</xdr:rowOff>
    </xdr:from>
    <xdr:ext cx="628570" cy="280205"/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8E52EF84-FC49-4C6D-884E-97DF1D612DD4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14</xdr:col>
      <xdr:colOff>125213</xdr:colOff>
      <xdr:row>75</xdr:row>
      <xdr:rowOff>147740</xdr:rowOff>
    </xdr:from>
    <xdr:ext cx="706540" cy="280205"/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5C809008-9B60-4873-A3B8-33A361B7A797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8</xdr:col>
      <xdr:colOff>166281</xdr:colOff>
      <xdr:row>75</xdr:row>
      <xdr:rowOff>136750</xdr:rowOff>
    </xdr:from>
    <xdr:ext cx="706540" cy="280205"/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84EEAE03-04BD-4507-BE49-026474DDD484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20</xdr:col>
      <xdr:colOff>181683</xdr:colOff>
      <xdr:row>75</xdr:row>
      <xdr:rowOff>152152</xdr:rowOff>
    </xdr:from>
    <xdr:ext cx="706540" cy="280205"/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C7FBD8EE-6B46-4436-9E41-06A75CD9226C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32</xdr:col>
      <xdr:colOff>186568</xdr:colOff>
      <xdr:row>75</xdr:row>
      <xdr:rowOff>147245</xdr:rowOff>
    </xdr:from>
    <xdr:ext cx="628570" cy="280205"/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BA482792-01E8-4409-97FB-1DB7DEEB95C3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26</xdr:col>
      <xdr:colOff>198979</xdr:colOff>
      <xdr:row>75</xdr:row>
      <xdr:rowOff>151203</xdr:rowOff>
    </xdr:from>
    <xdr:ext cx="706540" cy="280205"/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D6E01612-FA2E-47A6-AC03-A4B1BDCCE9F8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38</xdr:col>
      <xdr:colOff>184692</xdr:colOff>
      <xdr:row>75</xdr:row>
      <xdr:rowOff>159593</xdr:rowOff>
    </xdr:from>
    <xdr:ext cx="628570" cy="280205"/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B4FE50C4-8F7B-42E1-9D1E-40617ED6F1E7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50</xdr:col>
      <xdr:colOff>176181</xdr:colOff>
      <xdr:row>75</xdr:row>
      <xdr:rowOff>149224</xdr:rowOff>
    </xdr:from>
    <xdr:ext cx="628570" cy="280205"/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EA20AA8D-51BA-4EE0-A0F5-CB6E538D3B6B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56</xdr:col>
      <xdr:colOff>155399</xdr:colOff>
      <xdr:row>75</xdr:row>
      <xdr:rowOff>153182</xdr:rowOff>
    </xdr:from>
    <xdr:ext cx="628570" cy="280205"/>
    <xdr:sp macro="" textlink="">
      <xdr:nvSpPr>
        <xdr:cNvPr id="334" name="TextBox 333">
          <a:extLst>
            <a:ext uri="{FF2B5EF4-FFF2-40B4-BE49-F238E27FC236}">
              <a16:creationId xmlns:a16="http://schemas.microsoft.com/office/drawing/2014/main" id="{C4AD208D-F64D-4745-9E01-89751DFC16A1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2</xdr:col>
      <xdr:colOff>98576</xdr:colOff>
      <xdr:row>81</xdr:row>
      <xdr:rowOff>145843</xdr:rowOff>
    </xdr:from>
    <xdr:ext cx="706540" cy="280205"/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4D3AFC8C-2274-4FCC-BBBD-74B37F0E0441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44</xdr:col>
      <xdr:colOff>185208</xdr:colOff>
      <xdr:row>81</xdr:row>
      <xdr:rowOff>149801</xdr:rowOff>
    </xdr:from>
    <xdr:ext cx="628570" cy="280205"/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CAB846F1-66CB-405A-AD3B-C9BBE0DDC360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14</xdr:col>
      <xdr:colOff>118863</xdr:colOff>
      <xdr:row>81</xdr:row>
      <xdr:rowOff>141390</xdr:rowOff>
    </xdr:from>
    <xdr:ext cx="706540" cy="280205"/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ACD99E5D-0BF8-4C06-B835-53843035C715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8</xdr:col>
      <xdr:colOff>159931</xdr:colOff>
      <xdr:row>81</xdr:row>
      <xdr:rowOff>130400</xdr:rowOff>
    </xdr:from>
    <xdr:ext cx="706540" cy="280205"/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E40627FE-4BE3-4541-B35D-2BBAB58BE7F3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20</xdr:col>
      <xdr:colOff>175333</xdr:colOff>
      <xdr:row>81</xdr:row>
      <xdr:rowOff>145802</xdr:rowOff>
    </xdr:from>
    <xdr:ext cx="706540" cy="280205"/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E2FF56F7-39BF-4710-AC45-BCF79F006310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32</xdr:col>
      <xdr:colOff>180218</xdr:colOff>
      <xdr:row>81</xdr:row>
      <xdr:rowOff>140895</xdr:rowOff>
    </xdr:from>
    <xdr:ext cx="628570" cy="280205"/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7281208B-72AA-4AA9-9E70-F68C7A8D57ED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26</xdr:col>
      <xdr:colOff>192629</xdr:colOff>
      <xdr:row>81</xdr:row>
      <xdr:rowOff>144853</xdr:rowOff>
    </xdr:from>
    <xdr:ext cx="706540" cy="280205"/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9DEBC9CB-0E49-4720-A9BF-13FA4E576E77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38</xdr:col>
      <xdr:colOff>178342</xdr:colOff>
      <xdr:row>81</xdr:row>
      <xdr:rowOff>153243</xdr:rowOff>
    </xdr:from>
    <xdr:ext cx="628570" cy="280205"/>
    <xdr:sp macro="" textlink="">
      <xdr:nvSpPr>
        <xdr:cNvPr id="342" name="TextBox 341">
          <a:extLst>
            <a:ext uri="{FF2B5EF4-FFF2-40B4-BE49-F238E27FC236}">
              <a16:creationId xmlns:a16="http://schemas.microsoft.com/office/drawing/2014/main" id="{03175A14-E639-4317-8D64-371B332456F6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50</xdr:col>
      <xdr:colOff>169831</xdr:colOff>
      <xdr:row>81</xdr:row>
      <xdr:rowOff>142874</xdr:rowOff>
    </xdr:from>
    <xdr:ext cx="628570" cy="280205"/>
    <xdr:sp macro="" textlink="">
      <xdr:nvSpPr>
        <xdr:cNvPr id="343" name="TextBox 342">
          <a:extLst>
            <a:ext uri="{FF2B5EF4-FFF2-40B4-BE49-F238E27FC236}">
              <a16:creationId xmlns:a16="http://schemas.microsoft.com/office/drawing/2014/main" id="{099EB372-EF5B-4609-A700-F1A86E06D352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56</xdr:col>
      <xdr:colOff>149049</xdr:colOff>
      <xdr:row>81</xdr:row>
      <xdr:rowOff>146832</xdr:rowOff>
    </xdr:from>
    <xdr:ext cx="628570" cy="280205"/>
    <xdr:sp macro="" textlink="">
      <xdr:nvSpPr>
        <xdr:cNvPr id="344" name="TextBox 343">
          <a:extLst>
            <a:ext uri="{FF2B5EF4-FFF2-40B4-BE49-F238E27FC236}">
              <a16:creationId xmlns:a16="http://schemas.microsoft.com/office/drawing/2014/main" id="{3024B8CF-C7F5-4012-8C03-50F2284A6EB9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twoCellAnchor>
    <xdr:from>
      <xdr:col>0</xdr:col>
      <xdr:colOff>9525</xdr:colOff>
      <xdr:row>86</xdr:row>
      <xdr:rowOff>9525</xdr:rowOff>
    </xdr:from>
    <xdr:to>
      <xdr:col>74</xdr:col>
      <xdr:colOff>61851</xdr:colOff>
      <xdr:row>86</xdr:row>
      <xdr:rowOff>12370</xdr:rowOff>
    </xdr:to>
    <xdr:cxnSp macro="">
      <xdr:nvCxnSpPr>
        <xdr:cNvPr id="345" name="Straight Connector 344">
          <a:extLst>
            <a:ext uri="{FF2B5EF4-FFF2-40B4-BE49-F238E27FC236}">
              <a16:creationId xmlns:a16="http://schemas.microsoft.com/office/drawing/2014/main" id="{014C205A-66DD-4626-A1DB-EC1C86D0B2C6}"/>
            </a:ext>
          </a:extLst>
        </xdr:cNvPr>
        <xdr:cNvCxnSpPr/>
      </xdr:nvCxnSpPr>
      <xdr:spPr>
        <a:xfrm>
          <a:off x="9525" y="16440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87</xdr:row>
      <xdr:rowOff>145843</xdr:rowOff>
    </xdr:from>
    <xdr:ext cx="706540" cy="280205"/>
    <xdr:sp macro="" textlink="">
      <xdr:nvSpPr>
        <xdr:cNvPr id="346" name="TextBox 345">
          <a:extLst>
            <a:ext uri="{FF2B5EF4-FFF2-40B4-BE49-F238E27FC236}">
              <a16:creationId xmlns:a16="http://schemas.microsoft.com/office/drawing/2014/main" id="{1B8F2BA4-A24B-4373-ACDE-E37E8ED71B51}"/>
            </a:ext>
          </a:extLst>
        </xdr:cNvPr>
        <xdr:cNvSpPr txBox="1"/>
      </xdr:nvSpPr>
      <xdr:spPr>
        <a:xfrm>
          <a:off x="517676" y="16766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6N-14W</a:t>
          </a:r>
        </a:p>
      </xdr:txBody>
    </xdr:sp>
    <xdr:clientData/>
  </xdr:oneCellAnchor>
  <xdr:oneCellAnchor>
    <xdr:from>
      <xdr:col>44</xdr:col>
      <xdr:colOff>185208</xdr:colOff>
      <xdr:row>87</xdr:row>
      <xdr:rowOff>149801</xdr:rowOff>
    </xdr:from>
    <xdr:ext cx="628570" cy="280205"/>
    <xdr:sp macro="" textlink="">
      <xdr:nvSpPr>
        <xdr:cNvPr id="347" name="TextBox 346">
          <a:extLst>
            <a:ext uri="{FF2B5EF4-FFF2-40B4-BE49-F238E27FC236}">
              <a16:creationId xmlns:a16="http://schemas.microsoft.com/office/drawing/2014/main" id="{ED26EF57-488A-405E-974B-160319F161DD}"/>
            </a:ext>
          </a:extLst>
        </xdr:cNvPr>
        <xdr:cNvSpPr txBox="1"/>
      </xdr:nvSpPr>
      <xdr:spPr>
        <a:xfrm>
          <a:off x="9405408" y="16770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6N-7W</a:t>
          </a:r>
        </a:p>
      </xdr:txBody>
    </xdr:sp>
    <xdr:clientData/>
  </xdr:oneCellAnchor>
  <xdr:oneCellAnchor>
    <xdr:from>
      <xdr:col>14</xdr:col>
      <xdr:colOff>118863</xdr:colOff>
      <xdr:row>87</xdr:row>
      <xdr:rowOff>141390</xdr:rowOff>
    </xdr:from>
    <xdr:ext cx="706540" cy="280205"/>
    <xdr:sp macro="" textlink="">
      <xdr:nvSpPr>
        <xdr:cNvPr id="348" name="TextBox 347">
          <a:extLst>
            <a:ext uri="{FF2B5EF4-FFF2-40B4-BE49-F238E27FC236}">
              <a16:creationId xmlns:a16="http://schemas.microsoft.com/office/drawing/2014/main" id="{E3CF2FB9-96CF-42A9-BE21-A98BF7D82F3D}"/>
            </a:ext>
          </a:extLst>
        </xdr:cNvPr>
        <xdr:cNvSpPr txBox="1"/>
      </xdr:nvSpPr>
      <xdr:spPr>
        <a:xfrm>
          <a:off x="3052563" y="16762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6N-12W</a:t>
          </a:r>
        </a:p>
      </xdr:txBody>
    </xdr:sp>
    <xdr:clientData/>
  </xdr:oneCellAnchor>
  <xdr:oneCellAnchor>
    <xdr:from>
      <xdr:col>8</xdr:col>
      <xdr:colOff>159931</xdr:colOff>
      <xdr:row>87</xdr:row>
      <xdr:rowOff>130400</xdr:rowOff>
    </xdr:from>
    <xdr:ext cx="706540" cy="280205"/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8A9DA423-D991-4CAA-B4FE-3FDF82CE7764}"/>
            </a:ext>
          </a:extLst>
        </xdr:cNvPr>
        <xdr:cNvSpPr txBox="1"/>
      </xdr:nvSpPr>
      <xdr:spPr>
        <a:xfrm>
          <a:off x="1836331" y="16751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6N-13W</a:t>
          </a:r>
        </a:p>
      </xdr:txBody>
    </xdr:sp>
    <xdr:clientData/>
  </xdr:oneCellAnchor>
  <xdr:oneCellAnchor>
    <xdr:from>
      <xdr:col>20</xdr:col>
      <xdr:colOff>175333</xdr:colOff>
      <xdr:row>87</xdr:row>
      <xdr:rowOff>145802</xdr:rowOff>
    </xdr:from>
    <xdr:ext cx="706540" cy="280205"/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ECD6E7E9-49F4-44BC-AD05-B3B7BDB8407E}"/>
            </a:ext>
          </a:extLst>
        </xdr:cNvPr>
        <xdr:cNvSpPr txBox="1"/>
      </xdr:nvSpPr>
      <xdr:spPr>
        <a:xfrm>
          <a:off x="4366333" y="16766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6N-11W</a:t>
          </a:r>
        </a:p>
      </xdr:txBody>
    </xdr:sp>
    <xdr:clientData/>
  </xdr:oneCellAnchor>
  <xdr:oneCellAnchor>
    <xdr:from>
      <xdr:col>32</xdr:col>
      <xdr:colOff>180218</xdr:colOff>
      <xdr:row>87</xdr:row>
      <xdr:rowOff>140895</xdr:rowOff>
    </xdr:from>
    <xdr:ext cx="628570" cy="280205"/>
    <xdr:sp macro="" textlink="">
      <xdr:nvSpPr>
        <xdr:cNvPr id="351" name="TextBox 350">
          <a:extLst>
            <a:ext uri="{FF2B5EF4-FFF2-40B4-BE49-F238E27FC236}">
              <a16:creationId xmlns:a16="http://schemas.microsoft.com/office/drawing/2014/main" id="{A1AC2E31-4D1F-4292-99D6-1B0FDF3114C9}"/>
            </a:ext>
          </a:extLst>
        </xdr:cNvPr>
        <xdr:cNvSpPr txBox="1"/>
      </xdr:nvSpPr>
      <xdr:spPr>
        <a:xfrm>
          <a:off x="6885818" y="16762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6N-9W</a:t>
          </a:r>
        </a:p>
      </xdr:txBody>
    </xdr:sp>
    <xdr:clientData/>
  </xdr:oneCellAnchor>
  <xdr:oneCellAnchor>
    <xdr:from>
      <xdr:col>26</xdr:col>
      <xdr:colOff>192629</xdr:colOff>
      <xdr:row>87</xdr:row>
      <xdr:rowOff>144853</xdr:rowOff>
    </xdr:from>
    <xdr:ext cx="706540" cy="280205"/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BF682021-A173-4A3F-BA57-061373B6F327}"/>
            </a:ext>
          </a:extLst>
        </xdr:cNvPr>
        <xdr:cNvSpPr txBox="1"/>
      </xdr:nvSpPr>
      <xdr:spPr>
        <a:xfrm>
          <a:off x="5640929" y="16765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6N-10W</a:t>
          </a:r>
        </a:p>
      </xdr:txBody>
    </xdr:sp>
    <xdr:clientData/>
  </xdr:oneCellAnchor>
  <xdr:oneCellAnchor>
    <xdr:from>
      <xdr:col>38</xdr:col>
      <xdr:colOff>178342</xdr:colOff>
      <xdr:row>87</xdr:row>
      <xdr:rowOff>153243</xdr:rowOff>
    </xdr:from>
    <xdr:ext cx="628570" cy="280205"/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665C2F3D-D07B-4085-A54E-3C780CC00A25}"/>
            </a:ext>
          </a:extLst>
        </xdr:cNvPr>
        <xdr:cNvSpPr txBox="1"/>
      </xdr:nvSpPr>
      <xdr:spPr>
        <a:xfrm>
          <a:off x="8141242" y="16774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6N-8W</a:t>
          </a:r>
        </a:p>
      </xdr:txBody>
    </xdr:sp>
    <xdr:clientData/>
  </xdr:oneCellAnchor>
  <xdr:oneCellAnchor>
    <xdr:from>
      <xdr:col>50</xdr:col>
      <xdr:colOff>169831</xdr:colOff>
      <xdr:row>87</xdr:row>
      <xdr:rowOff>142874</xdr:rowOff>
    </xdr:from>
    <xdr:ext cx="628570" cy="280205"/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1563A4F6-21A5-44F1-B3E4-793445BF6E54}"/>
            </a:ext>
          </a:extLst>
        </xdr:cNvPr>
        <xdr:cNvSpPr txBox="1"/>
      </xdr:nvSpPr>
      <xdr:spPr>
        <a:xfrm>
          <a:off x="10647331" y="16763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6N-6W</a:t>
          </a:r>
        </a:p>
      </xdr:txBody>
    </xdr:sp>
    <xdr:clientData/>
  </xdr:oneCellAnchor>
  <xdr:oneCellAnchor>
    <xdr:from>
      <xdr:col>56</xdr:col>
      <xdr:colOff>149049</xdr:colOff>
      <xdr:row>87</xdr:row>
      <xdr:rowOff>146832</xdr:rowOff>
    </xdr:from>
    <xdr:ext cx="628570" cy="280205"/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EEC371CB-7F8D-479E-85EE-B015F6D5656A}"/>
            </a:ext>
          </a:extLst>
        </xdr:cNvPr>
        <xdr:cNvSpPr txBox="1"/>
      </xdr:nvSpPr>
      <xdr:spPr>
        <a:xfrm>
          <a:off x="11883849" y="16767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6N-5W</a:t>
          </a:r>
        </a:p>
      </xdr:txBody>
    </xdr:sp>
    <xdr:clientData/>
  </xdr:oneCellAnchor>
  <xdr:twoCellAnchor>
    <xdr:from>
      <xdr:col>0</xdr:col>
      <xdr:colOff>9525</xdr:colOff>
      <xdr:row>92</xdr:row>
      <xdr:rowOff>9525</xdr:rowOff>
    </xdr:from>
    <xdr:to>
      <xdr:col>74</xdr:col>
      <xdr:colOff>61851</xdr:colOff>
      <xdr:row>92</xdr:row>
      <xdr:rowOff>12370</xdr:rowOff>
    </xdr:to>
    <xdr:cxnSp macro="">
      <xdr:nvCxnSpPr>
        <xdr:cNvPr id="356" name="Straight Connector 355">
          <a:extLst>
            <a:ext uri="{FF2B5EF4-FFF2-40B4-BE49-F238E27FC236}">
              <a16:creationId xmlns:a16="http://schemas.microsoft.com/office/drawing/2014/main" id="{704C3CA5-C42E-47AC-A386-0C54F249FA3E}"/>
            </a:ext>
          </a:extLst>
        </xdr:cNvPr>
        <xdr:cNvCxnSpPr/>
      </xdr:nvCxnSpPr>
      <xdr:spPr>
        <a:xfrm>
          <a:off x="9525" y="17583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93</xdr:row>
      <xdr:rowOff>145843</xdr:rowOff>
    </xdr:from>
    <xdr:ext cx="706540" cy="280205"/>
    <xdr:sp macro="" textlink="">
      <xdr:nvSpPr>
        <xdr:cNvPr id="357" name="TextBox 356">
          <a:extLst>
            <a:ext uri="{FF2B5EF4-FFF2-40B4-BE49-F238E27FC236}">
              <a16:creationId xmlns:a16="http://schemas.microsoft.com/office/drawing/2014/main" id="{2CB15456-5F29-4237-A6C8-50C92C5D4CFA}"/>
            </a:ext>
          </a:extLst>
        </xdr:cNvPr>
        <xdr:cNvSpPr txBox="1"/>
      </xdr:nvSpPr>
      <xdr:spPr>
        <a:xfrm>
          <a:off x="517676" y="17909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5N-14W</a:t>
          </a:r>
        </a:p>
      </xdr:txBody>
    </xdr:sp>
    <xdr:clientData/>
  </xdr:oneCellAnchor>
  <xdr:oneCellAnchor>
    <xdr:from>
      <xdr:col>44</xdr:col>
      <xdr:colOff>185208</xdr:colOff>
      <xdr:row>93</xdr:row>
      <xdr:rowOff>149801</xdr:rowOff>
    </xdr:from>
    <xdr:ext cx="628570" cy="280205"/>
    <xdr:sp macro="" textlink="">
      <xdr:nvSpPr>
        <xdr:cNvPr id="358" name="TextBox 357">
          <a:extLst>
            <a:ext uri="{FF2B5EF4-FFF2-40B4-BE49-F238E27FC236}">
              <a16:creationId xmlns:a16="http://schemas.microsoft.com/office/drawing/2014/main" id="{2DF16D9E-5DA7-4666-A82E-D9404A4573AD}"/>
            </a:ext>
          </a:extLst>
        </xdr:cNvPr>
        <xdr:cNvSpPr txBox="1"/>
      </xdr:nvSpPr>
      <xdr:spPr>
        <a:xfrm>
          <a:off x="9405408" y="17913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5N-7W</a:t>
          </a:r>
        </a:p>
      </xdr:txBody>
    </xdr:sp>
    <xdr:clientData/>
  </xdr:oneCellAnchor>
  <xdr:oneCellAnchor>
    <xdr:from>
      <xdr:col>14</xdr:col>
      <xdr:colOff>118863</xdr:colOff>
      <xdr:row>93</xdr:row>
      <xdr:rowOff>141390</xdr:rowOff>
    </xdr:from>
    <xdr:ext cx="706540" cy="280205"/>
    <xdr:sp macro="" textlink="">
      <xdr:nvSpPr>
        <xdr:cNvPr id="359" name="TextBox 358">
          <a:extLst>
            <a:ext uri="{FF2B5EF4-FFF2-40B4-BE49-F238E27FC236}">
              <a16:creationId xmlns:a16="http://schemas.microsoft.com/office/drawing/2014/main" id="{1109A07B-661D-4761-96CF-2E2C4AF5C16E}"/>
            </a:ext>
          </a:extLst>
        </xdr:cNvPr>
        <xdr:cNvSpPr txBox="1"/>
      </xdr:nvSpPr>
      <xdr:spPr>
        <a:xfrm>
          <a:off x="3052563" y="17905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5N-12W</a:t>
          </a:r>
        </a:p>
      </xdr:txBody>
    </xdr:sp>
    <xdr:clientData/>
  </xdr:oneCellAnchor>
  <xdr:oneCellAnchor>
    <xdr:from>
      <xdr:col>8</xdr:col>
      <xdr:colOff>159931</xdr:colOff>
      <xdr:row>93</xdr:row>
      <xdr:rowOff>130400</xdr:rowOff>
    </xdr:from>
    <xdr:ext cx="706540" cy="280205"/>
    <xdr:sp macro="" textlink="">
      <xdr:nvSpPr>
        <xdr:cNvPr id="360" name="TextBox 359">
          <a:extLst>
            <a:ext uri="{FF2B5EF4-FFF2-40B4-BE49-F238E27FC236}">
              <a16:creationId xmlns:a16="http://schemas.microsoft.com/office/drawing/2014/main" id="{0E454F37-BAAC-4E86-94E1-4C226A0405D0}"/>
            </a:ext>
          </a:extLst>
        </xdr:cNvPr>
        <xdr:cNvSpPr txBox="1"/>
      </xdr:nvSpPr>
      <xdr:spPr>
        <a:xfrm>
          <a:off x="1836331" y="17894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5N-13W</a:t>
          </a:r>
        </a:p>
      </xdr:txBody>
    </xdr:sp>
    <xdr:clientData/>
  </xdr:oneCellAnchor>
  <xdr:oneCellAnchor>
    <xdr:from>
      <xdr:col>20</xdr:col>
      <xdr:colOff>175333</xdr:colOff>
      <xdr:row>93</xdr:row>
      <xdr:rowOff>145802</xdr:rowOff>
    </xdr:from>
    <xdr:ext cx="706540" cy="280205"/>
    <xdr:sp macro="" textlink="">
      <xdr:nvSpPr>
        <xdr:cNvPr id="361" name="TextBox 360">
          <a:extLst>
            <a:ext uri="{FF2B5EF4-FFF2-40B4-BE49-F238E27FC236}">
              <a16:creationId xmlns:a16="http://schemas.microsoft.com/office/drawing/2014/main" id="{3F79082C-FD6C-4766-869A-D982EAB93D53}"/>
            </a:ext>
          </a:extLst>
        </xdr:cNvPr>
        <xdr:cNvSpPr txBox="1"/>
      </xdr:nvSpPr>
      <xdr:spPr>
        <a:xfrm>
          <a:off x="4366333" y="17909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5N-11W</a:t>
          </a:r>
        </a:p>
      </xdr:txBody>
    </xdr:sp>
    <xdr:clientData/>
  </xdr:oneCellAnchor>
  <xdr:oneCellAnchor>
    <xdr:from>
      <xdr:col>32</xdr:col>
      <xdr:colOff>180218</xdr:colOff>
      <xdr:row>93</xdr:row>
      <xdr:rowOff>140895</xdr:rowOff>
    </xdr:from>
    <xdr:ext cx="628570" cy="280205"/>
    <xdr:sp macro="" textlink="">
      <xdr:nvSpPr>
        <xdr:cNvPr id="362" name="TextBox 361">
          <a:extLst>
            <a:ext uri="{FF2B5EF4-FFF2-40B4-BE49-F238E27FC236}">
              <a16:creationId xmlns:a16="http://schemas.microsoft.com/office/drawing/2014/main" id="{3C04A4A0-7CE4-491F-A38F-1EEE4EDAA1C5}"/>
            </a:ext>
          </a:extLst>
        </xdr:cNvPr>
        <xdr:cNvSpPr txBox="1"/>
      </xdr:nvSpPr>
      <xdr:spPr>
        <a:xfrm>
          <a:off x="6885818" y="17905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5N-9W</a:t>
          </a:r>
        </a:p>
      </xdr:txBody>
    </xdr:sp>
    <xdr:clientData/>
  </xdr:oneCellAnchor>
  <xdr:oneCellAnchor>
    <xdr:from>
      <xdr:col>26</xdr:col>
      <xdr:colOff>192629</xdr:colOff>
      <xdr:row>93</xdr:row>
      <xdr:rowOff>144853</xdr:rowOff>
    </xdr:from>
    <xdr:ext cx="706540" cy="280205"/>
    <xdr:sp macro="" textlink="">
      <xdr:nvSpPr>
        <xdr:cNvPr id="363" name="TextBox 362">
          <a:extLst>
            <a:ext uri="{FF2B5EF4-FFF2-40B4-BE49-F238E27FC236}">
              <a16:creationId xmlns:a16="http://schemas.microsoft.com/office/drawing/2014/main" id="{81496AAE-3C30-4240-A2DD-1681FBF2B008}"/>
            </a:ext>
          </a:extLst>
        </xdr:cNvPr>
        <xdr:cNvSpPr txBox="1"/>
      </xdr:nvSpPr>
      <xdr:spPr>
        <a:xfrm>
          <a:off x="5640929" y="17908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5N-10W</a:t>
          </a:r>
        </a:p>
      </xdr:txBody>
    </xdr:sp>
    <xdr:clientData/>
  </xdr:oneCellAnchor>
  <xdr:oneCellAnchor>
    <xdr:from>
      <xdr:col>38</xdr:col>
      <xdr:colOff>178342</xdr:colOff>
      <xdr:row>93</xdr:row>
      <xdr:rowOff>153243</xdr:rowOff>
    </xdr:from>
    <xdr:ext cx="628570" cy="280205"/>
    <xdr:sp macro="" textlink="">
      <xdr:nvSpPr>
        <xdr:cNvPr id="364" name="TextBox 363">
          <a:extLst>
            <a:ext uri="{FF2B5EF4-FFF2-40B4-BE49-F238E27FC236}">
              <a16:creationId xmlns:a16="http://schemas.microsoft.com/office/drawing/2014/main" id="{146D35FE-8692-4D88-B42F-E537293A5D9D}"/>
            </a:ext>
          </a:extLst>
        </xdr:cNvPr>
        <xdr:cNvSpPr txBox="1"/>
      </xdr:nvSpPr>
      <xdr:spPr>
        <a:xfrm>
          <a:off x="8141242" y="17917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5N-8W</a:t>
          </a:r>
        </a:p>
      </xdr:txBody>
    </xdr:sp>
    <xdr:clientData/>
  </xdr:oneCellAnchor>
  <xdr:oneCellAnchor>
    <xdr:from>
      <xdr:col>50</xdr:col>
      <xdr:colOff>169831</xdr:colOff>
      <xdr:row>93</xdr:row>
      <xdr:rowOff>142874</xdr:rowOff>
    </xdr:from>
    <xdr:ext cx="628570" cy="280205"/>
    <xdr:sp macro="" textlink="">
      <xdr:nvSpPr>
        <xdr:cNvPr id="365" name="TextBox 364">
          <a:extLst>
            <a:ext uri="{FF2B5EF4-FFF2-40B4-BE49-F238E27FC236}">
              <a16:creationId xmlns:a16="http://schemas.microsoft.com/office/drawing/2014/main" id="{1A2D3C20-5BA8-433B-9849-B52025EC8720}"/>
            </a:ext>
          </a:extLst>
        </xdr:cNvPr>
        <xdr:cNvSpPr txBox="1"/>
      </xdr:nvSpPr>
      <xdr:spPr>
        <a:xfrm>
          <a:off x="10647331" y="17906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5N-6W</a:t>
          </a:r>
        </a:p>
      </xdr:txBody>
    </xdr:sp>
    <xdr:clientData/>
  </xdr:oneCellAnchor>
  <xdr:oneCellAnchor>
    <xdr:from>
      <xdr:col>56</xdr:col>
      <xdr:colOff>149049</xdr:colOff>
      <xdr:row>93</xdr:row>
      <xdr:rowOff>146832</xdr:rowOff>
    </xdr:from>
    <xdr:ext cx="628570" cy="280205"/>
    <xdr:sp macro="" textlink="">
      <xdr:nvSpPr>
        <xdr:cNvPr id="366" name="TextBox 365">
          <a:extLst>
            <a:ext uri="{FF2B5EF4-FFF2-40B4-BE49-F238E27FC236}">
              <a16:creationId xmlns:a16="http://schemas.microsoft.com/office/drawing/2014/main" id="{48E7D913-B3A6-43B7-A3AB-AD92ECFF89DF}"/>
            </a:ext>
          </a:extLst>
        </xdr:cNvPr>
        <xdr:cNvSpPr txBox="1"/>
      </xdr:nvSpPr>
      <xdr:spPr>
        <a:xfrm>
          <a:off x="11883849" y="17910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5N-5W</a:t>
          </a:r>
        </a:p>
      </xdr:txBody>
    </xdr:sp>
    <xdr:clientData/>
  </xdr:oneCellAnchor>
  <xdr:twoCellAnchor>
    <xdr:from>
      <xdr:col>0</xdr:col>
      <xdr:colOff>9525</xdr:colOff>
      <xdr:row>98</xdr:row>
      <xdr:rowOff>9525</xdr:rowOff>
    </xdr:from>
    <xdr:to>
      <xdr:col>74</xdr:col>
      <xdr:colOff>61851</xdr:colOff>
      <xdr:row>98</xdr:row>
      <xdr:rowOff>12370</xdr:rowOff>
    </xdr:to>
    <xdr:cxnSp macro="">
      <xdr:nvCxnSpPr>
        <xdr:cNvPr id="367" name="Straight Connector 366">
          <a:extLst>
            <a:ext uri="{FF2B5EF4-FFF2-40B4-BE49-F238E27FC236}">
              <a16:creationId xmlns:a16="http://schemas.microsoft.com/office/drawing/2014/main" id="{E04C702A-D72C-4591-9CF8-B23D3832BABD}"/>
            </a:ext>
          </a:extLst>
        </xdr:cNvPr>
        <xdr:cNvCxnSpPr/>
      </xdr:nvCxnSpPr>
      <xdr:spPr>
        <a:xfrm>
          <a:off x="9525" y="18726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99</xdr:row>
      <xdr:rowOff>145843</xdr:rowOff>
    </xdr:from>
    <xdr:ext cx="706540" cy="280205"/>
    <xdr:sp macro="" textlink="">
      <xdr:nvSpPr>
        <xdr:cNvPr id="368" name="TextBox 367">
          <a:extLst>
            <a:ext uri="{FF2B5EF4-FFF2-40B4-BE49-F238E27FC236}">
              <a16:creationId xmlns:a16="http://schemas.microsoft.com/office/drawing/2014/main" id="{CD9F6AE1-5996-498E-896B-D242A27EB25D}"/>
            </a:ext>
          </a:extLst>
        </xdr:cNvPr>
        <xdr:cNvSpPr txBox="1"/>
      </xdr:nvSpPr>
      <xdr:spPr>
        <a:xfrm>
          <a:off x="517676" y="19052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4N-14W</a:t>
          </a:r>
        </a:p>
      </xdr:txBody>
    </xdr:sp>
    <xdr:clientData/>
  </xdr:oneCellAnchor>
  <xdr:oneCellAnchor>
    <xdr:from>
      <xdr:col>44</xdr:col>
      <xdr:colOff>185208</xdr:colOff>
      <xdr:row>99</xdr:row>
      <xdr:rowOff>149801</xdr:rowOff>
    </xdr:from>
    <xdr:ext cx="628570" cy="280205"/>
    <xdr:sp macro="" textlink="">
      <xdr:nvSpPr>
        <xdr:cNvPr id="369" name="TextBox 368">
          <a:extLst>
            <a:ext uri="{FF2B5EF4-FFF2-40B4-BE49-F238E27FC236}">
              <a16:creationId xmlns:a16="http://schemas.microsoft.com/office/drawing/2014/main" id="{516F4C4B-783A-44B4-8372-B67FB81D789D}"/>
            </a:ext>
          </a:extLst>
        </xdr:cNvPr>
        <xdr:cNvSpPr txBox="1"/>
      </xdr:nvSpPr>
      <xdr:spPr>
        <a:xfrm>
          <a:off x="9405408" y="19056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4N-7W</a:t>
          </a:r>
        </a:p>
      </xdr:txBody>
    </xdr:sp>
    <xdr:clientData/>
  </xdr:oneCellAnchor>
  <xdr:oneCellAnchor>
    <xdr:from>
      <xdr:col>14</xdr:col>
      <xdr:colOff>118863</xdr:colOff>
      <xdr:row>99</xdr:row>
      <xdr:rowOff>141390</xdr:rowOff>
    </xdr:from>
    <xdr:ext cx="706540" cy="280205"/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C4F0892-4FC8-457E-86EF-0ED841B923CA}"/>
            </a:ext>
          </a:extLst>
        </xdr:cNvPr>
        <xdr:cNvSpPr txBox="1"/>
      </xdr:nvSpPr>
      <xdr:spPr>
        <a:xfrm>
          <a:off x="3052563" y="19048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4N-12W</a:t>
          </a:r>
        </a:p>
      </xdr:txBody>
    </xdr:sp>
    <xdr:clientData/>
  </xdr:oneCellAnchor>
  <xdr:oneCellAnchor>
    <xdr:from>
      <xdr:col>8</xdr:col>
      <xdr:colOff>159931</xdr:colOff>
      <xdr:row>99</xdr:row>
      <xdr:rowOff>130400</xdr:rowOff>
    </xdr:from>
    <xdr:ext cx="706540" cy="280205"/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4874FB0A-FC2F-44B7-82FB-19B2EBB911A4}"/>
            </a:ext>
          </a:extLst>
        </xdr:cNvPr>
        <xdr:cNvSpPr txBox="1"/>
      </xdr:nvSpPr>
      <xdr:spPr>
        <a:xfrm>
          <a:off x="1836331" y="19037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4N-13W</a:t>
          </a:r>
        </a:p>
      </xdr:txBody>
    </xdr:sp>
    <xdr:clientData/>
  </xdr:oneCellAnchor>
  <xdr:oneCellAnchor>
    <xdr:from>
      <xdr:col>20</xdr:col>
      <xdr:colOff>175333</xdr:colOff>
      <xdr:row>99</xdr:row>
      <xdr:rowOff>145802</xdr:rowOff>
    </xdr:from>
    <xdr:ext cx="706540" cy="280205"/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EEF2D7DC-5C14-433F-BAA6-DDC7A616C3EB}"/>
            </a:ext>
          </a:extLst>
        </xdr:cNvPr>
        <xdr:cNvSpPr txBox="1"/>
      </xdr:nvSpPr>
      <xdr:spPr>
        <a:xfrm>
          <a:off x="4366333" y="19052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4N-11W</a:t>
          </a:r>
        </a:p>
      </xdr:txBody>
    </xdr:sp>
    <xdr:clientData/>
  </xdr:oneCellAnchor>
  <xdr:oneCellAnchor>
    <xdr:from>
      <xdr:col>32</xdr:col>
      <xdr:colOff>180218</xdr:colOff>
      <xdr:row>99</xdr:row>
      <xdr:rowOff>140895</xdr:rowOff>
    </xdr:from>
    <xdr:ext cx="628570" cy="280205"/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EE298474-BFAA-4AF0-BF4E-B30F4F538B57}"/>
            </a:ext>
          </a:extLst>
        </xdr:cNvPr>
        <xdr:cNvSpPr txBox="1"/>
      </xdr:nvSpPr>
      <xdr:spPr>
        <a:xfrm>
          <a:off x="6885818" y="19048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4N-9W</a:t>
          </a:r>
        </a:p>
      </xdr:txBody>
    </xdr:sp>
    <xdr:clientData/>
  </xdr:oneCellAnchor>
  <xdr:oneCellAnchor>
    <xdr:from>
      <xdr:col>26</xdr:col>
      <xdr:colOff>192629</xdr:colOff>
      <xdr:row>99</xdr:row>
      <xdr:rowOff>144853</xdr:rowOff>
    </xdr:from>
    <xdr:ext cx="706540" cy="280205"/>
    <xdr:sp macro="" textlink="">
      <xdr:nvSpPr>
        <xdr:cNvPr id="374" name="TextBox 373">
          <a:extLst>
            <a:ext uri="{FF2B5EF4-FFF2-40B4-BE49-F238E27FC236}">
              <a16:creationId xmlns:a16="http://schemas.microsoft.com/office/drawing/2014/main" id="{DFEF9414-CE8D-4E59-ADCC-15C86540679D}"/>
            </a:ext>
          </a:extLst>
        </xdr:cNvPr>
        <xdr:cNvSpPr txBox="1"/>
      </xdr:nvSpPr>
      <xdr:spPr>
        <a:xfrm>
          <a:off x="5640929" y="19051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4N-10W</a:t>
          </a:r>
        </a:p>
      </xdr:txBody>
    </xdr:sp>
    <xdr:clientData/>
  </xdr:oneCellAnchor>
  <xdr:oneCellAnchor>
    <xdr:from>
      <xdr:col>38</xdr:col>
      <xdr:colOff>178342</xdr:colOff>
      <xdr:row>99</xdr:row>
      <xdr:rowOff>153243</xdr:rowOff>
    </xdr:from>
    <xdr:ext cx="628570" cy="280205"/>
    <xdr:sp macro="" textlink="">
      <xdr:nvSpPr>
        <xdr:cNvPr id="375" name="TextBox 374">
          <a:extLst>
            <a:ext uri="{FF2B5EF4-FFF2-40B4-BE49-F238E27FC236}">
              <a16:creationId xmlns:a16="http://schemas.microsoft.com/office/drawing/2014/main" id="{59F3657E-91AE-4ABD-B1A6-CADBA7782034}"/>
            </a:ext>
          </a:extLst>
        </xdr:cNvPr>
        <xdr:cNvSpPr txBox="1"/>
      </xdr:nvSpPr>
      <xdr:spPr>
        <a:xfrm>
          <a:off x="8141242" y="19060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4N-8W</a:t>
          </a:r>
        </a:p>
      </xdr:txBody>
    </xdr:sp>
    <xdr:clientData/>
  </xdr:oneCellAnchor>
  <xdr:oneCellAnchor>
    <xdr:from>
      <xdr:col>50</xdr:col>
      <xdr:colOff>169831</xdr:colOff>
      <xdr:row>99</xdr:row>
      <xdr:rowOff>142874</xdr:rowOff>
    </xdr:from>
    <xdr:ext cx="628570" cy="280205"/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2D56408-500C-4F53-BCF8-265AE2DDD334}"/>
            </a:ext>
          </a:extLst>
        </xdr:cNvPr>
        <xdr:cNvSpPr txBox="1"/>
      </xdr:nvSpPr>
      <xdr:spPr>
        <a:xfrm>
          <a:off x="10647331" y="19049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4N-6W</a:t>
          </a:r>
        </a:p>
      </xdr:txBody>
    </xdr:sp>
    <xdr:clientData/>
  </xdr:oneCellAnchor>
  <xdr:oneCellAnchor>
    <xdr:from>
      <xdr:col>56</xdr:col>
      <xdr:colOff>149049</xdr:colOff>
      <xdr:row>99</xdr:row>
      <xdr:rowOff>146832</xdr:rowOff>
    </xdr:from>
    <xdr:ext cx="628570" cy="280205"/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9FC6844-1D2B-4151-853F-52CD8389EFEC}"/>
            </a:ext>
          </a:extLst>
        </xdr:cNvPr>
        <xdr:cNvSpPr txBox="1"/>
      </xdr:nvSpPr>
      <xdr:spPr>
        <a:xfrm>
          <a:off x="11883849" y="19053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4N-5W</a:t>
          </a:r>
        </a:p>
      </xdr:txBody>
    </xdr:sp>
    <xdr:clientData/>
  </xdr:oneCellAnchor>
  <xdr:oneCellAnchor>
    <xdr:from>
      <xdr:col>63</xdr:col>
      <xdr:colOff>147788</xdr:colOff>
      <xdr:row>78</xdr:row>
      <xdr:rowOff>47232</xdr:rowOff>
    </xdr:from>
    <xdr:ext cx="2121606" cy="718466"/>
    <xdr:sp macro="" textlink="">
      <xdr:nvSpPr>
        <xdr:cNvPr id="378" name="TextBox 377">
          <a:extLst>
            <a:ext uri="{FF2B5EF4-FFF2-40B4-BE49-F238E27FC236}">
              <a16:creationId xmlns:a16="http://schemas.microsoft.com/office/drawing/2014/main" id="{F194676F-90EA-403D-B3CC-2D3818CBB0AF}"/>
            </a:ext>
          </a:extLst>
        </xdr:cNvPr>
        <xdr:cNvSpPr txBox="1"/>
      </xdr:nvSpPr>
      <xdr:spPr>
        <a:xfrm>
          <a:off x="13349438" y="14953857"/>
          <a:ext cx="21216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McCLAIN</a:t>
          </a:r>
        </a:p>
      </xdr:txBody>
    </xdr:sp>
    <xdr:clientData/>
  </xdr:oneCellAnchor>
  <xdr:oneCellAnchor>
    <xdr:from>
      <xdr:col>63</xdr:col>
      <xdr:colOff>77611</xdr:colOff>
      <xdr:row>69</xdr:row>
      <xdr:rowOff>148419</xdr:rowOff>
    </xdr:from>
    <xdr:ext cx="628570" cy="280205"/>
    <xdr:sp macro="" textlink="">
      <xdr:nvSpPr>
        <xdr:cNvPr id="379" name="TextBox 378">
          <a:extLst>
            <a:ext uri="{FF2B5EF4-FFF2-40B4-BE49-F238E27FC236}">
              <a16:creationId xmlns:a16="http://schemas.microsoft.com/office/drawing/2014/main" id="{8D29AA6C-8AC4-41CD-82AB-F92FF25E0395}"/>
            </a:ext>
          </a:extLst>
        </xdr:cNvPr>
        <xdr:cNvSpPr txBox="1"/>
      </xdr:nvSpPr>
      <xdr:spPr>
        <a:xfrm>
          <a:off x="13279261" y="1334054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9N-4W</a:t>
          </a:r>
        </a:p>
      </xdr:txBody>
    </xdr:sp>
    <xdr:clientData/>
  </xdr:oneCellAnchor>
  <xdr:oneCellAnchor>
    <xdr:from>
      <xdr:col>63</xdr:col>
      <xdr:colOff>66675</xdr:colOff>
      <xdr:row>75</xdr:row>
      <xdr:rowOff>161925</xdr:rowOff>
    </xdr:from>
    <xdr:ext cx="628570" cy="280205"/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DB667636-20D2-4290-80B8-707770CAB17E}"/>
            </a:ext>
          </a:extLst>
        </xdr:cNvPr>
        <xdr:cNvSpPr txBox="1"/>
      </xdr:nvSpPr>
      <xdr:spPr>
        <a:xfrm>
          <a:off x="13268325" y="14497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8N-4W</a:t>
          </a:r>
        </a:p>
      </xdr:txBody>
    </xdr:sp>
    <xdr:clientData/>
  </xdr:oneCellAnchor>
  <xdr:oneCellAnchor>
    <xdr:from>
      <xdr:col>68</xdr:col>
      <xdr:colOff>180975</xdr:colOff>
      <xdr:row>70</xdr:row>
      <xdr:rowOff>161925</xdr:rowOff>
    </xdr:from>
    <xdr:ext cx="628570" cy="468077"/>
    <xdr:sp macro="" textlink="">
      <xdr:nvSpPr>
        <xdr:cNvPr id="381" name="TextBox 380">
          <a:extLst>
            <a:ext uri="{FF2B5EF4-FFF2-40B4-BE49-F238E27FC236}">
              <a16:creationId xmlns:a16="http://schemas.microsoft.com/office/drawing/2014/main" id="{24C77602-17E9-4094-A654-47C836D17A70}"/>
            </a:ext>
          </a:extLst>
        </xdr:cNvPr>
        <xdr:cNvSpPr txBox="1"/>
      </xdr:nvSpPr>
      <xdr:spPr>
        <a:xfrm>
          <a:off x="14430375" y="13544550"/>
          <a:ext cx="62857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9N-3W</a:t>
          </a:r>
        </a:p>
        <a:p>
          <a:endParaRPr lang="en-US" sz="1200" b="1"/>
        </a:p>
      </xdr:txBody>
    </xdr:sp>
    <xdr:clientData/>
  </xdr:oneCellAnchor>
  <xdr:oneCellAnchor>
    <xdr:from>
      <xdr:col>69</xdr:col>
      <xdr:colOff>19050</xdr:colOff>
      <xdr:row>76</xdr:row>
      <xdr:rowOff>0</xdr:rowOff>
    </xdr:from>
    <xdr:ext cx="628570" cy="280205"/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D12E2F77-EB70-416B-B00B-79FC57022575}"/>
            </a:ext>
          </a:extLst>
        </xdr:cNvPr>
        <xdr:cNvSpPr txBox="1"/>
      </xdr:nvSpPr>
      <xdr:spPr>
        <a:xfrm>
          <a:off x="14478000" y="14525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8N-3W</a:t>
          </a:r>
        </a:p>
      </xdr:txBody>
    </xdr:sp>
    <xdr:clientData/>
  </xdr:oneCellAnchor>
  <xdr:oneCellAnchor>
    <xdr:from>
      <xdr:col>62</xdr:col>
      <xdr:colOff>171450</xdr:colOff>
      <xdr:row>81</xdr:row>
      <xdr:rowOff>152400</xdr:rowOff>
    </xdr:from>
    <xdr:ext cx="628570" cy="280205"/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9769B03-339D-4827-B393-762AD9606E25}"/>
            </a:ext>
          </a:extLst>
        </xdr:cNvPr>
        <xdr:cNvSpPr txBox="1"/>
      </xdr:nvSpPr>
      <xdr:spPr>
        <a:xfrm>
          <a:off x="13163550" y="156305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7N-4W</a:t>
          </a:r>
        </a:p>
      </xdr:txBody>
    </xdr:sp>
    <xdr:clientData/>
  </xdr:oneCellAnchor>
  <xdr:oneCellAnchor>
    <xdr:from>
      <xdr:col>68</xdr:col>
      <xdr:colOff>85725</xdr:colOff>
      <xdr:row>81</xdr:row>
      <xdr:rowOff>161925</xdr:rowOff>
    </xdr:from>
    <xdr:ext cx="628570" cy="280205"/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0CEB655F-25F5-4446-90A1-53F788891E4F}"/>
            </a:ext>
          </a:extLst>
        </xdr:cNvPr>
        <xdr:cNvSpPr txBox="1"/>
      </xdr:nvSpPr>
      <xdr:spPr>
        <a:xfrm>
          <a:off x="14335125" y="15640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7N-3W</a:t>
          </a:r>
        </a:p>
      </xdr:txBody>
    </xdr:sp>
    <xdr:clientData/>
  </xdr:oneCellAnchor>
  <xdr:oneCellAnchor>
    <xdr:from>
      <xdr:col>62</xdr:col>
      <xdr:colOff>171450</xdr:colOff>
      <xdr:row>87</xdr:row>
      <xdr:rowOff>161925</xdr:rowOff>
    </xdr:from>
    <xdr:ext cx="628570" cy="280205"/>
    <xdr:sp macro="" textlink="">
      <xdr:nvSpPr>
        <xdr:cNvPr id="385" name="TextBox 384">
          <a:extLst>
            <a:ext uri="{FF2B5EF4-FFF2-40B4-BE49-F238E27FC236}">
              <a16:creationId xmlns:a16="http://schemas.microsoft.com/office/drawing/2014/main" id="{6B05D610-5B4C-4F7A-84AF-65C77DE758A8}"/>
            </a:ext>
          </a:extLst>
        </xdr:cNvPr>
        <xdr:cNvSpPr txBox="1"/>
      </xdr:nvSpPr>
      <xdr:spPr>
        <a:xfrm>
          <a:off x="13163550" y="16783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6N-4W</a:t>
          </a:r>
        </a:p>
      </xdr:txBody>
    </xdr:sp>
    <xdr:clientData/>
  </xdr:oneCellAnchor>
  <xdr:oneCellAnchor>
    <xdr:from>
      <xdr:col>68</xdr:col>
      <xdr:colOff>123825</xdr:colOff>
      <xdr:row>88</xdr:row>
      <xdr:rowOff>0</xdr:rowOff>
    </xdr:from>
    <xdr:ext cx="628570" cy="280205"/>
    <xdr:sp macro="" textlink="">
      <xdr:nvSpPr>
        <xdr:cNvPr id="386" name="TextBox 385">
          <a:extLst>
            <a:ext uri="{FF2B5EF4-FFF2-40B4-BE49-F238E27FC236}">
              <a16:creationId xmlns:a16="http://schemas.microsoft.com/office/drawing/2014/main" id="{C2DC1C78-7463-4CAC-BBCB-450B23E9E74E}"/>
            </a:ext>
          </a:extLst>
        </xdr:cNvPr>
        <xdr:cNvSpPr txBox="1"/>
      </xdr:nvSpPr>
      <xdr:spPr>
        <a:xfrm>
          <a:off x="14373225" y="16811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6N-3W</a:t>
          </a:r>
        </a:p>
      </xdr:txBody>
    </xdr:sp>
    <xdr:clientData/>
  </xdr:oneCellAnchor>
  <xdr:oneCellAnchor>
    <xdr:from>
      <xdr:col>62</xdr:col>
      <xdr:colOff>190500</xdr:colOff>
      <xdr:row>93</xdr:row>
      <xdr:rowOff>142875</xdr:rowOff>
    </xdr:from>
    <xdr:ext cx="628570" cy="280205"/>
    <xdr:sp macro="" textlink="">
      <xdr:nvSpPr>
        <xdr:cNvPr id="387" name="TextBox 386">
          <a:extLst>
            <a:ext uri="{FF2B5EF4-FFF2-40B4-BE49-F238E27FC236}">
              <a16:creationId xmlns:a16="http://schemas.microsoft.com/office/drawing/2014/main" id="{BB73A566-4F07-41A2-8F5A-2D80D4B9989D}"/>
            </a:ext>
          </a:extLst>
        </xdr:cNvPr>
        <xdr:cNvSpPr txBox="1"/>
      </xdr:nvSpPr>
      <xdr:spPr>
        <a:xfrm>
          <a:off x="13182600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5N-4W</a:t>
          </a:r>
        </a:p>
      </xdr:txBody>
    </xdr:sp>
    <xdr:clientData/>
  </xdr:oneCellAnchor>
  <xdr:oneCellAnchor>
    <xdr:from>
      <xdr:col>69</xdr:col>
      <xdr:colOff>9525</xdr:colOff>
      <xdr:row>93</xdr:row>
      <xdr:rowOff>142875</xdr:rowOff>
    </xdr:from>
    <xdr:ext cx="628570" cy="280205"/>
    <xdr:sp macro="" textlink="">
      <xdr:nvSpPr>
        <xdr:cNvPr id="388" name="TextBox 387">
          <a:extLst>
            <a:ext uri="{FF2B5EF4-FFF2-40B4-BE49-F238E27FC236}">
              <a16:creationId xmlns:a16="http://schemas.microsoft.com/office/drawing/2014/main" id="{4A1E3D1C-1300-4E31-B6DE-9D2527C07270}"/>
            </a:ext>
          </a:extLst>
        </xdr:cNvPr>
        <xdr:cNvSpPr txBox="1"/>
      </xdr:nvSpPr>
      <xdr:spPr>
        <a:xfrm>
          <a:off x="14468475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5N-3W</a:t>
          </a:r>
        </a:p>
      </xdr:txBody>
    </xdr:sp>
    <xdr:clientData/>
  </xdr:oneCellAnchor>
  <xdr:twoCellAnchor>
    <xdr:from>
      <xdr:col>68</xdr:col>
      <xdr:colOff>47625</xdr:colOff>
      <xdr:row>68</xdr:row>
      <xdr:rowOff>142337</xdr:rowOff>
    </xdr:from>
    <xdr:to>
      <xdr:col>74</xdr:col>
      <xdr:colOff>76200</xdr:colOff>
      <xdr:row>75</xdr:row>
      <xdr:rowOff>161925</xdr:rowOff>
    </xdr:to>
    <xdr:sp macro="" textlink="">
      <xdr:nvSpPr>
        <xdr:cNvPr id="389" name="Freeform: Shape 388">
          <a:extLst>
            <a:ext uri="{FF2B5EF4-FFF2-40B4-BE49-F238E27FC236}">
              <a16:creationId xmlns:a16="http://schemas.microsoft.com/office/drawing/2014/main" id="{0D164DD2-6753-4548-B71A-A732C10172EC}"/>
            </a:ext>
          </a:extLst>
        </xdr:cNvPr>
        <xdr:cNvSpPr/>
      </xdr:nvSpPr>
      <xdr:spPr>
        <a:xfrm>
          <a:off x="14297025" y="13143962"/>
          <a:ext cx="1285875" cy="1353088"/>
        </a:xfrm>
        <a:custGeom>
          <a:avLst/>
          <a:gdLst>
            <a:gd name="connsiteX0" fmla="*/ 0 w 1285875"/>
            <a:gd name="connsiteY0" fmla="*/ 10063 h 1353088"/>
            <a:gd name="connsiteX1" fmla="*/ 57150 w 1285875"/>
            <a:gd name="connsiteY1" fmla="*/ 48163 h 1353088"/>
            <a:gd name="connsiteX2" fmla="*/ 38100 w 1285875"/>
            <a:gd name="connsiteY2" fmla="*/ 391063 h 1353088"/>
            <a:gd name="connsiteX3" fmla="*/ 47625 w 1285875"/>
            <a:gd name="connsiteY3" fmla="*/ 486313 h 1353088"/>
            <a:gd name="connsiteX4" fmla="*/ 66675 w 1285875"/>
            <a:gd name="connsiteY4" fmla="*/ 514888 h 1353088"/>
            <a:gd name="connsiteX5" fmla="*/ 76200 w 1285875"/>
            <a:gd name="connsiteY5" fmla="*/ 638713 h 1353088"/>
            <a:gd name="connsiteX6" fmla="*/ 85725 w 1285875"/>
            <a:gd name="connsiteY6" fmla="*/ 667288 h 1353088"/>
            <a:gd name="connsiteX7" fmla="*/ 114300 w 1285875"/>
            <a:gd name="connsiteY7" fmla="*/ 676813 h 1353088"/>
            <a:gd name="connsiteX8" fmla="*/ 161925 w 1285875"/>
            <a:gd name="connsiteY8" fmla="*/ 705388 h 1353088"/>
            <a:gd name="connsiteX9" fmla="*/ 219075 w 1285875"/>
            <a:gd name="connsiteY9" fmla="*/ 743488 h 1353088"/>
            <a:gd name="connsiteX10" fmla="*/ 285750 w 1285875"/>
            <a:gd name="connsiteY10" fmla="*/ 781588 h 1353088"/>
            <a:gd name="connsiteX11" fmla="*/ 304800 w 1285875"/>
            <a:gd name="connsiteY11" fmla="*/ 857788 h 1353088"/>
            <a:gd name="connsiteX12" fmla="*/ 314325 w 1285875"/>
            <a:gd name="connsiteY12" fmla="*/ 886363 h 1353088"/>
            <a:gd name="connsiteX13" fmla="*/ 342900 w 1285875"/>
            <a:gd name="connsiteY13" fmla="*/ 905413 h 1353088"/>
            <a:gd name="connsiteX14" fmla="*/ 390525 w 1285875"/>
            <a:gd name="connsiteY14" fmla="*/ 972088 h 1353088"/>
            <a:gd name="connsiteX15" fmla="*/ 409575 w 1285875"/>
            <a:gd name="connsiteY15" fmla="*/ 1000663 h 1353088"/>
            <a:gd name="connsiteX16" fmla="*/ 504825 w 1285875"/>
            <a:gd name="connsiteY16" fmla="*/ 1048288 h 1353088"/>
            <a:gd name="connsiteX17" fmla="*/ 609600 w 1285875"/>
            <a:gd name="connsiteY17" fmla="*/ 1067338 h 1353088"/>
            <a:gd name="connsiteX18" fmla="*/ 847725 w 1285875"/>
            <a:gd name="connsiteY18" fmla="*/ 1076863 h 1353088"/>
            <a:gd name="connsiteX19" fmla="*/ 971550 w 1285875"/>
            <a:gd name="connsiteY19" fmla="*/ 1134013 h 1353088"/>
            <a:gd name="connsiteX20" fmla="*/ 1009650 w 1285875"/>
            <a:gd name="connsiteY20" fmla="*/ 1153063 h 1353088"/>
            <a:gd name="connsiteX21" fmla="*/ 1038225 w 1285875"/>
            <a:gd name="connsiteY21" fmla="*/ 1162588 h 1353088"/>
            <a:gd name="connsiteX22" fmla="*/ 1085850 w 1285875"/>
            <a:gd name="connsiteY22" fmla="*/ 1181638 h 1353088"/>
            <a:gd name="connsiteX23" fmla="*/ 1123950 w 1285875"/>
            <a:gd name="connsiteY23" fmla="*/ 1191163 h 1353088"/>
            <a:gd name="connsiteX24" fmla="*/ 1143000 w 1285875"/>
            <a:gd name="connsiteY24" fmla="*/ 1229263 h 1353088"/>
            <a:gd name="connsiteX25" fmla="*/ 1200150 w 1285875"/>
            <a:gd name="connsiteY25" fmla="*/ 1276888 h 1353088"/>
            <a:gd name="connsiteX26" fmla="*/ 1247775 w 1285875"/>
            <a:gd name="connsiteY26" fmla="*/ 1324513 h 1353088"/>
            <a:gd name="connsiteX27" fmla="*/ 1285875 w 1285875"/>
            <a:gd name="connsiteY27" fmla="*/ 1353088 h 13530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285875" h="1353088">
              <a:moveTo>
                <a:pt x="0" y="10063"/>
              </a:moveTo>
              <a:cubicBezTo>
                <a:pt x="50800" y="-97"/>
                <a:pt x="57150" y="-17877"/>
                <a:pt x="57150" y="48163"/>
              </a:cubicBezTo>
              <a:cubicBezTo>
                <a:pt x="57150" y="292205"/>
                <a:pt x="61232" y="252270"/>
                <a:pt x="38100" y="391063"/>
              </a:cubicBezTo>
              <a:cubicBezTo>
                <a:pt x="41275" y="422813"/>
                <a:pt x="40450" y="455222"/>
                <a:pt x="47625" y="486313"/>
              </a:cubicBezTo>
              <a:cubicBezTo>
                <a:pt x="50199" y="497467"/>
                <a:pt x="64565" y="503636"/>
                <a:pt x="66675" y="514888"/>
              </a:cubicBezTo>
              <a:cubicBezTo>
                <a:pt x="74304" y="555576"/>
                <a:pt x="71065" y="597636"/>
                <a:pt x="76200" y="638713"/>
              </a:cubicBezTo>
              <a:cubicBezTo>
                <a:pt x="77445" y="648676"/>
                <a:pt x="78625" y="660188"/>
                <a:pt x="85725" y="667288"/>
              </a:cubicBezTo>
              <a:cubicBezTo>
                <a:pt x="92825" y="674388"/>
                <a:pt x="105320" y="672323"/>
                <a:pt x="114300" y="676813"/>
              </a:cubicBezTo>
              <a:cubicBezTo>
                <a:pt x="130859" y="685092"/>
                <a:pt x="146306" y="695449"/>
                <a:pt x="161925" y="705388"/>
              </a:cubicBezTo>
              <a:cubicBezTo>
                <a:pt x="181241" y="717680"/>
                <a:pt x="198597" y="733249"/>
                <a:pt x="219075" y="743488"/>
              </a:cubicBezTo>
              <a:cubicBezTo>
                <a:pt x="267414" y="767658"/>
                <a:pt x="245361" y="754662"/>
                <a:pt x="285750" y="781588"/>
              </a:cubicBezTo>
              <a:cubicBezTo>
                <a:pt x="292100" y="806988"/>
                <a:pt x="297911" y="832529"/>
                <a:pt x="304800" y="857788"/>
              </a:cubicBezTo>
              <a:cubicBezTo>
                <a:pt x="307442" y="867474"/>
                <a:pt x="308053" y="878523"/>
                <a:pt x="314325" y="886363"/>
              </a:cubicBezTo>
              <a:cubicBezTo>
                <a:pt x="321476" y="895302"/>
                <a:pt x="333375" y="899063"/>
                <a:pt x="342900" y="905413"/>
              </a:cubicBezTo>
              <a:cubicBezTo>
                <a:pt x="360402" y="957918"/>
                <a:pt x="341216" y="914561"/>
                <a:pt x="390525" y="972088"/>
              </a:cubicBezTo>
              <a:cubicBezTo>
                <a:pt x="397975" y="980780"/>
                <a:pt x="400960" y="993125"/>
                <a:pt x="409575" y="1000663"/>
              </a:cubicBezTo>
              <a:cubicBezTo>
                <a:pt x="459955" y="1044745"/>
                <a:pt x="454612" y="1033942"/>
                <a:pt x="504825" y="1048288"/>
              </a:cubicBezTo>
              <a:cubicBezTo>
                <a:pt x="559198" y="1063823"/>
                <a:pt x="519577" y="1061882"/>
                <a:pt x="609600" y="1067338"/>
              </a:cubicBezTo>
              <a:cubicBezTo>
                <a:pt x="688893" y="1072144"/>
                <a:pt x="768350" y="1073688"/>
                <a:pt x="847725" y="1076863"/>
              </a:cubicBezTo>
              <a:cubicBezTo>
                <a:pt x="909976" y="1097613"/>
                <a:pt x="867320" y="1081898"/>
                <a:pt x="971550" y="1134013"/>
              </a:cubicBezTo>
              <a:cubicBezTo>
                <a:pt x="984250" y="1140363"/>
                <a:pt x="996180" y="1148573"/>
                <a:pt x="1009650" y="1153063"/>
              </a:cubicBezTo>
              <a:cubicBezTo>
                <a:pt x="1019175" y="1156238"/>
                <a:pt x="1028824" y="1159063"/>
                <a:pt x="1038225" y="1162588"/>
              </a:cubicBezTo>
              <a:cubicBezTo>
                <a:pt x="1054234" y="1168591"/>
                <a:pt x="1069630" y="1176231"/>
                <a:pt x="1085850" y="1181638"/>
              </a:cubicBezTo>
              <a:cubicBezTo>
                <a:pt x="1098269" y="1185778"/>
                <a:pt x="1111250" y="1187988"/>
                <a:pt x="1123950" y="1191163"/>
              </a:cubicBezTo>
              <a:cubicBezTo>
                <a:pt x="1130300" y="1203863"/>
                <a:pt x="1134747" y="1217709"/>
                <a:pt x="1143000" y="1229263"/>
              </a:cubicBezTo>
              <a:cubicBezTo>
                <a:pt x="1159668" y="1252598"/>
                <a:pt x="1177365" y="1261698"/>
                <a:pt x="1200150" y="1276888"/>
              </a:cubicBezTo>
              <a:cubicBezTo>
                <a:pt x="1227859" y="1318452"/>
                <a:pt x="1207366" y="1295649"/>
                <a:pt x="1247775" y="1324513"/>
              </a:cubicBezTo>
              <a:cubicBezTo>
                <a:pt x="1260693" y="1333740"/>
                <a:pt x="1285875" y="1353088"/>
                <a:pt x="1285875" y="1353088"/>
              </a:cubicBezTo>
            </a:path>
          </a:pathLst>
        </a:custGeom>
        <a:ln w="1111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62</xdr:col>
      <xdr:colOff>207635</xdr:colOff>
      <xdr:row>63</xdr:row>
      <xdr:rowOff>147224</xdr:rowOff>
    </xdr:from>
    <xdr:ext cx="706540" cy="280205"/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5E94F9D4-4E85-4647-BD93-3E38BBFF8336}"/>
            </a:ext>
          </a:extLst>
        </xdr:cNvPr>
        <xdr:cNvSpPr txBox="1"/>
      </xdr:nvSpPr>
      <xdr:spPr>
        <a:xfrm>
          <a:off x="13199735" y="121963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10N-4W</a:t>
          </a:r>
        </a:p>
      </xdr:txBody>
    </xdr:sp>
    <xdr:clientData/>
  </xdr:oneCellAnchor>
  <xdr:twoCellAnchor>
    <xdr:from>
      <xdr:col>62</xdr:col>
      <xdr:colOff>20783</xdr:colOff>
      <xdr:row>61</xdr:row>
      <xdr:rowOff>173182</xdr:rowOff>
    </xdr:from>
    <xdr:to>
      <xdr:col>80</xdr:col>
      <xdr:colOff>85725</xdr:colOff>
      <xdr:row>62</xdr:row>
      <xdr:rowOff>19050</xdr:rowOff>
    </xdr:to>
    <xdr:cxnSp macro="">
      <xdr:nvCxnSpPr>
        <xdr:cNvPr id="391" name="Straight Connector 390">
          <a:extLst>
            <a:ext uri="{FF2B5EF4-FFF2-40B4-BE49-F238E27FC236}">
              <a16:creationId xmlns:a16="http://schemas.microsoft.com/office/drawing/2014/main" id="{C6769713-D108-42E1-9D2B-034357C82563}"/>
            </a:ext>
          </a:extLst>
        </xdr:cNvPr>
        <xdr:cNvCxnSpPr/>
      </xdr:nvCxnSpPr>
      <xdr:spPr>
        <a:xfrm flipH="1" flipV="1">
          <a:off x="13012883" y="11841307"/>
          <a:ext cx="3836842" cy="3636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69</xdr:col>
      <xdr:colOff>128738</xdr:colOff>
      <xdr:row>63</xdr:row>
      <xdr:rowOff>152007</xdr:rowOff>
    </xdr:from>
    <xdr:ext cx="2271006" cy="718466"/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582B237F-33FA-4511-B593-459F927C5586}"/>
            </a:ext>
          </a:extLst>
        </xdr:cNvPr>
        <xdr:cNvSpPr txBox="1"/>
      </xdr:nvSpPr>
      <xdr:spPr>
        <a:xfrm>
          <a:off x="14587688" y="12201132"/>
          <a:ext cx="22710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Cleveland</a:t>
          </a:r>
        </a:p>
      </xdr:txBody>
    </xdr:sp>
    <xdr:clientData/>
  </xdr:oneCellAnchor>
  <xdr:oneCellAnchor>
    <xdr:from>
      <xdr:col>15</xdr:col>
      <xdr:colOff>2967</xdr:colOff>
      <xdr:row>27</xdr:row>
      <xdr:rowOff>163782</xdr:rowOff>
    </xdr:from>
    <xdr:ext cx="784510" cy="280205"/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C628CE8B-3A5D-4B20-8897-0B826FBF7E8D}"/>
            </a:ext>
          </a:extLst>
        </xdr:cNvPr>
        <xdr:cNvSpPr txBox="1"/>
      </xdr:nvSpPr>
      <xdr:spPr>
        <a:xfrm>
          <a:off x="4367149" y="645028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15</xdr:col>
      <xdr:colOff>2967</xdr:colOff>
      <xdr:row>27</xdr:row>
      <xdr:rowOff>163782</xdr:rowOff>
    </xdr:from>
    <xdr:ext cx="784510" cy="280205"/>
    <xdr:sp macro="" textlink="">
      <xdr:nvSpPr>
        <xdr:cNvPr id="408" name="TextBox 407">
          <a:extLst>
            <a:ext uri="{FF2B5EF4-FFF2-40B4-BE49-F238E27FC236}">
              <a16:creationId xmlns:a16="http://schemas.microsoft.com/office/drawing/2014/main" id="{82CC20EB-6A67-4627-946E-C22EC83D8A82}"/>
            </a:ext>
          </a:extLst>
        </xdr:cNvPr>
        <xdr:cNvSpPr txBox="1"/>
      </xdr:nvSpPr>
      <xdr:spPr>
        <a:xfrm>
          <a:off x="4367149" y="645028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0</xdr:row>
      <xdr:rowOff>38100</xdr:rowOff>
    </xdr:from>
    <xdr:to>
      <xdr:col>38</xdr:col>
      <xdr:colOff>9525</xdr:colOff>
      <xdr:row>105</xdr:row>
      <xdr:rowOff>133350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F90E615D-2134-4E9C-BF82-C370B603BC57}"/>
            </a:ext>
          </a:extLst>
        </xdr:cNvPr>
        <xdr:cNvCxnSpPr/>
      </xdr:nvCxnSpPr>
      <xdr:spPr>
        <a:xfrm>
          <a:off x="7962900" y="38100"/>
          <a:ext cx="9525" cy="20145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9525</xdr:colOff>
      <xdr:row>1</xdr:row>
      <xdr:rowOff>57150</xdr:rowOff>
    </xdr:from>
    <xdr:to>
      <xdr:col>26</xdr:col>
      <xdr:colOff>19050</xdr:colOff>
      <xdr:row>104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48F16AE0-0317-476F-9092-8F9DD9D362C0}"/>
            </a:ext>
          </a:extLst>
        </xdr:cNvPr>
        <xdr:cNvCxnSpPr/>
      </xdr:nvCxnSpPr>
      <xdr:spPr>
        <a:xfrm>
          <a:off x="5457825" y="247650"/>
          <a:ext cx="9525" cy="197167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200025</xdr:colOff>
      <xdr:row>1</xdr:row>
      <xdr:rowOff>171450</xdr:rowOff>
    </xdr:from>
    <xdr:to>
      <xdr:col>32</xdr:col>
      <xdr:colOff>19050</xdr:colOff>
      <xdr:row>104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C9A2D7D-A485-4B67-BEA8-7BB90032D9FA}"/>
            </a:ext>
          </a:extLst>
        </xdr:cNvPr>
        <xdr:cNvCxnSpPr/>
      </xdr:nvCxnSpPr>
      <xdr:spPr>
        <a:xfrm>
          <a:off x="6696075" y="361950"/>
          <a:ext cx="28575" cy="196500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1</xdr:row>
      <xdr:rowOff>114300</xdr:rowOff>
    </xdr:from>
    <xdr:to>
      <xdr:col>20</xdr:col>
      <xdr:colOff>19050</xdr:colOff>
      <xdr:row>104</xdr:row>
      <xdr:rowOff>38100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DF4037B7-F69D-44EE-8892-B36BF40E3B17}"/>
            </a:ext>
          </a:extLst>
        </xdr:cNvPr>
        <xdr:cNvCxnSpPr/>
      </xdr:nvCxnSpPr>
      <xdr:spPr>
        <a:xfrm>
          <a:off x="4200525" y="304800"/>
          <a:ext cx="9525" cy="195929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200025</xdr:colOff>
      <xdr:row>0</xdr:row>
      <xdr:rowOff>152400</xdr:rowOff>
    </xdr:from>
    <xdr:to>
      <xdr:col>14</xdr:col>
      <xdr:colOff>9526</xdr:colOff>
      <xdr:row>104</xdr:row>
      <xdr:rowOff>47625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F3FFE79-7C9D-480C-B856-ED98AB4D45B0}"/>
            </a:ext>
          </a:extLst>
        </xdr:cNvPr>
        <xdr:cNvCxnSpPr/>
      </xdr:nvCxnSpPr>
      <xdr:spPr>
        <a:xfrm flipH="1">
          <a:off x="2924175" y="152400"/>
          <a:ext cx="19051" cy="197548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1</xdr:row>
      <xdr:rowOff>19050</xdr:rowOff>
    </xdr:from>
    <xdr:to>
      <xdr:col>8</xdr:col>
      <xdr:colOff>19050</xdr:colOff>
      <xdr:row>104</xdr:row>
      <xdr:rowOff>76200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60D882EC-956F-4C4C-91F3-F84D8B6FE63D}"/>
            </a:ext>
          </a:extLst>
        </xdr:cNvPr>
        <xdr:cNvCxnSpPr/>
      </xdr:nvCxnSpPr>
      <xdr:spPr>
        <a:xfrm>
          <a:off x="1676401" y="209550"/>
          <a:ext cx="19049" cy="197262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</xdr:colOff>
      <xdr:row>0</xdr:row>
      <xdr:rowOff>180975</xdr:rowOff>
    </xdr:from>
    <xdr:to>
      <xdr:col>44</xdr:col>
      <xdr:colOff>9526</xdr:colOff>
      <xdr:row>104</xdr:row>
      <xdr:rowOff>85725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52E16783-C1FB-4CEB-ABAD-BDAEF2EBD302}"/>
            </a:ext>
          </a:extLst>
        </xdr:cNvPr>
        <xdr:cNvCxnSpPr/>
      </xdr:nvCxnSpPr>
      <xdr:spPr>
        <a:xfrm flipH="1">
          <a:off x="9229725" y="180975"/>
          <a:ext cx="1" cy="19764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1</xdr:row>
      <xdr:rowOff>172893</xdr:rowOff>
    </xdr:from>
    <xdr:to>
      <xdr:col>50</xdr:col>
      <xdr:colOff>9525</xdr:colOff>
      <xdr:row>105</xdr:row>
      <xdr:rowOff>80529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7F38E8A1-F75F-4CF4-A997-48230FFE3A31}"/>
            </a:ext>
          </a:extLst>
        </xdr:cNvPr>
        <xdr:cNvCxnSpPr/>
      </xdr:nvCxnSpPr>
      <xdr:spPr>
        <a:xfrm flipH="1">
          <a:off x="10477500" y="363393"/>
          <a:ext cx="9525" cy="1976726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0</xdr:row>
      <xdr:rowOff>66675</xdr:rowOff>
    </xdr:from>
    <xdr:to>
      <xdr:col>56</xdr:col>
      <xdr:colOff>9525</xdr:colOff>
      <xdr:row>104</xdr:row>
      <xdr:rowOff>38100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D3B8F786-00E6-4DE9-899F-22D7C6F7D89F}"/>
            </a:ext>
          </a:extLst>
        </xdr:cNvPr>
        <xdr:cNvCxnSpPr/>
      </xdr:nvCxnSpPr>
      <xdr:spPr>
        <a:xfrm>
          <a:off x="11734800" y="66675"/>
          <a:ext cx="9525" cy="19831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19050</xdr:colOff>
      <xdr:row>0</xdr:row>
      <xdr:rowOff>171450</xdr:rowOff>
    </xdr:from>
    <xdr:to>
      <xdr:col>62</xdr:col>
      <xdr:colOff>19050</xdr:colOff>
      <xdr:row>104</xdr:row>
      <xdr:rowOff>9525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3963351E-10BF-4FDB-97AC-54F8B7F4C80C}"/>
            </a:ext>
          </a:extLst>
        </xdr:cNvPr>
        <xdr:cNvCxnSpPr/>
      </xdr:nvCxnSpPr>
      <xdr:spPr>
        <a:xfrm>
          <a:off x="13011150" y="171450"/>
          <a:ext cx="0" cy="1969770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12369</xdr:colOff>
      <xdr:row>1</xdr:row>
      <xdr:rowOff>174295</xdr:rowOff>
    </xdr:from>
    <xdr:to>
      <xdr:col>68</xdr:col>
      <xdr:colOff>19050</xdr:colOff>
      <xdr:row>104</xdr:row>
      <xdr:rowOff>38100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4D381A56-3904-4EF9-9EF8-3B34D56A01A7}"/>
            </a:ext>
          </a:extLst>
        </xdr:cNvPr>
        <xdr:cNvCxnSpPr/>
      </xdr:nvCxnSpPr>
      <xdr:spPr>
        <a:xfrm>
          <a:off x="14261769" y="364795"/>
          <a:ext cx="6681" cy="19532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74</xdr:col>
      <xdr:colOff>0</xdr:colOff>
      <xdr:row>8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B04455BB-EFA1-4197-A5F0-ABA35ED0CF98}"/>
            </a:ext>
          </a:extLst>
        </xdr:cNvPr>
        <xdr:cNvCxnSpPr/>
      </xdr:nvCxnSpPr>
      <xdr:spPr>
        <a:xfrm>
          <a:off x="0" y="1571625"/>
          <a:ext cx="155067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38</xdr:row>
      <xdr:rowOff>0</xdr:rowOff>
    </xdr:from>
    <xdr:to>
      <xdr:col>74</xdr:col>
      <xdr:colOff>37111</xdr:colOff>
      <xdr:row>38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E3993297-88CD-4DC2-B3A8-E783DBF01973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44</xdr:row>
      <xdr:rowOff>9525</xdr:rowOff>
    </xdr:from>
    <xdr:to>
      <xdr:col>74</xdr:col>
      <xdr:colOff>37111</xdr:colOff>
      <xdr:row>44</xdr:row>
      <xdr:rowOff>12370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3BADB9BA-409D-47E2-99EA-70CB33F50612}"/>
            </a:ext>
          </a:extLst>
        </xdr:cNvPr>
        <xdr:cNvCxnSpPr/>
      </xdr:nvCxnSpPr>
      <xdr:spPr>
        <a:xfrm>
          <a:off x="38100" y="8439150"/>
          <a:ext cx="15505711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50</xdr:row>
      <xdr:rowOff>12371</xdr:rowOff>
    </xdr:from>
    <xdr:to>
      <xdr:col>74</xdr:col>
      <xdr:colOff>37111</xdr:colOff>
      <xdr:row>50</xdr:row>
      <xdr:rowOff>19050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4431CF9C-27F5-4F1B-9C3A-BE1EF89ACAEC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74</xdr:col>
      <xdr:colOff>24741</xdr:colOff>
      <xdr:row>32</xdr:row>
      <xdr:rowOff>9525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1447E64D-BCB4-4008-B0B6-0C4D30BB44E6}"/>
            </a:ext>
          </a:extLst>
        </xdr:cNvPr>
        <xdr:cNvCxnSpPr/>
      </xdr:nvCxnSpPr>
      <xdr:spPr>
        <a:xfrm flipV="1">
          <a:off x="0" y="6143625"/>
          <a:ext cx="1553144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123825</xdr:colOff>
      <xdr:row>25</xdr:row>
      <xdr:rowOff>180975</xdr:rowOff>
    </xdr:from>
    <xdr:to>
      <xdr:col>74</xdr:col>
      <xdr:colOff>0</xdr:colOff>
      <xdr:row>26</xdr:row>
      <xdr:rowOff>12370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B1F0A3F-0CAF-439E-ACA6-1E522806BFE6}"/>
            </a:ext>
          </a:extLst>
        </xdr:cNvPr>
        <xdr:cNvCxnSpPr/>
      </xdr:nvCxnSpPr>
      <xdr:spPr>
        <a:xfrm>
          <a:off x="333375" y="4991100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19</xdr:row>
      <xdr:rowOff>180975</xdr:rowOff>
    </xdr:from>
    <xdr:to>
      <xdr:col>74</xdr:col>
      <xdr:colOff>0</xdr:colOff>
      <xdr:row>20</xdr:row>
      <xdr:rowOff>12370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74BDCE6F-D802-41E4-8E61-1F66D6B11880}"/>
            </a:ext>
          </a:extLst>
        </xdr:cNvPr>
        <xdr:cNvCxnSpPr/>
      </xdr:nvCxnSpPr>
      <xdr:spPr>
        <a:xfrm>
          <a:off x="342900" y="3848100"/>
          <a:ext cx="15163800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173182</xdr:rowOff>
    </xdr:from>
    <xdr:to>
      <xdr:col>74</xdr:col>
      <xdr:colOff>12371</xdr:colOff>
      <xdr:row>14</xdr:row>
      <xdr:rowOff>24741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2E4F49CE-94D8-4DCD-A4E2-8B953040BC8F}"/>
            </a:ext>
          </a:extLst>
        </xdr:cNvPr>
        <xdr:cNvCxnSpPr/>
      </xdr:nvCxnSpPr>
      <xdr:spPr>
        <a:xfrm>
          <a:off x="415636" y="2701637"/>
          <a:ext cx="14975280" cy="420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70037</xdr:colOff>
      <xdr:row>55</xdr:row>
      <xdr:rowOff>182095</xdr:rowOff>
    </xdr:from>
    <xdr:to>
      <xdr:col>74</xdr:col>
      <xdr:colOff>24741</xdr:colOff>
      <xdr:row>56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822D3260-0A49-4C8F-AA7C-E613255B54E7}"/>
            </a:ext>
          </a:extLst>
        </xdr:cNvPr>
        <xdr:cNvCxnSpPr/>
      </xdr:nvCxnSpPr>
      <xdr:spPr>
        <a:xfrm>
          <a:off x="279587" y="10707220"/>
          <a:ext cx="15251854" cy="840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62</xdr:row>
      <xdr:rowOff>0</xdr:rowOff>
    </xdr:from>
    <xdr:to>
      <xdr:col>74</xdr:col>
      <xdr:colOff>12371</xdr:colOff>
      <xdr:row>62</xdr:row>
      <xdr:rowOff>9525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947C2305-96B8-4606-A761-CC048F9EEA1C}"/>
            </a:ext>
          </a:extLst>
        </xdr:cNvPr>
        <xdr:cNvCxnSpPr/>
      </xdr:nvCxnSpPr>
      <xdr:spPr>
        <a:xfrm flipV="1">
          <a:off x="190500" y="11862955"/>
          <a:ext cx="15200416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68</xdr:row>
      <xdr:rowOff>0</xdr:rowOff>
    </xdr:from>
    <xdr:to>
      <xdr:col>74</xdr:col>
      <xdr:colOff>61851</xdr:colOff>
      <xdr:row>68</xdr:row>
      <xdr:rowOff>19050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2BC9B3F9-C493-494A-905A-B27ED1EC7A8C}"/>
            </a:ext>
          </a:extLst>
        </xdr:cNvPr>
        <xdr:cNvCxnSpPr/>
      </xdr:nvCxnSpPr>
      <xdr:spPr>
        <a:xfrm flipV="1">
          <a:off x="341168" y="13005955"/>
          <a:ext cx="15099228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73</xdr:row>
      <xdr:rowOff>180975</xdr:rowOff>
    </xdr:from>
    <xdr:to>
      <xdr:col>74</xdr:col>
      <xdr:colOff>61851</xdr:colOff>
      <xdr:row>74</xdr:row>
      <xdr:rowOff>12370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74EE4289-1A3E-4324-A44D-FBEC0876A28A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80</xdr:row>
      <xdr:rowOff>9525</xdr:rowOff>
    </xdr:from>
    <xdr:to>
      <xdr:col>74</xdr:col>
      <xdr:colOff>61851</xdr:colOff>
      <xdr:row>80</xdr:row>
      <xdr:rowOff>12370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83C2FC40-67AD-470B-B01C-15F8885F2A5B}"/>
            </a:ext>
          </a:extLst>
        </xdr:cNvPr>
        <xdr:cNvCxnSpPr/>
      </xdr:nvCxnSpPr>
      <xdr:spPr>
        <a:xfrm>
          <a:off x="9525" y="15297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123702</xdr:colOff>
      <xdr:row>7</xdr:row>
      <xdr:rowOff>175657</xdr:rowOff>
    </xdr:from>
    <xdr:to>
      <xdr:col>62</xdr:col>
      <xdr:colOff>12370</xdr:colOff>
      <xdr:row>8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EAC1DDFF-D07A-4F3F-99A1-42C2BF634177}"/>
            </a:ext>
          </a:extLst>
        </xdr:cNvPr>
        <xdr:cNvCxnSpPr/>
      </xdr:nvCxnSpPr>
      <xdr:spPr>
        <a:xfrm>
          <a:off x="1590552" y="1556782"/>
          <a:ext cx="11413918" cy="148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12369</xdr:colOff>
      <xdr:row>7</xdr:row>
      <xdr:rowOff>111331</xdr:rowOff>
    </xdr:from>
    <xdr:to>
      <xdr:col>62</xdr:col>
      <xdr:colOff>19050</xdr:colOff>
      <xdr:row>98</xdr:row>
      <xdr:rowOff>38100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2876D96E-52FC-4F7B-A1F1-6F1F0D80B398}"/>
            </a:ext>
          </a:extLst>
        </xdr:cNvPr>
        <xdr:cNvCxnSpPr/>
      </xdr:nvCxnSpPr>
      <xdr:spPr>
        <a:xfrm>
          <a:off x="13004469" y="1492456"/>
          <a:ext cx="6681" cy="1726226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16328</xdr:colOff>
      <xdr:row>7</xdr:row>
      <xdr:rowOff>115290</xdr:rowOff>
    </xdr:from>
    <xdr:to>
      <xdr:col>8</xdr:col>
      <xdr:colOff>28575</xdr:colOff>
      <xdr:row>86</xdr:row>
      <xdr:rowOff>66675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92E83580-DA73-4A1F-B37E-67AAA5EE6F17}"/>
            </a:ext>
          </a:extLst>
        </xdr:cNvPr>
        <xdr:cNvCxnSpPr/>
      </xdr:nvCxnSpPr>
      <xdr:spPr>
        <a:xfrm>
          <a:off x="1692728" y="1496415"/>
          <a:ext cx="12247" cy="15000885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62</xdr:row>
      <xdr:rowOff>12370</xdr:rowOff>
    </xdr:from>
    <xdr:to>
      <xdr:col>38</xdr:col>
      <xdr:colOff>24741</xdr:colOff>
      <xdr:row>98</xdr:row>
      <xdr:rowOff>19050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EA77BA4C-9C1D-45FD-B50B-8A4BCAF747B2}"/>
            </a:ext>
          </a:extLst>
        </xdr:cNvPr>
        <xdr:cNvCxnSpPr/>
      </xdr:nvCxnSpPr>
      <xdr:spPr>
        <a:xfrm flipH="1">
          <a:off x="7962900" y="11870995"/>
          <a:ext cx="24741" cy="686468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190007</xdr:colOff>
      <xdr:row>8</xdr:row>
      <xdr:rowOff>-1</xdr:rowOff>
    </xdr:from>
    <xdr:to>
      <xdr:col>32</xdr:col>
      <xdr:colOff>24740</xdr:colOff>
      <xdr:row>37</xdr:row>
      <xdr:rowOff>148442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C805618B-6662-4989-92CC-6C89F22D9A73}"/>
            </a:ext>
          </a:extLst>
        </xdr:cNvPr>
        <xdr:cNvCxnSpPr/>
      </xdr:nvCxnSpPr>
      <xdr:spPr>
        <a:xfrm>
          <a:off x="6686057" y="1571624"/>
          <a:ext cx="44283" cy="56729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181099</xdr:rowOff>
    </xdr:from>
    <xdr:to>
      <xdr:col>10</xdr:col>
      <xdr:colOff>37111</xdr:colOff>
      <xdr:row>8</xdr:row>
      <xdr:rowOff>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E37B8E7B-A9EE-4D79-A865-4BE9296C70ED}"/>
            </a:ext>
          </a:extLst>
        </xdr:cNvPr>
        <xdr:cNvCxnSpPr/>
      </xdr:nvCxnSpPr>
      <xdr:spPr>
        <a:xfrm flipH="1" flipV="1">
          <a:off x="0" y="1566554"/>
          <a:ext cx="2115293" cy="940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31</xdr:row>
      <xdr:rowOff>173182</xdr:rowOff>
    </xdr:from>
    <xdr:to>
      <xdr:col>8</xdr:col>
      <xdr:colOff>24740</xdr:colOff>
      <xdr:row>31</xdr:row>
      <xdr:rowOff>173183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57A07921-E519-4075-9EC8-8C173A0A85AF}"/>
            </a:ext>
          </a:extLst>
        </xdr:cNvPr>
        <xdr:cNvCxnSpPr/>
      </xdr:nvCxnSpPr>
      <xdr:spPr>
        <a:xfrm flipH="1">
          <a:off x="1" y="6126307"/>
          <a:ext cx="1701139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197923</xdr:colOff>
      <xdr:row>37</xdr:row>
      <xdr:rowOff>173182</xdr:rowOff>
    </xdr:from>
    <xdr:to>
      <xdr:col>62</xdr:col>
      <xdr:colOff>49480</xdr:colOff>
      <xdr:row>38</xdr:row>
      <xdr:rowOff>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C2D2E339-BEB3-4153-B293-77271347A523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12371</xdr:colOff>
      <xdr:row>37</xdr:row>
      <xdr:rowOff>145597</xdr:rowOff>
    </xdr:from>
    <xdr:to>
      <xdr:col>26</xdr:col>
      <xdr:colOff>13360</xdr:colOff>
      <xdr:row>62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A91648E5-832B-49C1-B587-11C434ACE209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173183</xdr:colOff>
      <xdr:row>61</xdr:row>
      <xdr:rowOff>173181</xdr:rowOff>
    </xdr:from>
    <xdr:to>
      <xdr:col>38</xdr:col>
      <xdr:colOff>74221</xdr:colOff>
      <xdr:row>62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E3D323EE-A950-4185-94D4-8F544CEC5599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8186</xdr:colOff>
      <xdr:row>61</xdr:row>
      <xdr:rowOff>120244</xdr:rowOff>
    </xdr:from>
    <xdr:to>
      <xdr:col>68</xdr:col>
      <xdr:colOff>102089</xdr:colOff>
      <xdr:row>68</xdr:row>
      <xdr:rowOff>162563</xdr:rowOff>
    </xdr:to>
    <xdr:sp macro="" textlink="">
      <xdr:nvSpPr>
        <xdr:cNvPr id="36" name="Freeform: Shape 35">
          <a:extLst>
            <a:ext uri="{FF2B5EF4-FFF2-40B4-BE49-F238E27FC236}">
              <a16:creationId xmlns:a16="http://schemas.microsoft.com/office/drawing/2014/main" id="{091860EF-4AB7-45DE-8693-638E890A80D7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148442</xdr:colOff>
      <xdr:row>50</xdr:row>
      <xdr:rowOff>12371</xdr:rowOff>
    </xdr:from>
    <xdr:to>
      <xdr:col>26</xdr:col>
      <xdr:colOff>12371</xdr:colOff>
      <xdr:row>50</xdr:row>
      <xdr:rowOff>12371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58333B59-5C7A-4033-9B93-7DE5CC936180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160812</xdr:colOff>
      <xdr:row>22</xdr:row>
      <xdr:rowOff>123701</xdr:rowOff>
    </xdr:from>
    <xdr:ext cx="1724831" cy="718466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D2D1E8FC-A6D8-406E-912B-25C400ABAC1B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39</xdr:col>
      <xdr:colOff>21113</xdr:colOff>
      <xdr:row>22</xdr:row>
      <xdr:rowOff>66551</xdr:rowOff>
    </xdr:from>
    <xdr:ext cx="2744021" cy="718466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D78EA53B-4401-4ED8-99EF-D6592FEA7CC2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38</xdr:col>
      <xdr:colOff>107827</xdr:colOff>
      <xdr:row>47</xdr:row>
      <xdr:rowOff>29379</xdr:rowOff>
    </xdr:from>
    <xdr:ext cx="2524665" cy="718466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2DF9E22B-3FB5-4147-93B3-9321FCC96C51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12</xdr:col>
      <xdr:colOff>111332</xdr:colOff>
      <xdr:row>64</xdr:row>
      <xdr:rowOff>24740</xdr:rowOff>
    </xdr:from>
    <xdr:ext cx="1760610" cy="718466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D83A0A9-1772-485F-B9C1-3EFEB6812CCC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44</xdr:col>
      <xdr:colOff>119213</xdr:colOff>
      <xdr:row>76</xdr:row>
      <xdr:rowOff>113907</xdr:rowOff>
    </xdr:from>
    <xdr:ext cx="1701043" cy="718466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599BE5DF-E0C1-4012-824E-582ACCF19782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2</xdr:col>
      <xdr:colOff>185552</xdr:colOff>
      <xdr:row>9</xdr:row>
      <xdr:rowOff>136071</xdr:rowOff>
    </xdr:from>
    <xdr:ext cx="784510" cy="280205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64D7622C-E89C-4B6B-A634-D1F79A150ADC}"/>
            </a:ext>
          </a:extLst>
        </xdr:cNvPr>
        <xdr:cNvSpPr txBox="1"/>
      </xdr:nvSpPr>
      <xdr:spPr>
        <a:xfrm>
          <a:off x="604652" y="189819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9</xdr:col>
      <xdr:colOff>41068</xdr:colOff>
      <xdr:row>9</xdr:row>
      <xdr:rowOff>152399</xdr:rowOff>
    </xdr:from>
    <xdr:ext cx="784510" cy="280205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CDE3B899-3547-471C-8BC0-D83BFF3B94AB}"/>
            </a:ext>
          </a:extLst>
        </xdr:cNvPr>
        <xdr:cNvSpPr txBox="1"/>
      </xdr:nvSpPr>
      <xdr:spPr>
        <a:xfrm>
          <a:off x="1927018" y="191452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21</xdr:col>
      <xdr:colOff>45027</xdr:colOff>
      <xdr:row>9</xdr:row>
      <xdr:rowOff>168728</xdr:rowOff>
    </xdr:from>
    <xdr:ext cx="784510" cy="280205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142142B4-1D32-4CB9-8227-9914D0A1747E}"/>
            </a:ext>
          </a:extLst>
        </xdr:cNvPr>
        <xdr:cNvSpPr txBox="1"/>
      </xdr:nvSpPr>
      <xdr:spPr>
        <a:xfrm>
          <a:off x="4445577" y="19308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27</xdr:col>
      <xdr:colOff>24245</xdr:colOff>
      <xdr:row>9</xdr:row>
      <xdr:rowOff>160316</xdr:rowOff>
    </xdr:from>
    <xdr:ext cx="784510" cy="280205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BA0A127D-0EF6-42F3-BB7B-5AB87933BA50}"/>
            </a:ext>
          </a:extLst>
        </xdr:cNvPr>
        <xdr:cNvSpPr txBox="1"/>
      </xdr:nvSpPr>
      <xdr:spPr>
        <a:xfrm>
          <a:off x="5682095" y="19224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56</xdr:col>
      <xdr:colOff>151904</xdr:colOff>
      <xdr:row>9</xdr:row>
      <xdr:rowOff>176645</xdr:rowOff>
    </xdr:from>
    <xdr:ext cx="706540" cy="280205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4752520E-402A-4D5B-9783-4FF5554972F1}"/>
            </a:ext>
          </a:extLst>
        </xdr:cNvPr>
        <xdr:cNvSpPr txBox="1"/>
      </xdr:nvSpPr>
      <xdr:spPr>
        <a:xfrm>
          <a:off x="11886704" y="193877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</xdr:col>
      <xdr:colOff>168234</xdr:colOff>
      <xdr:row>15</xdr:row>
      <xdr:rowOff>131124</xdr:rowOff>
    </xdr:from>
    <xdr:ext cx="784510" cy="468077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3BC9CAD9-C2AC-4936-923D-79A1B8FA8295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33</xdr:col>
      <xdr:colOff>36120</xdr:colOff>
      <xdr:row>9</xdr:row>
      <xdr:rowOff>159822</xdr:rowOff>
    </xdr:from>
    <xdr:ext cx="706540" cy="28020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5D3F4EDB-2FD9-4574-A5E2-9FFFC2704768}"/>
            </a:ext>
          </a:extLst>
        </xdr:cNvPr>
        <xdr:cNvSpPr txBox="1"/>
      </xdr:nvSpPr>
      <xdr:spPr>
        <a:xfrm>
          <a:off x="6951270" y="192194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50</xdr:col>
      <xdr:colOff>151410</xdr:colOff>
      <xdr:row>9</xdr:row>
      <xdr:rowOff>163780</xdr:rowOff>
    </xdr:from>
    <xdr:ext cx="706540" cy="280205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5C872211-11F9-4119-98F6-68A832EF010D}"/>
            </a:ext>
          </a:extLst>
        </xdr:cNvPr>
        <xdr:cNvSpPr txBox="1"/>
      </xdr:nvSpPr>
      <xdr:spPr>
        <a:xfrm>
          <a:off x="10628910" y="1925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44</xdr:col>
      <xdr:colOff>204849</xdr:colOff>
      <xdr:row>10</xdr:row>
      <xdr:rowOff>6927</xdr:rowOff>
    </xdr:from>
    <xdr:ext cx="706540" cy="280205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69F436FA-735E-4703-84AD-5837FCF9C0A9}"/>
            </a:ext>
          </a:extLst>
        </xdr:cNvPr>
        <xdr:cNvSpPr txBox="1"/>
      </xdr:nvSpPr>
      <xdr:spPr>
        <a:xfrm>
          <a:off x="9425049" y="19595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39</xdr:col>
      <xdr:colOff>23256</xdr:colOff>
      <xdr:row>9</xdr:row>
      <xdr:rowOff>159327</xdr:rowOff>
    </xdr:from>
    <xdr:ext cx="706540" cy="28020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52CD47BE-A25B-4228-8324-899B21B7531C}"/>
            </a:ext>
          </a:extLst>
        </xdr:cNvPr>
        <xdr:cNvSpPr txBox="1"/>
      </xdr:nvSpPr>
      <xdr:spPr>
        <a:xfrm>
          <a:off x="8195706" y="19214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15</xdr:col>
      <xdr:colOff>51955</xdr:colOff>
      <xdr:row>9</xdr:row>
      <xdr:rowOff>150915</xdr:rowOff>
    </xdr:from>
    <xdr:ext cx="784510" cy="280205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36F8EAAB-CB4D-4F38-A46A-65C96CA4BA49}"/>
            </a:ext>
          </a:extLst>
        </xdr:cNvPr>
        <xdr:cNvSpPr txBox="1"/>
      </xdr:nvSpPr>
      <xdr:spPr>
        <a:xfrm>
          <a:off x="3195205" y="19130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32</xdr:col>
      <xdr:colOff>172192</xdr:colOff>
      <xdr:row>15</xdr:row>
      <xdr:rowOff>122712</xdr:rowOff>
    </xdr:from>
    <xdr:ext cx="706540" cy="468077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A177E392-DB32-4D25-84AE-A161ED344DA9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101930</xdr:colOff>
      <xdr:row>15</xdr:row>
      <xdr:rowOff>139040</xdr:rowOff>
    </xdr:from>
    <xdr:ext cx="784510" cy="468077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89707977-7488-495D-ADD6-64884D752739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180109</xdr:colOff>
      <xdr:row>15</xdr:row>
      <xdr:rowOff>155369</xdr:rowOff>
    </xdr:from>
    <xdr:ext cx="706540" cy="468077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343177CD-B9B0-4A7B-82C2-A5D4483E8717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26</xdr:col>
      <xdr:colOff>122217</xdr:colOff>
      <xdr:row>15</xdr:row>
      <xdr:rowOff>134586</xdr:rowOff>
    </xdr:from>
    <xdr:ext cx="784510" cy="468077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2EF5D284-989D-4B01-A16C-186AAED68218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45</xdr:col>
      <xdr:colOff>2474</xdr:colOff>
      <xdr:row>15</xdr:row>
      <xdr:rowOff>138545</xdr:rowOff>
    </xdr:from>
    <xdr:ext cx="706540" cy="468077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E2F25CCA-91C3-4340-A983-8E706828ACBB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167244</xdr:colOff>
      <xdr:row>15</xdr:row>
      <xdr:rowOff>142504</xdr:rowOff>
    </xdr:from>
    <xdr:ext cx="784510" cy="468077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574879DF-C5EF-448F-BB76-B8695B3C11AC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8</xdr:col>
      <xdr:colOff>146461</xdr:colOff>
      <xdr:row>15</xdr:row>
      <xdr:rowOff>121722</xdr:rowOff>
    </xdr:from>
    <xdr:ext cx="784510" cy="468077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ADDE481D-5A65-42AB-9DCE-0031D1002604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204354</xdr:colOff>
      <xdr:row>15</xdr:row>
      <xdr:rowOff>142504</xdr:rowOff>
    </xdr:from>
    <xdr:ext cx="706540" cy="468077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9A615C83-335A-428C-A50C-4C4F0191ADC9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195941</xdr:colOff>
      <xdr:row>15</xdr:row>
      <xdr:rowOff>146462</xdr:rowOff>
    </xdr:from>
    <xdr:ext cx="706540" cy="468077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AB074828-7D62-43B5-869E-A479827D9AC8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205344</xdr:colOff>
      <xdr:row>21</xdr:row>
      <xdr:rowOff>131124</xdr:rowOff>
    </xdr:from>
    <xdr:ext cx="784510" cy="468077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94846A1E-AA5D-44D7-89DF-E0788F66AFC5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32</xdr:col>
      <xdr:colOff>196932</xdr:colOff>
      <xdr:row>21</xdr:row>
      <xdr:rowOff>147452</xdr:rowOff>
    </xdr:from>
    <xdr:ext cx="706540" cy="468077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10665594-E76C-47AD-9006-238BCB110C57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27</xdr:col>
      <xdr:colOff>2968</xdr:colOff>
      <xdr:row>21</xdr:row>
      <xdr:rowOff>151411</xdr:rowOff>
    </xdr:from>
    <xdr:ext cx="784510" cy="468077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5960122-1AEF-43A3-A3DD-31F49C09777B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192479</xdr:colOff>
      <xdr:row>21</xdr:row>
      <xdr:rowOff>142999</xdr:rowOff>
    </xdr:from>
    <xdr:ext cx="784510" cy="468077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4AEEBD2-BAD9-49D9-91C8-438D415B5A0A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171697</xdr:colOff>
      <xdr:row>21</xdr:row>
      <xdr:rowOff>146958</xdr:rowOff>
    </xdr:from>
    <xdr:ext cx="784510" cy="468077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3C487D64-85F4-451B-B28A-98B9A5BE3899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9</xdr:col>
      <xdr:colOff>2473</xdr:colOff>
      <xdr:row>21</xdr:row>
      <xdr:rowOff>126176</xdr:rowOff>
    </xdr:from>
    <xdr:ext cx="784510" cy="468077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3DDFAC0E-E0DA-40F2-A446-C2BE4FDCC68C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200891</xdr:colOff>
      <xdr:row>21</xdr:row>
      <xdr:rowOff>139040</xdr:rowOff>
    </xdr:from>
    <xdr:ext cx="706540" cy="468077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98B952A2-FD57-44AF-834F-6204BCE11178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44</xdr:col>
      <xdr:colOff>192480</xdr:colOff>
      <xdr:row>21</xdr:row>
      <xdr:rowOff>142999</xdr:rowOff>
    </xdr:from>
    <xdr:ext cx="706540" cy="468077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D006921C-85BC-4F97-98ED-C60D5C67D395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158090</xdr:colOff>
      <xdr:row>21</xdr:row>
      <xdr:rowOff>119125</xdr:rowOff>
    </xdr:from>
    <xdr:ext cx="706540" cy="468077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1D61DC5-7E0A-4160-A643-1E8DCCD06161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197922</xdr:colOff>
      <xdr:row>21</xdr:row>
      <xdr:rowOff>148441</xdr:rowOff>
    </xdr:from>
    <xdr:ext cx="706540" cy="468077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6A206319-853D-47A1-9B56-2A17510646EE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168233</xdr:colOff>
      <xdr:row>27</xdr:row>
      <xdr:rowOff>143494</xdr:rowOff>
    </xdr:from>
    <xdr:ext cx="784510" cy="280205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A41C3240-4EAB-40FA-BA1F-3FDA48940E03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33</xdr:col>
      <xdr:colOff>60859</xdr:colOff>
      <xdr:row>27</xdr:row>
      <xdr:rowOff>122711</xdr:rowOff>
    </xdr:from>
    <xdr:ext cx="706540" cy="280205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65F6650A-4626-4128-A771-53F24C27CF66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27</xdr:col>
      <xdr:colOff>15337</xdr:colOff>
      <xdr:row>27</xdr:row>
      <xdr:rowOff>151411</xdr:rowOff>
    </xdr:from>
    <xdr:ext cx="784510" cy="280205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CD944B7C-F8B2-457E-92A7-5FE69C39291F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21</xdr:col>
      <xdr:colOff>31666</xdr:colOff>
      <xdr:row>27</xdr:row>
      <xdr:rowOff>167739</xdr:rowOff>
    </xdr:from>
    <xdr:ext cx="784510" cy="28020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882FAA8A-032B-4DF9-9818-A1CE4D9BCED8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14</xdr:col>
      <xdr:colOff>196436</xdr:colOff>
      <xdr:row>27</xdr:row>
      <xdr:rowOff>159328</xdr:rowOff>
    </xdr:from>
    <xdr:ext cx="784510" cy="280205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FE067F5E-281F-40E8-8BE2-CC984D258960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8</xdr:col>
      <xdr:colOff>188024</xdr:colOff>
      <xdr:row>27</xdr:row>
      <xdr:rowOff>150916</xdr:rowOff>
    </xdr:from>
    <xdr:ext cx="784510" cy="280205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DC56993C-88A0-4870-A4ED-07EBCEDB30FE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50</xdr:col>
      <xdr:colOff>176149</xdr:colOff>
      <xdr:row>27</xdr:row>
      <xdr:rowOff>163780</xdr:rowOff>
    </xdr:from>
    <xdr:ext cx="706540" cy="280205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77620B75-D0E0-4685-9A1F-D59044322E4A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44</xdr:col>
      <xdr:colOff>180108</xdr:colOff>
      <xdr:row>27</xdr:row>
      <xdr:rowOff>167738</xdr:rowOff>
    </xdr:from>
    <xdr:ext cx="706540" cy="28020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66C87EA7-2E0C-4844-89A9-041863F06090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56</xdr:col>
      <xdr:colOff>134585</xdr:colOff>
      <xdr:row>27</xdr:row>
      <xdr:rowOff>146957</xdr:rowOff>
    </xdr:from>
    <xdr:ext cx="706540" cy="280205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1596C50B-C759-48C4-8B4A-094335346EB7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38</xdr:col>
      <xdr:colOff>113803</xdr:colOff>
      <xdr:row>27</xdr:row>
      <xdr:rowOff>175655</xdr:rowOff>
    </xdr:from>
    <xdr:ext cx="706540" cy="280205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96BF66D2-F9E8-409E-84D6-4F3221C5775F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2</xdr:col>
      <xdr:colOff>131122</xdr:colOff>
      <xdr:row>33</xdr:row>
      <xdr:rowOff>155865</xdr:rowOff>
    </xdr:from>
    <xdr:ext cx="784510" cy="280205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E11809F4-5ACF-418A-A25C-9BC5B956FB11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26</xdr:col>
      <xdr:colOff>135081</xdr:colOff>
      <xdr:row>33</xdr:row>
      <xdr:rowOff>147454</xdr:rowOff>
    </xdr:from>
    <xdr:ext cx="784510" cy="28020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A795F227-230A-497C-99CA-39A059B9424F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21</xdr:col>
      <xdr:colOff>2967</xdr:colOff>
      <xdr:row>33</xdr:row>
      <xdr:rowOff>163782</xdr:rowOff>
    </xdr:from>
    <xdr:ext cx="784510" cy="28020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9AA46850-B383-4965-8E9D-26461B463E3A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8</xdr:col>
      <xdr:colOff>118257</xdr:colOff>
      <xdr:row>33</xdr:row>
      <xdr:rowOff>155370</xdr:rowOff>
    </xdr:from>
    <xdr:ext cx="784510" cy="280205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DD58392D-079B-40C8-B6E7-79C018D8039A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15</xdr:col>
      <xdr:colOff>10884</xdr:colOff>
      <xdr:row>33</xdr:row>
      <xdr:rowOff>159329</xdr:rowOff>
    </xdr:from>
    <xdr:ext cx="784510" cy="280205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A486BC88-E4BC-41F0-B4B1-DB333E30403E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50</xdr:col>
      <xdr:colOff>163780</xdr:colOff>
      <xdr:row>33</xdr:row>
      <xdr:rowOff>139043</xdr:rowOff>
    </xdr:from>
    <xdr:ext cx="706540" cy="28020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369BB202-ACF0-48F8-BB77-FEDF1BC25067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38</xdr:col>
      <xdr:colOff>167738</xdr:colOff>
      <xdr:row>33</xdr:row>
      <xdr:rowOff>143001</xdr:rowOff>
    </xdr:from>
    <xdr:ext cx="706540" cy="28020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4B7665FC-1089-4BA9-BBF0-525F0BA32DE7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56</xdr:col>
      <xdr:colOff>159325</xdr:colOff>
      <xdr:row>33</xdr:row>
      <xdr:rowOff>159329</xdr:rowOff>
    </xdr:from>
    <xdr:ext cx="70654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4F37F22-4F0C-440C-BBCA-4644CFB3B2E7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32</xdr:col>
      <xdr:colOff>200395</xdr:colOff>
      <xdr:row>33</xdr:row>
      <xdr:rowOff>175658</xdr:rowOff>
    </xdr:from>
    <xdr:ext cx="706540" cy="28020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AB5D1211-F8AB-45B7-85C2-959790A01B5E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44</xdr:col>
      <xdr:colOff>154873</xdr:colOff>
      <xdr:row>33</xdr:row>
      <xdr:rowOff>179616</xdr:rowOff>
    </xdr:from>
    <xdr:ext cx="706540" cy="28020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2967F650-D536-4581-9061-7EE43E632F52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2</xdr:col>
      <xdr:colOff>135080</xdr:colOff>
      <xdr:row>39</xdr:row>
      <xdr:rowOff>159823</xdr:rowOff>
    </xdr:from>
    <xdr:ext cx="784510" cy="280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B12F8DE1-428E-4B75-9332-684D17DD82C2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8</xdr:col>
      <xdr:colOff>139038</xdr:colOff>
      <xdr:row>39</xdr:row>
      <xdr:rowOff>163782</xdr:rowOff>
    </xdr:from>
    <xdr:ext cx="784510" cy="28020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5CA3F27C-B3F1-453D-B2BE-E268E1A1976B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14</xdr:col>
      <xdr:colOff>167737</xdr:colOff>
      <xdr:row>39</xdr:row>
      <xdr:rowOff>167740</xdr:rowOff>
    </xdr:from>
    <xdr:ext cx="784510" cy="28020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A1AEA71D-AA0E-4617-ABFE-FEA9AAB8D1F6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20</xdr:col>
      <xdr:colOff>146956</xdr:colOff>
      <xdr:row>39</xdr:row>
      <xdr:rowOff>171698</xdr:rowOff>
    </xdr:from>
    <xdr:ext cx="784510" cy="280205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E4CC5B80-4304-401B-9370-B9B615E6A653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27</xdr:col>
      <xdr:colOff>37110</xdr:colOff>
      <xdr:row>39</xdr:row>
      <xdr:rowOff>160812</xdr:rowOff>
    </xdr:from>
    <xdr:ext cx="784510" cy="280205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58668344-24D4-45D8-A033-948BD4E17277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32</xdr:col>
      <xdr:colOff>201880</xdr:colOff>
      <xdr:row>39</xdr:row>
      <xdr:rowOff>152400</xdr:rowOff>
    </xdr:from>
    <xdr:ext cx="706540" cy="280205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6A9E9A62-DD98-4C30-BA97-67B3C8A70AAB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38</xdr:col>
      <xdr:colOff>160811</xdr:colOff>
      <xdr:row>39</xdr:row>
      <xdr:rowOff>136071</xdr:rowOff>
    </xdr:from>
    <xdr:ext cx="706540" cy="280205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6A3D5D3D-B9DA-4A60-9AAB-AB94C18EFA2F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44</xdr:col>
      <xdr:colOff>160812</xdr:colOff>
      <xdr:row>39</xdr:row>
      <xdr:rowOff>148442</xdr:rowOff>
    </xdr:from>
    <xdr:ext cx="706540" cy="280205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32EC28E5-32AD-4B2A-9067-6AB9633ABD67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50</xdr:col>
      <xdr:colOff>197923</xdr:colOff>
      <xdr:row>39</xdr:row>
      <xdr:rowOff>160812</xdr:rowOff>
    </xdr:from>
    <xdr:ext cx="706540" cy="280205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6D63999A-40C9-45DF-AD37-F74F6991101B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56</xdr:col>
      <xdr:colOff>173182</xdr:colOff>
      <xdr:row>39</xdr:row>
      <xdr:rowOff>160812</xdr:rowOff>
    </xdr:from>
    <xdr:ext cx="706540" cy="280205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B9635DAF-CB36-49E6-91E1-D81EAD5B40FA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2</xdr:col>
      <xdr:colOff>126668</xdr:colOff>
      <xdr:row>45</xdr:row>
      <xdr:rowOff>139041</xdr:rowOff>
    </xdr:from>
    <xdr:ext cx="784510" cy="280205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2647A41B-2FCE-4E7C-8CFD-30F8B1A68D7D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45</xdr:col>
      <xdr:colOff>6925</xdr:colOff>
      <xdr:row>45</xdr:row>
      <xdr:rowOff>142999</xdr:rowOff>
    </xdr:from>
    <xdr:ext cx="706540" cy="280205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836FE574-0F3C-4080-9965-F7CE4E2D6F74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14</xdr:col>
      <xdr:colOff>146955</xdr:colOff>
      <xdr:row>45</xdr:row>
      <xdr:rowOff>134588</xdr:rowOff>
    </xdr:from>
    <xdr:ext cx="784510" cy="280205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83382EA4-9B69-499A-BD30-B16AB02DCF4C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8</xdr:col>
      <xdr:colOff>188023</xdr:colOff>
      <xdr:row>45</xdr:row>
      <xdr:rowOff>163286</xdr:rowOff>
    </xdr:from>
    <xdr:ext cx="784510" cy="280205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C1FB1AB8-CC29-407B-9968-1978CF0A5886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20</xdr:col>
      <xdr:colOff>179612</xdr:colOff>
      <xdr:row>45</xdr:row>
      <xdr:rowOff>154875</xdr:rowOff>
    </xdr:from>
    <xdr:ext cx="784510" cy="280205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C70EDA1-6588-4EB6-B9EC-1B7D67427453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32</xdr:col>
      <xdr:colOff>208310</xdr:colOff>
      <xdr:row>45</xdr:row>
      <xdr:rowOff>134093</xdr:rowOff>
    </xdr:from>
    <xdr:ext cx="706540" cy="280205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03D5CF35-A147-4B42-971B-6B09EA2A9B56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27</xdr:col>
      <xdr:colOff>14346</xdr:colOff>
      <xdr:row>45</xdr:row>
      <xdr:rowOff>138051</xdr:rowOff>
    </xdr:from>
    <xdr:ext cx="784510" cy="280205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C3D758E1-C93F-494D-8318-200CD9E845BB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38</xdr:col>
      <xdr:colOff>166747</xdr:colOff>
      <xdr:row>45</xdr:row>
      <xdr:rowOff>154379</xdr:rowOff>
    </xdr:from>
    <xdr:ext cx="706540" cy="280205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28608583-25D3-4751-B4C4-C53260F09A64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50</xdr:col>
      <xdr:colOff>197923</xdr:colOff>
      <xdr:row>45</xdr:row>
      <xdr:rowOff>136072</xdr:rowOff>
    </xdr:from>
    <xdr:ext cx="706540" cy="280205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E3A27B62-A4CA-4925-838A-D9525197BF7D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56</xdr:col>
      <xdr:colOff>177141</xdr:colOff>
      <xdr:row>45</xdr:row>
      <xdr:rowOff>140030</xdr:rowOff>
    </xdr:from>
    <xdr:ext cx="706540" cy="280205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8F6CA588-F2A3-4F33-A724-BD8DCA380C80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2</xdr:col>
      <xdr:colOff>71438</xdr:colOff>
      <xdr:row>51</xdr:row>
      <xdr:rowOff>155760</xdr:rowOff>
    </xdr:from>
    <xdr:ext cx="784510" cy="280205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B0ACB629-EB0F-4D48-A61E-D9A6D281922C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44</xdr:col>
      <xdr:colOff>94570</xdr:colOff>
      <xdr:row>51</xdr:row>
      <xdr:rowOff>167655</xdr:rowOff>
    </xdr:from>
    <xdr:ext cx="706540" cy="280205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F58F2CFE-75F2-4C90-B194-B719CF719CD5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14</xdr:col>
      <xdr:colOff>91725</xdr:colOff>
      <xdr:row>51</xdr:row>
      <xdr:rowOff>151307</xdr:rowOff>
    </xdr:from>
    <xdr:ext cx="784510" cy="280205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8DBDDC28-C4A4-4214-8F78-7622F5E9C1C8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8</xdr:col>
      <xdr:colOff>132793</xdr:colOff>
      <xdr:row>51</xdr:row>
      <xdr:rowOff>180005</xdr:rowOff>
    </xdr:from>
    <xdr:ext cx="784510" cy="280205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4D9372A2-133D-44B2-8AF0-42D5EC9888A4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20</xdr:col>
      <xdr:colOff>124382</xdr:colOff>
      <xdr:row>51</xdr:row>
      <xdr:rowOff>171594</xdr:rowOff>
    </xdr:from>
    <xdr:ext cx="784510" cy="280205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41A662E1-15E3-490C-8098-B64383703573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32</xdr:col>
      <xdr:colOff>153080</xdr:colOff>
      <xdr:row>51</xdr:row>
      <xdr:rowOff>150812</xdr:rowOff>
    </xdr:from>
    <xdr:ext cx="706540" cy="280205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DE61861E-581E-433A-AD7D-B46F8CE61BBE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26</xdr:col>
      <xdr:colOff>165491</xdr:colOff>
      <xdr:row>51</xdr:row>
      <xdr:rowOff>154770</xdr:rowOff>
    </xdr:from>
    <xdr:ext cx="784510" cy="280205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FE9AAFE5-1379-4533-82EF-ACCF39857D90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38</xdr:col>
      <xdr:colOff>111517</xdr:colOff>
      <xdr:row>51</xdr:row>
      <xdr:rowOff>171098</xdr:rowOff>
    </xdr:from>
    <xdr:ext cx="706540" cy="280205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5F3F3F0D-588B-4FE2-A4CD-EA7BC99B8B10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50</xdr:col>
      <xdr:colOff>142693</xdr:colOff>
      <xdr:row>51</xdr:row>
      <xdr:rowOff>152791</xdr:rowOff>
    </xdr:from>
    <xdr:ext cx="706540" cy="280205"/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D4D6EE2F-DFB9-4272-9C0F-F03026BE89CD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56</xdr:col>
      <xdr:colOff>121911</xdr:colOff>
      <xdr:row>51</xdr:row>
      <xdr:rowOff>156749</xdr:rowOff>
    </xdr:from>
    <xdr:ext cx="706540" cy="280205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FA4F9671-6CFB-42EA-ADD4-7CA469AA1147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2</xdr:col>
      <xdr:colOff>58412</xdr:colOff>
      <xdr:row>57</xdr:row>
      <xdr:rowOff>169635</xdr:rowOff>
    </xdr:from>
    <xdr:ext cx="784510" cy="280205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B3738A-B510-4E03-AFCE-4C80F6F9BCEC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44</xdr:col>
      <xdr:colOff>145044</xdr:colOff>
      <xdr:row>57</xdr:row>
      <xdr:rowOff>173593</xdr:rowOff>
    </xdr:from>
    <xdr:ext cx="706540" cy="280205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4A27E3DF-6725-4100-9C6B-B31B95AF6EF0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14</xdr:col>
      <xdr:colOff>78699</xdr:colOff>
      <xdr:row>57</xdr:row>
      <xdr:rowOff>165182</xdr:rowOff>
    </xdr:from>
    <xdr:ext cx="784510" cy="280205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E6A01171-22A1-4DEA-A9EE-57D475EAA648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8</xdr:col>
      <xdr:colOff>119767</xdr:colOff>
      <xdr:row>58</xdr:row>
      <xdr:rowOff>3380</xdr:rowOff>
    </xdr:from>
    <xdr:ext cx="784510" cy="280205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C96876BB-17E3-4732-89F7-8A506A1C8C98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20</xdr:col>
      <xdr:colOff>111356</xdr:colOff>
      <xdr:row>57</xdr:row>
      <xdr:rowOff>185469</xdr:rowOff>
    </xdr:from>
    <xdr:ext cx="784510" cy="280205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53947159-18F9-4864-951C-600D6CDDFFCB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32</xdr:col>
      <xdr:colOff>140054</xdr:colOff>
      <xdr:row>57</xdr:row>
      <xdr:rowOff>164687</xdr:rowOff>
    </xdr:from>
    <xdr:ext cx="706540" cy="280205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EBC29241-2AA1-49E2-9A42-7777118A18C6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26</xdr:col>
      <xdr:colOff>152465</xdr:colOff>
      <xdr:row>57</xdr:row>
      <xdr:rowOff>168645</xdr:rowOff>
    </xdr:from>
    <xdr:ext cx="784510" cy="280205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97F7164E-844E-4BCF-9E7A-25694A681820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38</xdr:col>
      <xdr:colOff>98491</xdr:colOff>
      <xdr:row>57</xdr:row>
      <xdr:rowOff>184973</xdr:rowOff>
    </xdr:from>
    <xdr:ext cx="706540" cy="280205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6A5D9C89-4FC5-4635-8E01-0D20B32C1DA7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50</xdr:col>
      <xdr:colOff>129667</xdr:colOff>
      <xdr:row>57</xdr:row>
      <xdr:rowOff>166666</xdr:rowOff>
    </xdr:from>
    <xdr:ext cx="706540" cy="280205"/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D8954D55-AD08-41C3-8D01-4A89A6CF8678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56</xdr:col>
      <xdr:colOff>108885</xdr:colOff>
      <xdr:row>57</xdr:row>
      <xdr:rowOff>170624</xdr:rowOff>
    </xdr:from>
    <xdr:ext cx="706540" cy="280205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F5EF87A5-863F-465F-8613-90022DAD8C86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2</xdr:col>
      <xdr:colOff>71437</xdr:colOff>
      <xdr:row>63</xdr:row>
      <xdr:rowOff>155760</xdr:rowOff>
    </xdr:from>
    <xdr:ext cx="784510" cy="280205"/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B7DF7259-82C8-45A2-B1DC-A5187683CFDE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44</xdr:col>
      <xdr:colOff>158069</xdr:colOff>
      <xdr:row>63</xdr:row>
      <xdr:rowOff>159718</xdr:rowOff>
    </xdr:from>
    <xdr:ext cx="706540" cy="280205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382AE1A6-97F3-4461-9D24-BDE9B31DD71B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14</xdr:col>
      <xdr:colOff>91724</xdr:colOff>
      <xdr:row>63</xdr:row>
      <xdr:rowOff>151307</xdr:rowOff>
    </xdr:from>
    <xdr:ext cx="784510" cy="280205"/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7FA1AE7E-61F8-404E-9D12-3DAA23CABB06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8</xdr:col>
      <xdr:colOff>132792</xdr:colOff>
      <xdr:row>63</xdr:row>
      <xdr:rowOff>180005</xdr:rowOff>
    </xdr:from>
    <xdr:ext cx="784510" cy="280205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72F29C77-87F7-408F-AB45-D758FD5621FD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20</xdr:col>
      <xdr:colOff>124381</xdr:colOff>
      <xdr:row>63</xdr:row>
      <xdr:rowOff>171594</xdr:rowOff>
    </xdr:from>
    <xdr:ext cx="784510" cy="280205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FAEF5D0-F278-4B3F-9DC2-73063336E04D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32</xdr:col>
      <xdr:colOff>153079</xdr:colOff>
      <xdr:row>63</xdr:row>
      <xdr:rowOff>150812</xdr:rowOff>
    </xdr:from>
    <xdr:ext cx="706540" cy="280205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3978B1E0-D829-43FD-83D7-8DA390953FAD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26</xdr:col>
      <xdr:colOff>165490</xdr:colOff>
      <xdr:row>63</xdr:row>
      <xdr:rowOff>154770</xdr:rowOff>
    </xdr:from>
    <xdr:ext cx="784510" cy="280205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90979448-AF63-459C-A61A-2554F5BDF960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38</xdr:col>
      <xdr:colOff>111516</xdr:colOff>
      <xdr:row>63</xdr:row>
      <xdr:rowOff>171098</xdr:rowOff>
    </xdr:from>
    <xdr:ext cx="706540" cy="280205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CEB2E25D-0330-43A6-966B-F2446916703D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51</xdr:col>
      <xdr:colOff>110942</xdr:colOff>
      <xdr:row>62</xdr:row>
      <xdr:rowOff>176604</xdr:rowOff>
    </xdr:from>
    <xdr:ext cx="706540" cy="280205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CA194883-837D-4BD7-AE4F-EF3295AF08E4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56</xdr:col>
      <xdr:colOff>121910</xdr:colOff>
      <xdr:row>63</xdr:row>
      <xdr:rowOff>156749</xdr:rowOff>
    </xdr:from>
    <xdr:ext cx="706540" cy="280205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F15DDE8E-8C78-4894-800A-5708F3F9176A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2</xdr:col>
      <xdr:colOff>55713</xdr:colOff>
      <xdr:row>69</xdr:row>
      <xdr:rowOff>166480</xdr:rowOff>
    </xdr:from>
    <xdr:ext cx="706540" cy="280205"/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17F14B67-BC06-4297-81D0-033E9F1F7563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44</xdr:col>
      <xdr:colOff>142345</xdr:colOff>
      <xdr:row>69</xdr:row>
      <xdr:rowOff>170438</xdr:rowOff>
    </xdr:from>
    <xdr:ext cx="628570" cy="280205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F8CF33EF-202D-40F0-8E82-003126240A1A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14</xdr:col>
      <xdr:colOff>76000</xdr:colOff>
      <xdr:row>69</xdr:row>
      <xdr:rowOff>162027</xdr:rowOff>
    </xdr:from>
    <xdr:ext cx="706540" cy="280205"/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id="{0761956D-2168-4A62-B075-934080BAB1C9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8</xdr:col>
      <xdr:colOff>117068</xdr:colOff>
      <xdr:row>69</xdr:row>
      <xdr:rowOff>151037</xdr:rowOff>
    </xdr:from>
    <xdr:ext cx="706540" cy="280205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8F05550E-BC5A-45C6-8ABD-1CC893BB1FA8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20</xdr:col>
      <xdr:colOff>132470</xdr:colOff>
      <xdr:row>69</xdr:row>
      <xdr:rowOff>166439</xdr:rowOff>
    </xdr:from>
    <xdr:ext cx="706540" cy="280205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5D29D234-51C7-47AE-BF36-DD9E449CD676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32</xdr:col>
      <xdr:colOff>137355</xdr:colOff>
      <xdr:row>69</xdr:row>
      <xdr:rowOff>161532</xdr:rowOff>
    </xdr:from>
    <xdr:ext cx="628570" cy="280205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ED6A9520-4C27-4A85-BB40-485CC75B7FEE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26</xdr:col>
      <xdr:colOff>149766</xdr:colOff>
      <xdr:row>69</xdr:row>
      <xdr:rowOff>165490</xdr:rowOff>
    </xdr:from>
    <xdr:ext cx="706540" cy="280205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14843651-C46B-4017-8156-DF3CB6BF826B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38</xdr:col>
      <xdr:colOff>135479</xdr:colOff>
      <xdr:row>69</xdr:row>
      <xdr:rowOff>173880</xdr:rowOff>
    </xdr:from>
    <xdr:ext cx="628570" cy="280205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D9767EBD-B744-49DA-A56F-E37BDA391BA6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50</xdr:col>
      <xdr:colOff>126968</xdr:colOff>
      <xdr:row>69</xdr:row>
      <xdr:rowOff>163511</xdr:rowOff>
    </xdr:from>
    <xdr:ext cx="628570" cy="280205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EE72A452-3A69-49D9-95D5-F24C53639DE3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56</xdr:col>
      <xdr:colOff>106186</xdr:colOff>
      <xdr:row>69</xdr:row>
      <xdr:rowOff>167469</xdr:rowOff>
    </xdr:from>
    <xdr:ext cx="628570" cy="280205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09148D95-7F15-4BBE-AC34-0012EE9967FD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2</xdr:col>
      <xdr:colOff>104926</xdr:colOff>
      <xdr:row>75</xdr:row>
      <xdr:rowOff>152193</xdr:rowOff>
    </xdr:from>
    <xdr:ext cx="706540" cy="280205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C839E12E-B9C5-4996-BAE8-DD7236FA5163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44</xdr:col>
      <xdr:colOff>191558</xdr:colOff>
      <xdr:row>75</xdr:row>
      <xdr:rowOff>156151</xdr:rowOff>
    </xdr:from>
    <xdr:ext cx="628570" cy="280205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EB23D455-8389-4402-9E76-B8DB691FCC96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14</xdr:col>
      <xdr:colOff>125213</xdr:colOff>
      <xdr:row>75</xdr:row>
      <xdr:rowOff>147740</xdr:rowOff>
    </xdr:from>
    <xdr:ext cx="706540" cy="280205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6F81EDDE-503C-4F0F-9DA0-0ED7AD4F7A9E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8</xdr:col>
      <xdr:colOff>166281</xdr:colOff>
      <xdr:row>75</xdr:row>
      <xdr:rowOff>136750</xdr:rowOff>
    </xdr:from>
    <xdr:ext cx="706540" cy="280205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E4E48DD8-7FC0-4282-9F72-E52C5725AFDF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20</xdr:col>
      <xdr:colOff>181683</xdr:colOff>
      <xdr:row>75</xdr:row>
      <xdr:rowOff>152152</xdr:rowOff>
    </xdr:from>
    <xdr:ext cx="706540" cy="280205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1706283D-AE82-4AA1-BBCA-C1467D281B03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32</xdr:col>
      <xdr:colOff>186568</xdr:colOff>
      <xdr:row>75</xdr:row>
      <xdr:rowOff>147245</xdr:rowOff>
    </xdr:from>
    <xdr:ext cx="628570" cy="280205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EC5B36CE-B9B0-4655-909E-9E7DF8B04E2B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26</xdr:col>
      <xdr:colOff>198979</xdr:colOff>
      <xdr:row>75</xdr:row>
      <xdr:rowOff>151203</xdr:rowOff>
    </xdr:from>
    <xdr:ext cx="706540" cy="280205"/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AF27AA26-2149-4F6B-8A11-32FA74EF3698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38</xdr:col>
      <xdr:colOff>184692</xdr:colOff>
      <xdr:row>75</xdr:row>
      <xdr:rowOff>159593</xdr:rowOff>
    </xdr:from>
    <xdr:ext cx="628570" cy="280205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761A4993-E02E-40C0-9FD9-811763676B0B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50</xdr:col>
      <xdr:colOff>176181</xdr:colOff>
      <xdr:row>75</xdr:row>
      <xdr:rowOff>149224</xdr:rowOff>
    </xdr:from>
    <xdr:ext cx="628570" cy="280205"/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6E4BEFAC-42FB-488E-9107-3F8CCB548B59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56</xdr:col>
      <xdr:colOff>155399</xdr:colOff>
      <xdr:row>75</xdr:row>
      <xdr:rowOff>153182</xdr:rowOff>
    </xdr:from>
    <xdr:ext cx="628570" cy="280205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D4DA9C8D-CFA8-4B22-B994-070955693CF2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2</xdr:col>
      <xdr:colOff>98576</xdr:colOff>
      <xdr:row>81</xdr:row>
      <xdr:rowOff>145843</xdr:rowOff>
    </xdr:from>
    <xdr:ext cx="706540" cy="280205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A32C627B-8A68-459E-BAC1-6A43BE24FB75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44</xdr:col>
      <xdr:colOff>185208</xdr:colOff>
      <xdr:row>81</xdr:row>
      <xdr:rowOff>149801</xdr:rowOff>
    </xdr:from>
    <xdr:ext cx="628570" cy="280205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30553E69-C79D-4EA9-8BEB-5D2171268213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14</xdr:col>
      <xdr:colOff>118863</xdr:colOff>
      <xdr:row>81</xdr:row>
      <xdr:rowOff>141390</xdr:rowOff>
    </xdr:from>
    <xdr:ext cx="706540" cy="280205"/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362F557C-B78F-4146-B5ED-9F6A8F9DF48D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8</xdr:col>
      <xdr:colOff>159931</xdr:colOff>
      <xdr:row>81</xdr:row>
      <xdr:rowOff>130400</xdr:rowOff>
    </xdr:from>
    <xdr:ext cx="706540" cy="280205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1CAD396A-9A65-428C-A9F6-D33C407880BD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20</xdr:col>
      <xdr:colOff>175333</xdr:colOff>
      <xdr:row>81</xdr:row>
      <xdr:rowOff>145802</xdr:rowOff>
    </xdr:from>
    <xdr:ext cx="706540" cy="280205"/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09020DFE-1128-4571-86DC-3153CA686C39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32</xdr:col>
      <xdr:colOff>180218</xdr:colOff>
      <xdr:row>81</xdr:row>
      <xdr:rowOff>140895</xdr:rowOff>
    </xdr:from>
    <xdr:ext cx="628570" cy="280205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9D8A9507-F40E-4569-8477-3B5B91BDE4BE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26</xdr:col>
      <xdr:colOff>192629</xdr:colOff>
      <xdr:row>81</xdr:row>
      <xdr:rowOff>144853</xdr:rowOff>
    </xdr:from>
    <xdr:ext cx="706540" cy="280205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1DEE574E-9BA1-4BCF-9D8C-0BF624137BCD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38</xdr:col>
      <xdr:colOff>178342</xdr:colOff>
      <xdr:row>81</xdr:row>
      <xdr:rowOff>153243</xdr:rowOff>
    </xdr:from>
    <xdr:ext cx="628570" cy="280205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B892817B-0D29-432C-81BB-3F086B31DDF2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50</xdr:col>
      <xdr:colOff>169831</xdr:colOff>
      <xdr:row>81</xdr:row>
      <xdr:rowOff>142874</xdr:rowOff>
    </xdr:from>
    <xdr:ext cx="628570" cy="28020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DEC2BD1A-6033-48EF-A7F9-C7FAD463F7C9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56</xdr:col>
      <xdr:colOff>149049</xdr:colOff>
      <xdr:row>81</xdr:row>
      <xdr:rowOff>146832</xdr:rowOff>
    </xdr:from>
    <xdr:ext cx="628570" cy="280205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5DC9579D-9E25-421D-AE2B-12E400503E53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twoCellAnchor>
    <xdr:from>
      <xdr:col>0</xdr:col>
      <xdr:colOff>171450</xdr:colOff>
      <xdr:row>86</xdr:row>
      <xdr:rowOff>9525</xdr:rowOff>
    </xdr:from>
    <xdr:to>
      <xdr:col>75</xdr:col>
      <xdr:colOff>14226</xdr:colOff>
      <xdr:row>86</xdr:row>
      <xdr:rowOff>12370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7FE8B413-2AA9-418C-910D-6B02231F164D}"/>
            </a:ext>
          </a:extLst>
        </xdr:cNvPr>
        <xdr:cNvCxnSpPr/>
      </xdr:nvCxnSpPr>
      <xdr:spPr>
        <a:xfrm>
          <a:off x="171450" y="16440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87</xdr:row>
      <xdr:rowOff>145843</xdr:rowOff>
    </xdr:from>
    <xdr:ext cx="706540" cy="280205"/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C838860E-EA03-4EF8-951E-79E6F4B2546C}"/>
            </a:ext>
          </a:extLst>
        </xdr:cNvPr>
        <xdr:cNvSpPr txBox="1"/>
      </xdr:nvSpPr>
      <xdr:spPr>
        <a:xfrm>
          <a:off x="517676" y="16766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6N-14W</a:t>
          </a:r>
        </a:p>
      </xdr:txBody>
    </xdr:sp>
    <xdr:clientData/>
  </xdr:oneCellAnchor>
  <xdr:oneCellAnchor>
    <xdr:from>
      <xdr:col>44</xdr:col>
      <xdr:colOff>185208</xdr:colOff>
      <xdr:row>87</xdr:row>
      <xdr:rowOff>149801</xdr:rowOff>
    </xdr:from>
    <xdr:ext cx="628570" cy="28020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D3BDCE69-9C61-4D88-82FC-BD84F646C565}"/>
            </a:ext>
          </a:extLst>
        </xdr:cNvPr>
        <xdr:cNvSpPr txBox="1"/>
      </xdr:nvSpPr>
      <xdr:spPr>
        <a:xfrm>
          <a:off x="9405408" y="16770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6N-7W</a:t>
          </a:r>
        </a:p>
      </xdr:txBody>
    </xdr:sp>
    <xdr:clientData/>
  </xdr:oneCellAnchor>
  <xdr:oneCellAnchor>
    <xdr:from>
      <xdr:col>14</xdr:col>
      <xdr:colOff>118863</xdr:colOff>
      <xdr:row>87</xdr:row>
      <xdr:rowOff>141390</xdr:rowOff>
    </xdr:from>
    <xdr:ext cx="706540" cy="280205"/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0BD6E480-7EB8-4CF2-A7E3-F5CCFF04582A}"/>
            </a:ext>
          </a:extLst>
        </xdr:cNvPr>
        <xdr:cNvSpPr txBox="1"/>
      </xdr:nvSpPr>
      <xdr:spPr>
        <a:xfrm>
          <a:off x="3052563" y="16762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6N-12W</a:t>
          </a:r>
        </a:p>
      </xdr:txBody>
    </xdr:sp>
    <xdr:clientData/>
  </xdr:oneCellAnchor>
  <xdr:oneCellAnchor>
    <xdr:from>
      <xdr:col>8</xdr:col>
      <xdr:colOff>159931</xdr:colOff>
      <xdr:row>87</xdr:row>
      <xdr:rowOff>130400</xdr:rowOff>
    </xdr:from>
    <xdr:ext cx="706540" cy="280205"/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65901001-A521-40CC-9147-D04DBE288F7F}"/>
            </a:ext>
          </a:extLst>
        </xdr:cNvPr>
        <xdr:cNvSpPr txBox="1"/>
      </xdr:nvSpPr>
      <xdr:spPr>
        <a:xfrm>
          <a:off x="1836331" y="16751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6N-13W</a:t>
          </a:r>
        </a:p>
      </xdr:txBody>
    </xdr:sp>
    <xdr:clientData/>
  </xdr:oneCellAnchor>
  <xdr:oneCellAnchor>
    <xdr:from>
      <xdr:col>20</xdr:col>
      <xdr:colOff>175333</xdr:colOff>
      <xdr:row>87</xdr:row>
      <xdr:rowOff>145802</xdr:rowOff>
    </xdr:from>
    <xdr:ext cx="706540" cy="280205"/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E8FE2195-5CB0-414F-9895-953B605C9F5B}"/>
            </a:ext>
          </a:extLst>
        </xdr:cNvPr>
        <xdr:cNvSpPr txBox="1"/>
      </xdr:nvSpPr>
      <xdr:spPr>
        <a:xfrm>
          <a:off x="4366333" y="16766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6N-11W</a:t>
          </a:r>
        </a:p>
      </xdr:txBody>
    </xdr:sp>
    <xdr:clientData/>
  </xdr:oneCellAnchor>
  <xdr:oneCellAnchor>
    <xdr:from>
      <xdr:col>32</xdr:col>
      <xdr:colOff>180218</xdr:colOff>
      <xdr:row>87</xdr:row>
      <xdr:rowOff>140895</xdr:rowOff>
    </xdr:from>
    <xdr:ext cx="628570" cy="280205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56518E78-EF25-476E-BE0F-DF91702201E7}"/>
            </a:ext>
          </a:extLst>
        </xdr:cNvPr>
        <xdr:cNvSpPr txBox="1"/>
      </xdr:nvSpPr>
      <xdr:spPr>
        <a:xfrm>
          <a:off x="6885818" y="16762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6N-9W</a:t>
          </a:r>
        </a:p>
      </xdr:txBody>
    </xdr:sp>
    <xdr:clientData/>
  </xdr:oneCellAnchor>
  <xdr:oneCellAnchor>
    <xdr:from>
      <xdr:col>26</xdr:col>
      <xdr:colOff>192629</xdr:colOff>
      <xdr:row>87</xdr:row>
      <xdr:rowOff>144853</xdr:rowOff>
    </xdr:from>
    <xdr:ext cx="706540" cy="280205"/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AE740085-8F83-448D-8A64-2783F0FD7EB7}"/>
            </a:ext>
          </a:extLst>
        </xdr:cNvPr>
        <xdr:cNvSpPr txBox="1"/>
      </xdr:nvSpPr>
      <xdr:spPr>
        <a:xfrm>
          <a:off x="5640929" y="16765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6N-10W</a:t>
          </a:r>
        </a:p>
      </xdr:txBody>
    </xdr:sp>
    <xdr:clientData/>
  </xdr:oneCellAnchor>
  <xdr:oneCellAnchor>
    <xdr:from>
      <xdr:col>38</xdr:col>
      <xdr:colOff>178342</xdr:colOff>
      <xdr:row>87</xdr:row>
      <xdr:rowOff>153243</xdr:rowOff>
    </xdr:from>
    <xdr:ext cx="628570" cy="280205"/>
    <xdr:sp macro="" textlink="">
      <xdr:nvSpPr>
        <xdr:cNvPr id="181" name="TextBox 180">
          <a:extLst>
            <a:ext uri="{FF2B5EF4-FFF2-40B4-BE49-F238E27FC236}">
              <a16:creationId xmlns:a16="http://schemas.microsoft.com/office/drawing/2014/main" id="{0BF378BA-C9EA-4F8D-896E-C671E90035D7}"/>
            </a:ext>
          </a:extLst>
        </xdr:cNvPr>
        <xdr:cNvSpPr txBox="1"/>
      </xdr:nvSpPr>
      <xdr:spPr>
        <a:xfrm>
          <a:off x="8141242" y="16774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6N-8W</a:t>
          </a:r>
        </a:p>
      </xdr:txBody>
    </xdr:sp>
    <xdr:clientData/>
  </xdr:oneCellAnchor>
  <xdr:oneCellAnchor>
    <xdr:from>
      <xdr:col>50</xdr:col>
      <xdr:colOff>169831</xdr:colOff>
      <xdr:row>87</xdr:row>
      <xdr:rowOff>142874</xdr:rowOff>
    </xdr:from>
    <xdr:ext cx="628570" cy="280205"/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E2004579-7E50-414B-A73C-805A433B3D1D}"/>
            </a:ext>
          </a:extLst>
        </xdr:cNvPr>
        <xdr:cNvSpPr txBox="1"/>
      </xdr:nvSpPr>
      <xdr:spPr>
        <a:xfrm>
          <a:off x="10647331" y="16763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6N-6W</a:t>
          </a:r>
        </a:p>
      </xdr:txBody>
    </xdr:sp>
    <xdr:clientData/>
  </xdr:oneCellAnchor>
  <xdr:oneCellAnchor>
    <xdr:from>
      <xdr:col>56</xdr:col>
      <xdr:colOff>149049</xdr:colOff>
      <xdr:row>87</xdr:row>
      <xdr:rowOff>146832</xdr:rowOff>
    </xdr:from>
    <xdr:ext cx="628570" cy="280205"/>
    <xdr:sp macro="" textlink="">
      <xdr:nvSpPr>
        <xdr:cNvPr id="183" name="TextBox 182">
          <a:extLst>
            <a:ext uri="{FF2B5EF4-FFF2-40B4-BE49-F238E27FC236}">
              <a16:creationId xmlns:a16="http://schemas.microsoft.com/office/drawing/2014/main" id="{589CE483-7A13-4DC6-9CDE-12CCC70C5B53}"/>
            </a:ext>
          </a:extLst>
        </xdr:cNvPr>
        <xdr:cNvSpPr txBox="1"/>
      </xdr:nvSpPr>
      <xdr:spPr>
        <a:xfrm>
          <a:off x="11883849" y="16767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6N-5W</a:t>
          </a:r>
        </a:p>
      </xdr:txBody>
    </xdr:sp>
    <xdr:clientData/>
  </xdr:oneCellAnchor>
  <xdr:twoCellAnchor>
    <xdr:from>
      <xdr:col>0</xdr:col>
      <xdr:colOff>9525</xdr:colOff>
      <xdr:row>92</xdr:row>
      <xdr:rowOff>9525</xdr:rowOff>
    </xdr:from>
    <xdr:to>
      <xdr:col>74</xdr:col>
      <xdr:colOff>61851</xdr:colOff>
      <xdr:row>92</xdr:row>
      <xdr:rowOff>12370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9B89AC57-CBE8-4F13-A2E0-B0E8729CA7DA}"/>
            </a:ext>
          </a:extLst>
        </xdr:cNvPr>
        <xdr:cNvCxnSpPr/>
      </xdr:nvCxnSpPr>
      <xdr:spPr>
        <a:xfrm>
          <a:off x="9525" y="17583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93</xdr:row>
      <xdr:rowOff>145843</xdr:rowOff>
    </xdr:from>
    <xdr:ext cx="706540" cy="280205"/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id="{0BF89B0B-D87E-42AB-B6E1-4492F59CD25A}"/>
            </a:ext>
          </a:extLst>
        </xdr:cNvPr>
        <xdr:cNvSpPr txBox="1"/>
      </xdr:nvSpPr>
      <xdr:spPr>
        <a:xfrm>
          <a:off x="517676" y="17909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5N-14W</a:t>
          </a:r>
        </a:p>
      </xdr:txBody>
    </xdr:sp>
    <xdr:clientData/>
  </xdr:oneCellAnchor>
  <xdr:oneCellAnchor>
    <xdr:from>
      <xdr:col>44</xdr:col>
      <xdr:colOff>185208</xdr:colOff>
      <xdr:row>93</xdr:row>
      <xdr:rowOff>149801</xdr:rowOff>
    </xdr:from>
    <xdr:ext cx="628570" cy="280205"/>
    <xdr:sp macro="" textlink="">
      <xdr:nvSpPr>
        <xdr:cNvPr id="186" name="TextBox 185">
          <a:extLst>
            <a:ext uri="{FF2B5EF4-FFF2-40B4-BE49-F238E27FC236}">
              <a16:creationId xmlns:a16="http://schemas.microsoft.com/office/drawing/2014/main" id="{021CB5D8-BCC4-48FA-B0B7-FA73FB6E3E6C}"/>
            </a:ext>
          </a:extLst>
        </xdr:cNvPr>
        <xdr:cNvSpPr txBox="1"/>
      </xdr:nvSpPr>
      <xdr:spPr>
        <a:xfrm>
          <a:off x="9405408" y="17913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5N-7W</a:t>
          </a:r>
        </a:p>
      </xdr:txBody>
    </xdr:sp>
    <xdr:clientData/>
  </xdr:oneCellAnchor>
  <xdr:oneCellAnchor>
    <xdr:from>
      <xdr:col>14</xdr:col>
      <xdr:colOff>118863</xdr:colOff>
      <xdr:row>93</xdr:row>
      <xdr:rowOff>141390</xdr:rowOff>
    </xdr:from>
    <xdr:ext cx="706540" cy="280205"/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6121A766-DCD9-4D2A-AAE9-053DE0B8E90A}"/>
            </a:ext>
          </a:extLst>
        </xdr:cNvPr>
        <xdr:cNvSpPr txBox="1"/>
      </xdr:nvSpPr>
      <xdr:spPr>
        <a:xfrm>
          <a:off x="3052563" y="17905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5N-12W</a:t>
          </a:r>
        </a:p>
      </xdr:txBody>
    </xdr:sp>
    <xdr:clientData/>
  </xdr:oneCellAnchor>
  <xdr:oneCellAnchor>
    <xdr:from>
      <xdr:col>8</xdr:col>
      <xdr:colOff>159931</xdr:colOff>
      <xdr:row>93</xdr:row>
      <xdr:rowOff>130400</xdr:rowOff>
    </xdr:from>
    <xdr:ext cx="706540" cy="280205"/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741C1E18-40A3-4AB9-AB2D-0C6EAB350616}"/>
            </a:ext>
          </a:extLst>
        </xdr:cNvPr>
        <xdr:cNvSpPr txBox="1"/>
      </xdr:nvSpPr>
      <xdr:spPr>
        <a:xfrm>
          <a:off x="1836331" y="17894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5N-13W</a:t>
          </a:r>
        </a:p>
      </xdr:txBody>
    </xdr:sp>
    <xdr:clientData/>
  </xdr:oneCellAnchor>
  <xdr:oneCellAnchor>
    <xdr:from>
      <xdr:col>20</xdr:col>
      <xdr:colOff>175333</xdr:colOff>
      <xdr:row>93</xdr:row>
      <xdr:rowOff>145802</xdr:rowOff>
    </xdr:from>
    <xdr:ext cx="706540" cy="280205"/>
    <xdr:sp macro="" textlink="">
      <xdr:nvSpPr>
        <xdr:cNvPr id="189" name="TextBox 188">
          <a:extLst>
            <a:ext uri="{FF2B5EF4-FFF2-40B4-BE49-F238E27FC236}">
              <a16:creationId xmlns:a16="http://schemas.microsoft.com/office/drawing/2014/main" id="{EB3DC8DA-16D4-404B-9E45-44C123F41368}"/>
            </a:ext>
          </a:extLst>
        </xdr:cNvPr>
        <xdr:cNvSpPr txBox="1"/>
      </xdr:nvSpPr>
      <xdr:spPr>
        <a:xfrm>
          <a:off x="4366333" y="17909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5N-11W</a:t>
          </a:r>
        </a:p>
      </xdr:txBody>
    </xdr:sp>
    <xdr:clientData/>
  </xdr:oneCellAnchor>
  <xdr:oneCellAnchor>
    <xdr:from>
      <xdr:col>32</xdr:col>
      <xdr:colOff>180218</xdr:colOff>
      <xdr:row>93</xdr:row>
      <xdr:rowOff>140895</xdr:rowOff>
    </xdr:from>
    <xdr:ext cx="628570" cy="280205"/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id="{AD52FDFC-7FDB-4B66-8CA0-A32C9974B477}"/>
            </a:ext>
          </a:extLst>
        </xdr:cNvPr>
        <xdr:cNvSpPr txBox="1"/>
      </xdr:nvSpPr>
      <xdr:spPr>
        <a:xfrm>
          <a:off x="6885818" y="17905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5N-9W</a:t>
          </a:r>
        </a:p>
      </xdr:txBody>
    </xdr:sp>
    <xdr:clientData/>
  </xdr:oneCellAnchor>
  <xdr:oneCellAnchor>
    <xdr:from>
      <xdr:col>26</xdr:col>
      <xdr:colOff>192629</xdr:colOff>
      <xdr:row>93</xdr:row>
      <xdr:rowOff>144853</xdr:rowOff>
    </xdr:from>
    <xdr:ext cx="706540" cy="280205"/>
    <xdr:sp macro="" textlink="">
      <xdr:nvSpPr>
        <xdr:cNvPr id="191" name="TextBox 190">
          <a:extLst>
            <a:ext uri="{FF2B5EF4-FFF2-40B4-BE49-F238E27FC236}">
              <a16:creationId xmlns:a16="http://schemas.microsoft.com/office/drawing/2014/main" id="{2E13A275-174D-4646-BC84-27F3D176C8BE}"/>
            </a:ext>
          </a:extLst>
        </xdr:cNvPr>
        <xdr:cNvSpPr txBox="1"/>
      </xdr:nvSpPr>
      <xdr:spPr>
        <a:xfrm>
          <a:off x="5640929" y="17908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5N-10W</a:t>
          </a:r>
        </a:p>
      </xdr:txBody>
    </xdr:sp>
    <xdr:clientData/>
  </xdr:oneCellAnchor>
  <xdr:oneCellAnchor>
    <xdr:from>
      <xdr:col>38</xdr:col>
      <xdr:colOff>178342</xdr:colOff>
      <xdr:row>93</xdr:row>
      <xdr:rowOff>153243</xdr:rowOff>
    </xdr:from>
    <xdr:ext cx="628570" cy="280205"/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09963A2F-2449-4AF7-86B6-52C56DF9CE61}"/>
            </a:ext>
          </a:extLst>
        </xdr:cNvPr>
        <xdr:cNvSpPr txBox="1"/>
      </xdr:nvSpPr>
      <xdr:spPr>
        <a:xfrm>
          <a:off x="8141242" y="17917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5N-8W</a:t>
          </a:r>
        </a:p>
      </xdr:txBody>
    </xdr:sp>
    <xdr:clientData/>
  </xdr:oneCellAnchor>
  <xdr:oneCellAnchor>
    <xdr:from>
      <xdr:col>50</xdr:col>
      <xdr:colOff>169831</xdr:colOff>
      <xdr:row>93</xdr:row>
      <xdr:rowOff>142874</xdr:rowOff>
    </xdr:from>
    <xdr:ext cx="628570" cy="280205"/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55C4E306-0B79-43F7-8ECD-247D75C85C39}"/>
            </a:ext>
          </a:extLst>
        </xdr:cNvPr>
        <xdr:cNvSpPr txBox="1"/>
      </xdr:nvSpPr>
      <xdr:spPr>
        <a:xfrm>
          <a:off x="10647331" y="17906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5N-6W</a:t>
          </a:r>
        </a:p>
      </xdr:txBody>
    </xdr:sp>
    <xdr:clientData/>
  </xdr:oneCellAnchor>
  <xdr:oneCellAnchor>
    <xdr:from>
      <xdr:col>56</xdr:col>
      <xdr:colOff>149049</xdr:colOff>
      <xdr:row>93</xdr:row>
      <xdr:rowOff>146832</xdr:rowOff>
    </xdr:from>
    <xdr:ext cx="628570" cy="280205"/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7EC59DDA-203D-4FA0-9EF5-4877A845FE5B}"/>
            </a:ext>
          </a:extLst>
        </xdr:cNvPr>
        <xdr:cNvSpPr txBox="1"/>
      </xdr:nvSpPr>
      <xdr:spPr>
        <a:xfrm>
          <a:off x="11883849" y="17910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5N-5W</a:t>
          </a:r>
        </a:p>
      </xdr:txBody>
    </xdr:sp>
    <xdr:clientData/>
  </xdr:oneCellAnchor>
  <xdr:twoCellAnchor>
    <xdr:from>
      <xdr:col>0</xdr:col>
      <xdr:colOff>9525</xdr:colOff>
      <xdr:row>98</xdr:row>
      <xdr:rowOff>9525</xdr:rowOff>
    </xdr:from>
    <xdr:to>
      <xdr:col>74</xdr:col>
      <xdr:colOff>61851</xdr:colOff>
      <xdr:row>98</xdr:row>
      <xdr:rowOff>12370</xdr:rowOff>
    </xdr:to>
    <xdr:cxnSp macro="">
      <xdr:nvCxnSpPr>
        <xdr:cNvPr id="195" name="Straight Connector 194">
          <a:extLst>
            <a:ext uri="{FF2B5EF4-FFF2-40B4-BE49-F238E27FC236}">
              <a16:creationId xmlns:a16="http://schemas.microsoft.com/office/drawing/2014/main" id="{EB97AEA1-4406-40DA-87EF-DCC850A047C1}"/>
            </a:ext>
          </a:extLst>
        </xdr:cNvPr>
        <xdr:cNvCxnSpPr/>
      </xdr:nvCxnSpPr>
      <xdr:spPr>
        <a:xfrm>
          <a:off x="9525" y="18726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99</xdr:row>
      <xdr:rowOff>145843</xdr:rowOff>
    </xdr:from>
    <xdr:ext cx="706540" cy="280205"/>
    <xdr:sp macro="" textlink="">
      <xdr:nvSpPr>
        <xdr:cNvPr id="196" name="TextBox 195">
          <a:extLst>
            <a:ext uri="{FF2B5EF4-FFF2-40B4-BE49-F238E27FC236}">
              <a16:creationId xmlns:a16="http://schemas.microsoft.com/office/drawing/2014/main" id="{0A0C011C-3483-4D2C-A8EC-626291F3AD42}"/>
            </a:ext>
          </a:extLst>
        </xdr:cNvPr>
        <xdr:cNvSpPr txBox="1"/>
      </xdr:nvSpPr>
      <xdr:spPr>
        <a:xfrm>
          <a:off x="517676" y="19052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4N-14W</a:t>
          </a:r>
        </a:p>
      </xdr:txBody>
    </xdr:sp>
    <xdr:clientData/>
  </xdr:oneCellAnchor>
  <xdr:oneCellAnchor>
    <xdr:from>
      <xdr:col>44</xdr:col>
      <xdr:colOff>185208</xdr:colOff>
      <xdr:row>99</xdr:row>
      <xdr:rowOff>149801</xdr:rowOff>
    </xdr:from>
    <xdr:ext cx="628570" cy="280205"/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id="{F5A7563B-551C-4630-8739-76F539FEBAAB}"/>
            </a:ext>
          </a:extLst>
        </xdr:cNvPr>
        <xdr:cNvSpPr txBox="1"/>
      </xdr:nvSpPr>
      <xdr:spPr>
        <a:xfrm>
          <a:off x="9405408" y="19056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4N-7W</a:t>
          </a:r>
        </a:p>
      </xdr:txBody>
    </xdr:sp>
    <xdr:clientData/>
  </xdr:oneCellAnchor>
  <xdr:oneCellAnchor>
    <xdr:from>
      <xdr:col>14</xdr:col>
      <xdr:colOff>118863</xdr:colOff>
      <xdr:row>99</xdr:row>
      <xdr:rowOff>141390</xdr:rowOff>
    </xdr:from>
    <xdr:ext cx="706540" cy="280205"/>
    <xdr:sp macro="" textlink="">
      <xdr:nvSpPr>
        <xdr:cNvPr id="198" name="TextBox 197">
          <a:extLst>
            <a:ext uri="{FF2B5EF4-FFF2-40B4-BE49-F238E27FC236}">
              <a16:creationId xmlns:a16="http://schemas.microsoft.com/office/drawing/2014/main" id="{98611B00-BA5A-481B-ACF8-05A3CC6C3A70}"/>
            </a:ext>
          </a:extLst>
        </xdr:cNvPr>
        <xdr:cNvSpPr txBox="1"/>
      </xdr:nvSpPr>
      <xdr:spPr>
        <a:xfrm>
          <a:off x="3052563" y="19048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4N-12W</a:t>
          </a:r>
        </a:p>
      </xdr:txBody>
    </xdr:sp>
    <xdr:clientData/>
  </xdr:oneCellAnchor>
  <xdr:oneCellAnchor>
    <xdr:from>
      <xdr:col>8</xdr:col>
      <xdr:colOff>159931</xdr:colOff>
      <xdr:row>99</xdr:row>
      <xdr:rowOff>130400</xdr:rowOff>
    </xdr:from>
    <xdr:ext cx="706540" cy="280205"/>
    <xdr:sp macro="" textlink="">
      <xdr:nvSpPr>
        <xdr:cNvPr id="199" name="TextBox 198">
          <a:extLst>
            <a:ext uri="{FF2B5EF4-FFF2-40B4-BE49-F238E27FC236}">
              <a16:creationId xmlns:a16="http://schemas.microsoft.com/office/drawing/2014/main" id="{22DBAF5B-149B-4DA1-A9CE-5C25517AECC6}"/>
            </a:ext>
          </a:extLst>
        </xdr:cNvPr>
        <xdr:cNvSpPr txBox="1"/>
      </xdr:nvSpPr>
      <xdr:spPr>
        <a:xfrm>
          <a:off x="1836331" y="19037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4N-13W</a:t>
          </a:r>
        </a:p>
      </xdr:txBody>
    </xdr:sp>
    <xdr:clientData/>
  </xdr:oneCellAnchor>
  <xdr:oneCellAnchor>
    <xdr:from>
      <xdr:col>20</xdr:col>
      <xdr:colOff>175333</xdr:colOff>
      <xdr:row>99</xdr:row>
      <xdr:rowOff>145802</xdr:rowOff>
    </xdr:from>
    <xdr:ext cx="706540" cy="280205"/>
    <xdr:sp macro="" textlink="">
      <xdr:nvSpPr>
        <xdr:cNvPr id="200" name="TextBox 199">
          <a:extLst>
            <a:ext uri="{FF2B5EF4-FFF2-40B4-BE49-F238E27FC236}">
              <a16:creationId xmlns:a16="http://schemas.microsoft.com/office/drawing/2014/main" id="{D6262B4E-A5D2-4981-8D58-30D1E3AB61E9}"/>
            </a:ext>
          </a:extLst>
        </xdr:cNvPr>
        <xdr:cNvSpPr txBox="1"/>
      </xdr:nvSpPr>
      <xdr:spPr>
        <a:xfrm>
          <a:off x="4366333" y="19052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4N-11W</a:t>
          </a:r>
        </a:p>
      </xdr:txBody>
    </xdr:sp>
    <xdr:clientData/>
  </xdr:oneCellAnchor>
  <xdr:oneCellAnchor>
    <xdr:from>
      <xdr:col>32</xdr:col>
      <xdr:colOff>180218</xdr:colOff>
      <xdr:row>99</xdr:row>
      <xdr:rowOff>140895</xdr:rowOff>
    </xdr:from>
    <xdr:ext cx="628570" cy="280205"/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507AB0EC-0B5D-48D3-9053-781887C1170B}"/>
            </a:ext>
          </a:extLst>
        </xdr:cNvPr>
        <xdr:cNvSpPr txBox="1"/>
      </xdr:nvSpPr>
      <xdr:spPr>
        <a:xfrm>
          <a:off x="6885818" y="19048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4N-9W</a:t>
          </a:r>
        </a:p>
      </xdr:txBody>
    </xdr:sp>
    <xdr:clientData/>
  </xdr:oneCellAnchor>
  <xdr:oneCellAnchor>
    <xdr:from>
      <xdr:col>26</xdr:col>
      <xdr:colOff>192629</xdr:colOff>
      <xdr:row>99</xdr:row>
      <xdr:rowOff>144853</xdr:rowOff>
    </xdr:from>
    <xdr:ext cx="706540" cy="280205"/>
    <xdr:sp macro="" textlink="">
      <xdr:nvSpPr>
        <xdr:cNvPr id="202" name="TextBox 201">
          <a:extLst>
            <a:ext uri="{FF2B5EF4-FFF2-40B4-BE49-F238E27FC236}">
              <a16:creationId xmlns:a16="http://schemas.microsoft.com/office/drawing/2014/main" id="{D469D23C-475F-4537-8769-37A51D6ED8AD}"/>
            </a:ext>
          </a:extLst>
        </xdr:cNvPr>
        <xdr:cNvSpPr txBox="1"/>
      </xdr:nvSpPr>
      <xdr:spPr>
        <a:xfrm>
          <a:off x="5640929" y="19051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4N-10W</a:t>
          </a:r>
        </a:p>
      </xdr:txBody>
    </xdr:sp>
    <xdr:clientData/>
  </xdr:oneCellAnchor>
  <xdr:oneCellAnchor>
    <xdr:from>
      <xdr:col>38</xdr:col>
      <xdr:colOff>178342</xdr:colOff>
      <xdr:row>99</xdr:row>
      <xdr:rowOff>153243</xdr:rowOff>
    </xdr:from>
    <xdr:ext cx="628570" cy="280205"/>
    <xdr:sp macro="" textlink="">
      <xdr:nvSpPr>
        <xdr:cNvPr id="203" name="TextBox 202">
          <a:extLst>
            <a:ext uri="{FF2B5EF4-FFF2-40B4-BE49-F238E27FC236}">
              <a16:creationId xmlns:a16="http://schemas.microsoft.com/office/drawing/2014/main" id="{08205917-AF55-4D4C-8058-C9037C899807}"/>
            </a:ext>
          </a:extLst>
        </xdr:cNvPr>
        <xdr:cNvSpPr txBox="1"/>
      </xdr:nvSpPr>
      <xdr:spPr>
        <a:xfrm>
          <a:off x="8141242" y="19060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4N-8W</a:t>
          </a:r>
        </a:p>
      </xdr:txBody>
    </xdr:sp>
    <xdr:clientData/>
  </xdr:oneCellAnchor>
  <xdr:oneCellAnchor>
    <xdr:from>
      <xdr:col>50</xdr:col>
      <xdr:colOff>169831</xdr:colOff>
      <xdr:row>99</xdr:row>
      <xdr:rowOff>142874</xdr:rowOff>
    </xdr:from>
    <xdr:ext cx="628570" cy="280205"/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58181941-2FF2-4190-9FA7-58A781ED7E0E}"/>
            </a:ext>
          </a:extLst>
        </xdr:cNvPr>
        <xdr:cNvSpPr txBox="1"/>
      </xdr:nvSpPr>
      <xdr:spPr>
        <a:xfrm>
          <a:off x="10647331" y="19049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4N-6W</a:t>
          </a:r>
        </a:p>
      </xdr:txBody>
    </xdr:sp>
    <xdr:clientData/>
  </xdr:oneCellAnchor>
  <xdr:oneCellAnchor>
    <xdr:from>
      <xdr:col>56</xdr:col>
      <xdr:colOff>149049</xdr:colOff>
      <xdr:row>99</xdr:row>
      <xdr:rowOff>146832</xdr:rowOff>
    </xdr:from>
    <xdr:ext cx="628570" cy="280205"/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id="{100C0535-5C3F-4FEF-AE81-68D2C2BFA813}"/>
            </a:ext>
          </a:extLst>
        </xdr:cNvPr>
        <xdr:cNvSpPr txBox="1"/>
      </xdr:nvSpPr>
      <xdr:spPr>
        <a:xfrm>
          <a:off x="11883849" y="19053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4N-5W</a:t>
          </a:r>
        </a:p>
      </xdr:txBody>
    </xdr:sp>
    <xdr:clientData/>
  </xdr:oneCellAnchor>
  <xdr:oneCellAnchor>
    <xdr:from>
      <xdr:col>63</xdr:col>
      <xdr:colOff>147788</xdr:colOff>
      <xdr:row>78</xdr:row>
      <xdr:rowOff>47232</xdr:rowOff>
    </xdr:from>
    <xdr:ext cx="2121606" cy="718466"/>
    <xdr:sp macro="" textlink="">
      <xdr:nvSpPr>
        <xdr:cNvPr id="206" name="TextBox 205">
          <a:extLst>
            <a:ext uri="{FF2B5EF4-FFF2-40B4-BE49-F238E27FC236}">
              <a16:creationId xmlns:a16="http://schemas.microsoft.com/office/drawing/2014/main" id="{EAC8CFAA-5C83-4D8D-9897-0D071C0A24BB}"/>
            </a:ext>
          </a:extLst>
        </xdr:cNvPr>
        <xdr:cNvSpPr txBox="1"/>
      </xdr:nvSpPr>
      <xdr:spPr>
        <a:xfrm>
          <a:off x="13349438" y="14953857"/>
          <a:ext cx="21216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McCLAIN</a:t>
          </a:r>
        </a:p>
      </xdr:txBody>
    </xdr:sp>
    <xdr:clientData/>
  </xdr:oneCellAnchor>
  <xdr:oneCellAnchor>
    <xdr:from>
      <xdr:col>63</xdr:col>
      <xdr:colOff>77611</xdr:colOff>
      <xdr:row>69</xdr:row>
      <xdr:rowOff>148419</xdr:rowOff>
    </xdr:from>
    <xdr:ext cx="628570" cy="280205"/>
    <xdr:sp macro="" textlink="">
      <xdr:nvSpPr>
        <xdr:cNvPr id="207" name="TextBox 206">
          <a:extLst>
            <a:ext uri="{FF2B5EF4-FFF2-40B4-BE49-F238E27FC236}">
              <a16:creationId xmlns:a16="http://schemas.microsoft.com/office/drawing/2014/main" id="{BF9364C1-B999-41D1-B685-5D3A8F986541}"/>
            </a:ext>
          </a:extLst>
        </xdr:cNvPr>
        <xdr:cNvSpPr txBox="1"/>
      </xdr:nvSpPr>
      <xdr:spPr>
        <a:xfrm>
          <a:off x="13279261" y="1334054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9N-4W</a:t>
          </a:r>
        </a:p>
      </xdr:txBody>
    </xdr:sp>
    <xdr:clientData/>
  </xdr:oneCellAnchor>
  <xdr:oneCellAnchor>
    <xdr:from>
      <xdr:col>63</xdr:col>
      <xdr:colOff>66675</xdr:colOff>
      <xdr:row>75</xdr:row>
      <xdr:rowOff>161925</xdr:rowOff>
    </xdr:from>
    <xdr:ext cx="628570" cy="280205"/>
    <xdr:sp macro="" textlink="">
      <xdr:nvSpPr>
        <xdr:cNvPr id="208" name="TextBox 207">
          <a:extLst>
            <a:ext uri="{FF2B5EF4-FFF2-40B4-BE49-F238E27FC236}">
              <a16:creationId xmlns:a16="http://schemas.microsoft.com/office/drawing/2014/main" id="{08A78AB7-AE50-4682-BF13-F03FAB3390C0}"/>
            </a:ext>
          </a:extLst>
        </xdr:cNvPr>
        <xdr:cNvSpPr txBox="1"/>
      </xdr:nvSpPr>
      <xdr:spPr>
        <a:xfrm>
          <a:off x="13268325" y="14497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8N-4W</a:t>
          </a:r>
        </a:p>
      </xdr:txBody>
    </xdr:sp>
    <xdr:clientData/>
  </xdr:oneCellAnchor>
  <xdr:oneCellAnchor>
    <xdr:from>
      <xdr:col>68</xdr:col>
      <xdr:colOff>180975</xdr:colOff>
      <xdr:row>70</xdr:row>
      <xdr:rowOff>161925</xdr:rowOff>
    </xdr:from>
    <xdr:ext cx="628570" cy="468077"/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1B3E593A-6AE4-40A1-9A3A-CC584A54ACD3}"/>
            </a:ext>
          </a:extLst>
        </xdr:cNvPr>
        <xdr:cNvSpPr txBox="1"/>
      </xdr:nvSpPr>
      <xdr:spPr>
        <a:xfrm>
          <a:off x="14430375" y="13544550"/>
          <a:ext cx="62857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9N-3W</a:t>
          </a:r>
        </a:p>
        <a:p>
          <a:endParaRPr lang="en-US" sz="1200" b="1"/>
        </a:p>
      </xdr:txBody>
    </xdr:sp>
    <xdr:clientData/>
  </xdr:oneCellAnchor>
  <xdr:oneCellAnchor>
    <xdr:from>
      <xdr:col>69</xdr:col>
      <xdr:colOff>19050</xdr:colOff>
      <xdr:row>76</xdr:row>
      <xdr:rowOff>0</xdr:rowOff>
    </xdr:from>
    <xdr:ext cx="628570" cy="280205"/>
    <xdr:sp macro="" textlink="">
      <xdr:nvSpPr>
        <xdr:cNvPr id="210" name="TextBox 209">
          <a:extLst>
            <a:ext uri="{FF2B5EF4-FFF2-40B4-BE49-F238E27FC236}">
              <a16:creationId xmlns:a16="http://schemas.microsoft.com/office/drawing/2014/main" id="{840DB1B3-6CB5-41EB-8AAA-4429D9286C04}"/>
            </a:ext>
          </a:extLst>
        </xdr:cNvPr>
        <xdr:cNvSpPr txBox="1"/>
      </xdr:nvSpPr>
      <xdr:spPr>
        <a:xfrm>
          <a:off x="14478000" y="14525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8N-3W</a:t>
          </a:r>
        </a:p>
      </xdr:txBody>
    </xdr:sp>
    <xdr:clientData/>
  </xdr:oneCellAnchor>
  <xdr:oneCellAnchor>
    <xdr:from>
      <xdr:col>62</xdr:col>
      <xdr:colOff>171450</xdr:colOff>
      <xdr:row>81</xdr:row>
      <xdr:rowOff>152400</xdr:rowOff>
    </xdr:from>
    <xdr:ext cx="628570" cy="280205"/>
    <xdr:sp macro="" textlink="">
      <xdr:nvSpPr>
        <xdr:cNvPr id="211" name="TextBox 210">
          <a:extLst>
            <a:ext uri="{FF2B5EF4-FFF2-40B4-BE49-F238E27FC236}">
              <a16:creationId xmlns:a16="http://schemas.microsoft.com/office/drawing/2014/main" id="{6D7E02C6-0FA9-4427-9B80-5E7A9EFDF618}"/>
            </a:ext>
          </a:extLst>
        </xdr:cNvPr>
        <xdr:cNvSpPr txBox="1"/>
      </xdr:nvSpPr>
      <xdr:spPr>
        <a:xfrm>
          <a:off x="13163550" y="156305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7N-4W</a:t>
          </a:r>
        </a:p>
      </xdr:txBody>
    </xdr:sp>
    <xdr:clientData/>
  </xdr:oneCellAnchor>
  <xdr:oneCellAnchor>
    <xdr:from>
      <xdr:col>68</xdr:col>
      <xdr:colOff>85725</xdr:colOff>
      <xdr:row>81</xdr:row>
      <xdr:rowOff>161925</xdr:rowOff>
    </xdr:from>
    <xdr:ext cx="628570" cy="280205"/>
    <xdr:sp macro="" textlink="">
      <xdr:nvSpPr>
        <xdr:cNvPr id="212" name="TextBox 211">
          <a:extLst>
            <a:ext uri="{FF2B5EF4-FFF2-40B4-BE49-F238E27FC236}">
              <a16:creationId xmlns:a16="http://schemas.microsoft.com/office/drawing/2014/main" id="{8625F76C-8469-4072-A512-03BC4FBC352B}"/>
            </a:ext>
          </a:extLst>
        </xdr:cNvPr>
        <xdr:cNvSpPr txBox="1"/>
      </xdr:nvSpPr>
      <xdr:spPr>
        <a:xfrm>
          <a:off x="14335125" y="15640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7N-3W</a:t>
          </a:r>
        </a:p>
      </xdr:txBody>
    </xdr:sp>
    <xdr:clientData/>
  </xdr:oneCellAnchor>
  <xdr:oneCellAnchor>
    <xdr:from>
      <xdr:col>62</xdr:col>
      <xdr:colOff>171450</xdr:colOff>
      <xdr:row>87</xdr:row>
      <xdr:rowOff>161925</xdr:rowOff>
    </xdr:from>
    <xdr:ext cx="628570" cy="280205"/>
    <xdr:sp macro="" textlink="">
      <xdr:nvSpPr>
        <xdr:cNvPr id="213" name="TextBox 212">
          <a:extLst>
            <a:ext uri="{FF2B5EF4-FFF2-40B4-BE49-F238E27FC236}">
              <a16:creationId xmlns:a16="http://schemas.microsoft.com/office/drawing/2014/main" id="{633C7A07-262F-4A1E-8343-B39C8B24279A}"/>
            </a:ext>
          </a:extLst>
        </xdr:cNvPr>
        <xdr:cNvSpPr txBox="1"/>
      </xdr:nvSpPr>
      <xdr:spPr>
        <a:xfrm>
          <a:off x="13163550" y="16783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6N-4W</a:t>
          </a:r>
        </a:p>
      </xdr:txBody>
    </xdr:sp>
    <xdr:clientData/>
  </xdr:oneCellAnchor>
  <xdr:oneCellAnchor>
    <xdr:from>
      <xdr:col>68</xdr:col>
      <xdr:colOff>123825</xdr:colOff>
      <xdr:row>88</xdr:row>
      <xdr:rowOff>0</xdr:rowOff>
    </xdr:from>
    <xdr:ext cx="628570" cy="280205"/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01FF9BF0-2176-4BFF-B01B-884EF503AB9C}"/>
            </a:ext>
          </a:extLst>
        </xdr:cNvPr>
        <xdr:cNvSpPr txBox="1"/>
      </xdr:nvSpPr>
      <xdr:spPr>
        <a:xfrm>
          <a:off x="14373225" y="16811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6N-3W</a:t>
          </a:r>
        </a:p>
      </xdr:txBody>
    </xdr:sp>
    <xdr:clientData/>
  </xdr:oneCellAnchor>
  <xdr:oneCellAnchor>
    <xdr:from>
      <xdr:col>62</xdr:col>
      <xdr:colOff>190500</xdr:colOff>
      <xdr:row>93</xdr:row>
      <xdr:rowOff>142875</xdr:rowOff>
    </xdr:from>
    <xdr:ext cx="628570" cy="280205"/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8E01C047-B2B2-4755-A458-1D931789ED58}"/>
            </a:ext>
          </a:extLst>
        </xdr:cNvPr>
        <xdr:cNvSpPr txBox="1"/>
      </xdr:nvSpPr>
      <xdr:spPr>
        <a:xfrm>
          <a:off x="13182600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5N-4W</a:t>
          </a:r>
        </a:p>
      </xdr:txBody>
    </xdr:sp>
    <xdr:clientData/>
  </xdr:oneCellAnchor>
  <xdr:oneCellAnchor>
    <xdr:from>
      <xdr:col>69</xdr:col>
      <xdr:colOff>9525</xdr:colOff>
      <xdr:row>93</xdr:row>
      <xdr:rowOff>142875</xdr:rowOff>
    </xdr:from>
    <xdr:ext cx="628570" cy="280205"/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0CF206E-7D50-48EF-B994-2CACD6C20178}"/>
            </a:ext>
          </a:extLst>
        </xdr:cNvPr>
        <xdr:cNvSpPr txBox="1"/>
      </xdr:nvSpPr>
      <xdr:spPr>
        <a:xfrm>
          <a:off x="14468475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5N-3W</a:t>
          </a:r>
        </a:p>
      </xdr:txBody>
    </xdr:sp>
    <xdr:clientData/>
  </xdr:oneCellAnchor>
  <xdr:twoCellAnchor>
    <xdr:from>
      <xdr:col>68</xdr:col>
      <xdr:colOff>47625</xdr:colOff>
      <xdr:row>68</xdr:row>
      <xdr:rowOff>142337</xdr:rowOff>
    </xdr:from>
    <xdr:to>
      <xdr:col>74</xdr:col>
      <xdr:colOff>76200</xdr:colOff>
      <xdr:row>75</xdr:row>
      <xdr:rowOff>161925</xdr:rowOff>
    </xdr:to>
    <xdr:sp macro="" textlink="">
      <xdr:nvSpPr>
        <xdr:cNvPr id="217" name="Freeform: Shape 216">
          <a:extLst>
            <a:ext uri="{FF2B5EF4-FFF2-40B4-BE49-F238E27FC236}">
              <a16:creationId xmlns:a16="http://schemas.microsoft.com/office/drawing/2014/main" id="{00BB33A2-4CAD-4AA9-B31F-6898CC998F1C}"/>
            </a:ext>
          </a:extLst>
        </xdr:cNvPr>
        <xdr:cNvSpPr/>
      </xdr:nvSpPr>
      <xdr:spPr>
        <a:xfrm>
          <a:off x="14297025" y="13143962"/>
          <a:ext cx="1285875" cy="1353088"/>
        </a:xfrm>
        <a:custGeom>
          <a:avLst/>
          <a:gdLst>
            <a:gd name="connsiteX0" fmla="*/ 0 w 1285875"/>
            <a:gd name="connsiteY0" fmla="*/ 10063 h 1353088"/>
            <a:gd name="connsiteX1" fmla="*/ 57150 w 1285875"/>
            <a:gd name="connsiteY1" fmla="*/ 48163 h 1353088"/>
            <a:gd name="connsiteX2" fmla="*/ 38100 w 1285875"/>
            <a:gd name="connsiteY2" fmla="*/ 391063 h 1353088"/>
            <a:gd name="connsiteX3" fmla="*/ 47625 w 1285875"/>
            <a:gd name="connsiteY3" fmla="*/ 486313 h 1353088"/>
            <a:gd name="connsiteX4" fmla="*/ 66675 w 1285875"/>
            <a:gd name="connsiteY4" fmla="*/ 514888 h 1353088"/>
            <a:gd name="connsiteX5" fmla="*/ 76200 w 1285875"/>
            <a:gd name="connsiteY5" fmla="*/ 638713 h 1353088"/>
            <a:gd name="connsiteX6" fmla="*/ 85725 w 1285875"/>
            <a:gd name="connsiteY6" fmla="*/ 667288 h 1353088"/>
            <a:gd name="connsiteX7" fmla="*/ 114300 w 1285875"/>
            <a:gd name="connsiteY7" fmla="*/ 676813 h 1353088"/>
            <a:gd name="connsiteX8" fmla="*/ 161925 w 1285875"/>
            <a:gd name="connsiteY8" fmla="*/ 705388 h 1353088"/>
            <a:gd name="connsiteX9" fmla="*/ 219075 w 1285875"/>
            <a:gd name="connsiteY9" fmla="*/ 743488 h 1353088"/>
            <a:gd name="connsiteX10" fmla="*/ 285750 w 1285875"/>
            <a:gd name="connsiteY10" fmla="*/ 781588 h 1353088"/>
            <a:gd name="connsiteX11" fmla="*/ 304800 w 1285875"/>
            <a:gd name="connsiteY11" fmla="*/ 857788 h 1353088"/>
            <a:gd name="connsiteX12" fmla="*/ 314325 w 1285875"/>
            <a:gd name="connsiteY12" fmla="*/ 886363 h 1353088"/>
            <a:gd name="connsiteX13" fmla="*/ 342900 w 1285875"/>
            <a:gd name="connsiteY13" fmla="*/ 905413 h 1353088"/>
            <a:gd name="connsiteX14" fmla="*/ 390525 w 1285875"/>
            <a:gd name="connsiteY14" fmla="*/ 972088 h 1353088"/>
            <a:gd name="connsiteX15" fmla="*/ 409575 w 1285875"/>
            <a:gd name="connsiteY15" fmla="*/ 1000663 h 1353088"/>
            <a:gd name="connsiteX16" fmla="*/ 504825 w 1285875"/>
            <a:gd name="connsiteY16" fmla="*/ 1048288 h 1353088"/>
            <a:gd name="connsiteX17" fmla="*/ 609600 w 1285875"/>
            <a:gd name="connsiteY17" fmla="*/ 1067338 h 1353088"/>
            <a:gd name="connsiteX18" fmla="*/ 847725 w 1285875"/>
            <a:gd name="connsiteY18" fmla="*/ 1076863 h 1353088"/>
            <a:gd name="connsiteX19" fmla="*/ 971550 w 1285875"/>
            <a:gd name="connsiteY19" fmla="*/ 1134013 h 1353088"/>
            <a:gd name="connsiteX20" fmla="*/ 1009650 w 1285875"/>
            <a:gd name="connsiteY20" fmla="*/ 1153063 h 1353088"/>
            <a:gd name="connsiteX21" fmla="*/ 1038225 w 1285875"/>
            <a:gd name="connsiteY21" fmla="*/ 1162588 h 1353088"/>
            <a:gd name="connsiteX22" fmla="*/ 1085850 w 1285875"/>
            <a:gd name="connsiteY22" fmla="*/ 1181638 h 1353088"/>
            <a:gd name="connsiteX23" fmla="*/ 1123950 w 1285875"/>
            <a:gd name="connsiteY23" fmla="*/ 1191163 h 1353088"/>
            <a:gd name="connsiteX24" fmla="*/ 1143000 w 1285875"/>
            <a:gd name="connsiteY24" fmla="*/ 1229263 h 1353088"/>
            <a:gd name="connsiteX25" fmla="*/ 1200150 w 1285875"/>
            <a:gd name="connsiteY25" fmla="*/ 1276888 h 1353088"/>
            <a:gd name="connsiteX26" fmla="*/ 1247775 w 1285875"/>
            <a:gd name="connsiteY26" fmla="*/ 1324513 h 1353088"/>
            <a:gd name="connsiteX27" fmla="*/ 1285875 w 1285875"/>
            <a:gd name="connsiteY27" fmla="*/ 1353088 h 13530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285875" h="1353088">
              <a:moveTo>
                <a:pt x="0" y="10063"/>
              </a:moveTo>
              <a:cubicBezTo>
                <a:pt x="50800" y="-97"/>
                <a:pt x="57150" y="-17877"/>
                <a:pt x="57150" y="48163"/>
              </a:cubicBezTo>
              <a:cubicBezTo>
                <a:pt x="57150" y="292205"/>
                <a:pt x="61232" y="252270"/>
                <a:pt x="38100" y="391063"/>
              </a:cubicBezTo>
              <a:cubicBezTo>
                <a:pt x="41275" y="422813"/>
                <a:pt x="40450" y="455222"/>
                <a:pt x="47625" y="486313"/>
              </a:cubicBezTo>
              <a:cubicBezTo>
                <a:pt x="50199" y="497467"/>
                <a:pt x="64565" y="503636"/>
                <a:pt x="66675" y="514888"/>
              </a:cubicBezTo>
              <a:cubicBezTo>
                <a:pt x="74304" y="555576"/>
                <a:pt x="71065" y="597636"/>
                <a:pt x="76200" y="638713"/>
              </a:cubicBezTo>
              <a:cubicBezTo>
                <a:pt x="77445" y="648676"/>
                <a:pt x="78625" y="660188"/>
                <a:pt x="85725" y="667288"/>
              </a:cubicBezTo>
              <a:cubicBezTo>
                <a:pt x="92825" y="674388"/>
                <a:pt x="105320" y="672323"/>
                <a:pt x="114300" y="676813"/>
              </a:cubicBezTo>
              <a:cubicBezTo>
                <a:pt x="130859" y="685092"/>
                <a:pt x="146306" y="695449"/>
                <a:pt x="161925" y="705388"/>
              </a:cubicBezTo>
              <a:cubicBezTo>
                <a:pt x="181241" y="717680"/>
                <a:pt x="198597" y="733249"/>
                <a:pt x="219075" y="743488"/>
              </a:cubicBezTo>
              <a:cubicBezTo>
                <a:pt x="267414" y="767658"/>
                <a:pt x="245361" y="754662"/>
                <a:pt x="285750" y="781588"/>
              </a:cubicBezTo>
              <a:cubicBezTo>
                <a:pt x="292100" y="806988"/>
                <a:pt x="297911" y="832529"/>
                <a:pt x="304800" y="857788"/>
              </a:cubicBezTo>
              <a:cubicBezTo>
                <a:pt x="307442" y="867474"/>
                <a:pt x="308053" y="878523"/>
                <a:pt x="314325" y="886363"/>
              </a:cubicBezTo>
              <a:cubicBezTo>
                <a:pt x="321476" y="895302"/>
                <a:pt x="333375" y="899063"/>
                <a:pt x="342900" y="905413"/>
              </a:cubicBezTo>
              <a:cubicBezTo>
                <a:pt x="360402" y="957918"/>
                <a:pt x="341216" y="914561"/>
                <a:pt x="390525" y="972088"/>
              </a:cubicBezTo>
              <a:cubicBezTo>
                <a:pt x="397975" y="980780"/>
                <a:pt x="400960" y="993125"/>
                <a:pt x="409575" y="1000663"/>
              </a:cubicBezTo>
              <a:cubicBezTo>
                <a:pt x="459955" y="1044745"/>
                <a:pt x="454612" y="1033942"/>
                <a:pt x="504825" y="1048288"/>
              </a:cubicBezTo>
              <a:cubicBezTo>
                <a:pt x="559198" y="1063823"/>
                <a:pt x="519577" y="1061882"/>
                <a:pt x="609600" y="1067338"/>
              </a:cubicBezTo>
              <a:cubicBezTo>
                <a:pt x="688893" y="1072144"/>
                <a:pt x="768350" y="1073688"/>
                <a:pt x="847725" y="1076863"/>
              </a:cubicBezTo>
              <a:cubicBezTo>
                <a:pt x="909976" y="1097613"/>
                <a:pt x="867320" y="1081898"/>
                <a:pt x="971550" y="1134013"/>
              </a:cubicBezTo>
              <a:cubicBezTo>
                <a:pt x="984250" y="1140363"/>
                <a:pt x="996180" y="1148573"/>
                <a:pt x="1009650" y="1153063"/>
              </a:cubicBezTo>
              <a:cubicBezTo>
                <a:pt x="1019175" y="1156238"/>
                <a:pt x="1028824" y="1159063"/>
                <a:pt x="1038225" y="1162588"/>
              </a:cubicBezTo>
              <a:cubicBezTo>
                <a:pt x="1054234" y="1168591"/>
                <a:pt x="1069630" y="1176231"/>
                <a:pt x="1085850" y="1181638"/>
              </a:cubicBezTo>
              <a:cubicBezTo>
                <a:pt x="1098269" y="1185778"/>
                <a:pt x="1111250" y="1187988"/>
                <a:pt x="1123950" y="1191163"/>
              </a:cubicBezTo>
              <a:cubicBezTo>
                <a:pt x="1130300" y="1203863"/>
                <a:pt x="1134747" y="1217709"/>
                <a:pt x="1143000" y="1229263"/>
              </a:cubicBezTo>
              <a:cubicBezTo>
                <a:pt x="1159668" y="1252598"/>
                <a:pt x="1177365" y="1261698"/>
                <a:pt x="1200150" y="1276888"/>
              </a:cubicBezTo>
              <a:cubicBezTo>
                <a:pt x="1227859" y="1318452"/>
                <a:pt x="1207366" y="1295649"/>
                <a:pt x="1247775" y="1324513"/>
              </a:cubicBezTo>
              <a:cubicBezTo>
                <a:pt x="1260693" y="1333740"/>
                <a:pt x="1285875" y="1353088"/>
                <a:pt x="1285875" y="1353088"/>
              </a:cubicBezTo>
            </a:path>
          </a:pathLst>
        </a:custGeom>
        <a:ln w="1111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62</xdr:col>
      <xdr:colOff>207635</xdr:colOff>
      <xdr:row>63</xdr:row>
      <xdr:rowOff>147224</xdr:rowOff>
    </xdr:from>
    <xdr:ext cx="706540" cy="280205"/>
    <xdr:sp macro="" textlink="">
      <xdr:nvSpPr>
        <xdr:cNvPr id="218" name="TextBox 217">
          <a:extLst>
            <a:ext uri="{FF2B5EF4-FFF2-40B4-BE49-F238E27FC236}">
              <a16:creationId xmlns:a16="http://schemas.microsoft.com/office/drawing/2014/main" id="{490FA6ED-06C5-46C4-B5EA-D10FDD7B2CCB}"/>
            </a:ext>
          </a:extLst>
        </xdr:cNvPr>
        <xdr:cNvSpPr txBox="1"/>
      </xdr:nvSpPr>
      <xdr:spPr>
        <a:xfrm>
          <a:off x="13199735" y="121963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10N-4W</a:t>
          </a:r>
        </a:p>
      </xdr:txBody>
    </xdr:sp>
    <xdr:clientData/>
  </xdr:oneCellAnchor>
  <xdr:twoCellAnchor>
    <xdr:from>
      <xdr:col>62</xdr:col>
      <xdr:colOff>20783</xdr:colOff>
      <xdr:row>61</xdr:row>
      <xdr:rowOff>173182</xdr:rowOff>
    </xdr:from>
    <xdr:to>
      <xdr:col>80</xdr:col>
      <xdr:colOff>85725</xdr:colOff>
      <xdr:row>62</xdr:row>
      <xdr:rowOff>19050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D33D0ACB-E3BC-4977-81BD-3EBC0E0E83BA}"/>
            </a:ext>
          </a:extLst>
        </xdr:cNvPr>
        <xdr:cNvCxnSpPr/>
      </xdr:nvCxnSpPr>
      <xdr:spPr>
        <a:xfrm flipH="1" flipV="1">
          <a:off x="13012883" y="11841307"/>
          <a:ext cx="3836842" cy="3636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69</xdr:col>
      <xdr:colOff>128738</xdr:colOff>
      <xdr:row>63</xdr:row>
      <xdr:rowOff>152007</xdr:rowOff>
    </xdr:from>
    <xdr:ext cx="2271006" cy="718466"/>
    <xdr:sp macro="" textlink="">
      <xdr:nvSpPr>
        <xdr:cNvPr id="220" name="TextBox 219">
          <a:extLst>
            <a:ext uri="{FF2B5EF4-FFF2-40B4-BE49-F238E27FC236}">
              <a16:creationId xmlns:a16="http://schemas.microsoft.com/office/drawing/2014/main" id="{C010E5F2-E7F1-49C7-B43A-CAF60827D503}"/>
            </a:ext>
          </a:extLst>
        </xdr:cNvPr>
        <xdr:cNvSpPr txBox="1"/>
      </xdr:nvSpPr>
      <xdr:spPr>
        <a:xfrm>
          <a:off x="14587688" y="12201132"/>
          <a:ext cx="22710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Cleveland</a:t>
          </a:r>
        </a:p>
      </xdr:txBody>
    </xdr:sp>
    <xdr:clientData/>
  </xdr:oneCellAnchor>
  <xdr:oneCellAnchor>
    <xdr:from>
      <xdr:col>0</xdr:col>
      <xdr:colOff>0</xdr:colOff>
      <xdr:row>41</xdr:row>
      <xdr:rowOff>137666</xdr:rowOff>
    </xdr:from>
    <xdr:ext cx="718466" cy="2749792"/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82564EC5-FC1E-4BD9-99F8-BA328BDDAC66}"/>
            </a:ext>
          </a:extLst>
        </xdr:cNvPr>
        <xdr:cNvSpPr txBox="1"/>
      </xdr:nvSpPr>
      <xdr:spPr>
        <a:xfrm rot="16200000">
          <a:off x="-1015663" y="9011454"/>
          <a:ext cx="2749792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	CUSTER</a:t>
          </a:r>
        </a:p>
      </xdr:txBody>
    </xdr:sp>
    <xdr:clientData/>
  </xdr:oneCellAnchor>
  <xdr:twoCellAnchor>
    <xdr:from>
      <xdr:col>0</xdr:col>
      <xdr:colOff>0</xdr:colOff>
      <xdr:row>103</xdr:row>
      <xdr:rowOff>184697</xdr:rowOff>
    </xdr:from>
    <xdr:to>
      <xdr:col>77</xdr:col>
      <xdr:colOff>43793</xdr:colOff>
      <xdr:row>103</xdr:row>
      <xdr:rowOff>184698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FC684B61-C754-4F1A-87B0-1ECA4DD39C78}"/>
            </a:ext>
          </a:extLst>
        </xdr:cNvPr>
        <xdr:cNvCxnSpPr/>
      </xdr:nvCxnSpPr>
      <xdr:spPr>
        <a:xfrm>
          <a:off x="0" y="19853822"/>
          <a:ext cx="16179143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30</xdr:row>
      <xdr:rowOff>0</xdr:rowOff>
    </xdr:from>
    <xdr:to>
      <xdr:col>72</xdr:col>
      <xdr:colOff>37111</xdr:colOff>
      <xdr:row>30</xdr:row>
      <xdr:rowOff>9525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794BDA3F-8BC3-4555-85C1-05B5C40CBD62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42</xdr:row>
      <xdr:rowOff>12371</xdr:rowOff>
    </xdr:from>
    <xdr:to>
      <xdr:col>72</xdr:col>
      <xdr:colOff>37111</xdr:colOff>
      <xdr:row>42</xdr:row>
      <xdr:rowOff>19050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8BAC05BC-5D7E-4B9F-BD45-D5053EE02BA2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123825</xdr:colOff>
      <xdr:row>17</xdr:row>
      <xdr:rowOff>180975</xdr:rowOff>
    </xdr:from>
    <xdr:to>
      <xdr:col>72</xdr:col>
      <xdr:colOff>0</xdr:colOff>
      <xdr:row>18</xdr:row>
      <xdr:rowOff>12370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81F3772-901F-42C0-AB5A-CF4CAE37414E}"/>
            </a:ext>
          </a:extLst>
        </xdr:cNvPr>
        <xdr:cNvCxnSpPr/>
      </xdr:nvCxnSpPr>
      <xdr:spPr>
        <a:xfrm>
          <a:off x="333375" y="4991100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133350</xdr:colOff>
      <xdr:row>11</xdr:row>
      <xdr:rowOff>180975</xdr:rowOff>
    </xdr:from>
    <xdr:to>
      <xdr:col>72</xdr:col>
      <xdr:colOff>0</xdr:colOff>
      <xdr:row>12</xdr:row>
      <xdr:rowOff>12370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BFD6D0F-9C28-4FF2-B34B-78A82A5B445C}"/>
            </a:ext>
          </a:extLst>
        </xdr:cNvPr>
        <xdr:cNvCxnSpPr/>
      </xdr:nvCxnSpPr>
      <xdr:spPr>
        <a:xfrm>
          <a:off x="342900" y="3848100"/>
          <a:ext cx="15163800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194830</xdr:colOff>
      <xdr:row>1</xdr:row>
      <xdr:rowOff>64945</xdr:rowOff>
    </xdr:from>
    <xdr:to>
      <xdr:col>12</xdr:col>
      <xdr:colOff>0</xdr:colOff>
      <xdr:row>96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904E86D-6FA7-4324-B23E-1D7248A6DA7C}"/>
            </a:ext>
          </a:extLst>
        </xdr:cNvPr>
        <xdr:cNvCxnSpPr/>
      </xdr:nvCxnSpPr>
      <xdr:spPr>
        <a:xfrm flipH="1" flipV="1">
          <a:off x="2576080" y="64945"/>
          <a:ext cx="21647" cy="186386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70037</xdr:colOff>
      <xdr:row>47</xdr:row>
      <xdr:rowOff>182095</xdr:rowOff>
    </xdr:from>
    <xdr:to>
      <xdr:col>72</xdr:col>
      <xdr:colOff>24741</xdr:colOff>
      <xdr:row>48</xdr:row>
      <xdr:rowOff>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7D521888-077C-4D61-AD09-3655D214A299}"/>
            </a:ext>
          </a:extLst>
        </xdr:cNvPr>
        <xdr:cNvCxnSpPr/>
      </xdr:nvCxnSpPr>
      <xdr:spPr>
        <a:xfrm>
          <a:off x="70037" y="9339084"/>
          <a:ext cx="15541068" cy="127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133350</xdr:colOff>
      <xdr:row>60</xdr:row>
      <xdr:rowOff>0</xdr:rowOff>
    </xdr:from>
    <xdr:to>
      <xdr:col>72</xdr:col>
      <xdr:colOff>61851</xdr:colOff>
      <xdr:row>60</xdr:row>
      <xdr:rowOff>19050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F87F645-0BF0-43CA-AE46-C9F33FE69197}"/>
            </a:ext>
          </a:extLst>
        </xdr:cNvPr>
        <xdr:cNvCxnSpPr/>
      </xdr:nvCxnSpPr>
      <xdr:spPr>
        <a:xfrm flipV="1">
          <a:off x="342900" y="13001625"/>
          <a:ext cx="15225651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65</xdr:row>
      <xdr:rowOff>180975</xdr:rowOff>
    </xdr:from>
    <xdr:to>
      <xdr:col>72</xdr:col>
      <xdr:colOff>61851</xdr:colOff>
      <xdr:row>66</xdr:row>
      <xdr:rowOff>12370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4224D9A9-1B80-4D51-BB98-DDF8FF543CAF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19050</xdr:colOff>
      <xdr:row>0</xdr:row>
      <xdr:rowOff>0</xdr:rowOff>
    </xdr:from>
    <xdr:to>
      <xdr:col>60</xdr:col>
      <xdr:colOff>21648</xdr:colOff>
      <xdr:row>90</xdr:row>
      <xdr:rowOff>38100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3014E3DF-3CB5-4361-A1A3-89B4D9CFBC45}"/>
            </a:ext>
          </a:extLst>
        </xdr:cNvPr>
        <xdr:cNvCxnSpPr/>
      </xdr:nvCxnSpPr>
      <xdr:spPr>
        <a:xfrm flipH="1">
          <a:off x="13007686" y="1515341"/>
          <a:ext cx="2598" cy="17616054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0</xdr:row>
      <xdr:rowOff>43296</xdr:rowOff>
    </xdr:from>
    <xdr:to>
      <xdr:col>6</xdr:col>
      <xdr:colOff>43295</xdr:colOff>
      <xdr:row>90</xdr:row>
      <xdr:rowOff>43296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78626D3-31B1-4ED5-8B7E-13B367153800}"/>
            </a:ext>
          </a:extLst>
        </xdr:cNvPr>
        <xdr:cNvCxnSpPr/>
      </xdr:nvCxnSpPr>
      <xdr:spPr>
        <a:xfrm flipH="1">
          <a:off x="1298864" y="43296"/>
          <a:ext cx="43295" cy="1753465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54</xdr:row>
      <xdr:rowOff>12370</xdr:rowOff>
    </xdr:from>
    <xdr:to>
      <xdr:col>36</xdr:col>
      <xdr:colOff>24741</xdr:colOff>
      <xdr:row>90</xdr:row>
      <xdr:rowOff>19050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AC79F39-B2CB-437D-B884-A17518C2B238}"/>
            </a:ext>
          </a:extLst>
        </xdr:cNvPr>
        <xdr:cNvCxnSpPr/>
      </xdr:nvCxnSpPr>
      <xdr:spPr>
        <a:xfrm flipH="1">
          <a:off x="7962900" y="11870995"/>
          <a:ext cx="24741" cy="686468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0</xdr:row>
      <xdr:rowOff>0</xdr:rowOff>
    </xdr:from>
    <xdr:to>
      <xdr:col>30</xdr:col>
      <xdr:colOff>24740</xdr:colOff>
      <xdr:row>29</xdr:row>
      <xdr:rowOff>148442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181990F6-325C-4487-9153-6561CA5C4C6D}"/>
            </a:ext>
          </a:extLst>
        </xdr:cNvPr>
        <xdr:cNvCxnSpPr/>
      </xdr:nvCxnSpPr>
      <xdr:spPr>
        <a:xfrm>
          <a:off x="6494318" y="1536989"/>
          <a:ext cx="24740" cy="5820146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197923</xdr:colOff>
      <xdr:row>29</xdr:row>
      <xdr:rowOff>173182</xdr:rowOff>
    </xdr:from>
    <xdr:to>
      <xdr:col>60</xdr:col>
      <xdr:colOff>49480</xdr:colOff>
      <xdr:row>30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AB421B01-78CB-4749-89F7-F9558D0D7A7A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12371</xdr:colOff>
      <xdr:row>29</xdr:row>
      <xdr:rowOff>145597</xdr:rowOff>
    </xdr:from>
    <xdr:to>
      <xdr:col>24</xdr:col>
      <xdr:colOff>13360</xdr:colOff>
      <xdr:row>54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12A195C1-F476-43F0-8DED-AC55E5C60A99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173183</xdr:colOff>
      <xdr:row>53</xdr:row>
      <xdr:rowOff>173181</xdr:rowOff>
    </xdr:from>
    <xdr:to>
      <xdr:col>36</xdr:col>
      <xdr:colOff>74221</xdr:colOff>
      <xdr:row>54</xdr:row>
      <xdr:rowOff>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837F53EC-859A-41D5-9303-0425A88AD8B7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8186</xdr:colOff>
      <xdr:row>53</xdr:row>
      <xdr:rowOff>120244</xdr:rowOff>
    </xdr:from>
    <xdr:to>
      <xdr:col>66</xdr:col>
      <xdr:colOff>102089</xdr:colOff>
      <xdr:row>60</xdr:row>
      <xdr:rowOff>162563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DC0905FB-828B-40EC-A853-D8A73FBFD0CE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148442</xdr:colOff>
      <xdr:row>42</xdr:row>
      <xdr:rowOff>12371</xdr:rowOff>
    </xdr:from>
    <xdr:to>
      <xdr:col>24</xdr:col>
      <xdr:colOff>12371</xdr:colOff>
      <xdr:row>42</xdr:row>
      <xdr:rowOff>12371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BE51A199-9609-44AB-AD02-B53E4A60B2D7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160812</xdr:colOff>
      <xdr:row>14</xdr:row>
      <xdr:rowOff>123701</xdr:rowOff>
    </xdr:from>
    <xdr:ext cx="1724831" cy="718466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9F137BF1-84F1-449B-851C-66F9D8392ABA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37</xdr:col>
      <xdr:colOff>21113</xdr:colOff>
      <xdr:row>14</xdr:row>
      <xdr:rowOff>66551</xdr:rowOff>
    </xdr:from>
    <xdr:ext cx="2744021" cy="718466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BFD9AE2E-1964-414F-9326-DE26726C3175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36</xdr:col>
      <xdr:colOff>107827</xdr:colOff>
      <xdr:row>39</xdr:row>
      <xdr:rowOff>29379</xdr:rowOff>
    </xdr:from>
    <xdr:ext cx="2524665" cy="718466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75632BD4-4DEE-4535-A917-F8A1F7A6E9CE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10</xdr:col>
      <xdr:colOff>111332</xdr:colOff>
      <xdr:row>56</xdr:row>
      <xdr:rowOff>24740</xdr:rowOff>
    </xdr:from>
    <xdr:ext cx="1760610" cy="718466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6B5DA35-200D-4F72-AD8A-8CA2D2079A11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42</xdr:col>
      <xdr:colOff>119213</xdr:colOff>
      <xdr:row>68</xdr:row>
      <xdr:rowOff>113907</xdr:rowOff>
    </xdr:from>
    <xdr:ext cx="1701043" cy="718466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2A604E1-704A-4B30-8616-9158C3CF5560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0</xdr:col>
      <xdr:colOff>207200</xdr:colOff>
      <xdr:row>2</xdr:row>
      <xdr:rowOff>0</xdr:rowOff>
    </xdr:from>
    <xdr:ext cx="784510" cy="280205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D937AFFF-8F77-4690-9C5F-188FC71345D5}"/>
            </a:ext>
          </a:extLst>
        </xdr:cNvPr>
        <xdr:cNvSpPr txBox="1"/>
      </xdr:nvSpPr>
      <xdr:spPr>
        <a:xfrm>
          <a:off x="207200" y="49789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7</xdr:col>
      <xdr:colOff>62716</xdr:colOff>
      <xdr:row>2</xdr:row>
      <xdr:rowOff>0</xdr:rowOff>
    </xdr:from>
    <xdr:ext cx="784510" cy="280205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ECCBE0DE-ACF9-490F-A7C3-2932FB700D9A}"/>
            </a:ext>
          </a:extLst>
        </xdr:cNvPr>
        <xdr:cNvSpPr txBox="1"/>
      </xdr:nvSpPr>
      <xdr:spPr>
        <a:xfrm>
          <a:off x="1578057" y="49789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19</xdr:col>
      <xdr:colOff>66675</xdr:colOff>
      <xdr:row>2</xdr:row>
      <xdr:rowOff>0</xdr:rowOff>
    </xdr:from>
    <xdr:ext cx="784510" cy="280205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7BD79B84-43BC-46A4-8875-1E16029AE746}"/>
            </a:ext>
          </a:extLst>
        </xdr:cNvPr>
        <xdr:cNvSpPr txBox="1"/>
      </xdr:nvSpPr>
      <xdr:spPr>
        <a:xfrm>
          <a:off x="4179743" y="49789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25</xdr:col>
      <xdr:colOff>45893</xdr:colOff>
      <xdr:row>2</xdr:row>
      <xdr:rowOff>0</xdr:rowOff>
    </xdr:from>
    <xdr:ext cx="784510" cy="280205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B4C7B0CD-8608-4A14-B559-9F652E4B208F}"/>
            </a:ext>
          </a:extLst>
        </xdr:cNvPr>
        <xdr:cNvSpPr txBox="1"/>
      </xdr:nvSpPr>
      <xdr:spPr>
        <a:xfrm>
          <a:off x="5457825" y="49789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54</xdr:col>
      <xdr:colOff>173552</xdr:colOff>
      <xdr:row>2</xdr:row>
      <xdr:rowOff>0</xdr:rowOff>
    </xdr:from>
    <xdr:ext cx="706540" cy="280205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D40D4B0E-32AC-4D5B-BC7F-5C146F404326}"/>
            </a:ext>
          </a:extLst>
        </xdr:cNvPr>
        <xdr:cNvSpPr txBox="1"/>
      </xdr:nvSpPr>
      <xdr:spPr>
        <a:xfrm>
          <a:off x="11863325" y="4978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0</xdr:col>
      <xdr:colOff>168234</xdr:colOff>
      <xdr:row>7</xdr:row>
      <xdr:rowOff>131124</xdr:rowOff>
    </xdr:from>
    <xdr:ext cx="784510" cy="468077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AF4A3CE2-325F-4946-9D86-01475F597501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31</xdr:col>
      <xdr:colOff>57768</xdr:colOff>
      <xdr:row>2</xdr:row>
      <xdr:rowOff>0</xdr:rowOff>
    </xdr:from>
    <xdr:ext cx="706540" cy="280205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4075CFA5-D2B9-4A34-9C41-76EAF9E08478}"/>
            </a:ext>
          </a:extLst>
        </xdr:cNvPr>
        <xdr:cNvSpPr txBox="1"/>
      </xdr:nvSpPr>
      <xdr:spPr>
        <a:xfrm>
          <a:off x="6768563" y="4978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48</xdr:col>
      <xdr:colOff>173058</xdr:colOff>
      <xdr:row>2</xdr:row>
      <xdr:rowOff>0</xdr:rowOff>
    </xdr:from>
    <xdr:ext cx="706540" cy="280205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2D2D05A-2DD3-4623-BD63-099E4D579FD2}"/>
            </a:ext>
          </a:extLst>
        </xdr:cNvPr>
        <xdr:cNvSpPr txBox="1"/>
      </xdr:nvSpPr>
      <xdr:spPr>
        <a:xfrm>
          <a:off x="10563967" y="4978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43</xdr:col>
      <xdr:colOff>10019</xdr:colOff>
      <xdr:row>2</xdr:row>
      <xdr:rowOff>0</xdr:rowOff>
    </xdr:from>
    <xdr:ext cx="706540" cy="28020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D206544E-AA57-488B-9C32-3FA21C634474}"/>
            </a:ext>
          </a:extLst>
        </xdr:cNvPr>
        <xdr:cNvSpPr txBox="1"/>
      </xdr:nvSpPr>
      <xdr:spPr>
        <a:xfrm>
          <a:off x="9318542" y="4978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37</xdr:col>
      <xdr:colOff>44904</xdr:colOff>
      <xdr:row>2</xdr:row>
      <xdr:rowOff>0</xdr:rowOff>
    </xdr:from>
    <xdr:ext cx="706540" cy="28020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433F8EA-AF19-47DF-8A76-F2834C5562D9}"/>
            </a:ext>
          </a:extLst>
        </xdr:cNvPr>
        <xdr:cNvSpPr txBox="1"/>
      </xdr:nvSpPr>
      <xdr:spPr>
        <a:xfrm>
          <a:off x="8054563" y="4978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13</xdr:col>
      <xdr:colOff>73603</xdr:colOff>
      <xdr:row>2</xdr:row>
      <xdr:rowOff>0</xdr:rowOff>
    </xdr:from>
    <xdr:ext cx="784510" cy="280205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CE4856CB-15C9-4896-A1D5-E8D7B76C6BAB}"/>
            </a:ext>
          </a:extLst>
        </xdr:cNvPr>
        <xdr:cNvSpPr txBox="1"/>
      </xdr:nvSpPr>
      <xdr:spPr>
        <a:xfrm>
          <a:off x="2887808" y="49789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30</xdr:col>
      <xdr:colOff>172192</xdr:colOff>
      <xdr:row>7</xdr:row>
      <xdr:rowOff>122712</xdr:rowOff>
    </xdr:from>
    <xdr:ext cx="706540" cy="468077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C5B5495F-C8AD-4CA1-AD34-BA58CEA90FDB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12</xdr:col>
      <xdr:colOff>101930</xdr:colOff>
      <xdr:row>7</xdr:row>
      <xdr:rowOff>139040</xdr:rowOff>
    </xdr:from>
    <xdr:ext cx="784510" cy="46807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5BC902B9-8F30-422D-ADF4-B81C8D454002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36</xdr:col>
      <xdr:colOff>180109</xdr:colOff>
      <xdr:row>7</xdr:row>
      <xdr:rowOff>155369</xdr:rowOff>
    </xdr:from>
    <xdr:ext cx="706540" cy="468077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19C88BE-237F-413D-98C0-24BD72D0724E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24</xdr:col>
      <xdr:colOff>122217</xdr:colOff>
      <xdr:row>7</xdr:row>
      <xdr:rowOff>134586</xdr:rowOff>
    </xdr:from>
    <xdr:ext cx="784510" cy="468077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F2CF139-12D2-4ED5-A8D0-F3E38CBF5C1F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43</xdr:col>
      <xdr:colOff>2474</xdr:colOff>
      <xdr:row>7</xdr:row>
      <xdr:rowOff>138545</xdr:rowOff>
    </xdr:from>
    <xdr:ext cx="706540" cy="468077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DE8BDBB-0F12-4429-B607-6672E44C7785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18</xdr:col>
      <xdr:colOff>167244</xdr:colOff>
      <xdr:row>7</xdr:row>
      <xdr:rowOff>142504</xdr:rowOff>
    </xdr:from>
    <xdr:ext cx="784510" cy="46807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4828140E-509A-44C9-BACE-7BCA8286ED99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6</xdr:col>
      <xdr:colOff>146461</xdr:colOff>
      <xdr:row>7</xdr:row>
      <xdr:rowOff>121722</xdr:rowOff>
    </xdr:from>
    <xdr:ext cx="784510" cy="46807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A1E1312-9833-4582-9DE5-7F1B6D89F1C6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48</xdr:col>
      <xdr:colOff>204354</xdr:colOff>
      <xdr:row>7</xdr:row>
      <xdr:rowOff>142504</xdr:rowOff>
    </xdr:from>
    <xdr:ext cx="706540" cy="468077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3687A0B5-4270-478A-9D91-9781E08D04C3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54</xdr:col>
      <xdr:colOff>195941</xdr:colOff>
      <xdr:row>7</xdr:row>
      <xdr:rowOff>146462</xdr:rowOff>
    </xdr:from>
    <xdr:ext cx="706540" cy="468077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DDE665C1-F791-4006-83C7-7001A9952425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0</xdr:col>
      <xdr:colOff>205344</xdr:colOff>
      <xdr:row>13</xdr:row>
      <xdr:rowOff>131124</xdr:rowOff>
    </xdr:from>
    <xdr:ext cx="784510" cy="468077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A70A1900-7E9B-4558-821E-CFC2DF73A307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30</xdr:col>
      <xdr:colOff>196932</xdr:colOff>
      <xdr:row>13</xdr:row>
      <xdr:rowOff>147452</xdr:rowOff>
    </xdr:from>
    <xdr:ext cx="706540" cy="468077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BD051B20-18E4-4766-A464-473AE1E128A5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25</xdr:col>
      <xdr:colOff>2968</xdr:colOff>
      <xdr:row>13</xdr:row>
      <xdr:rowOff>151411</xdr:rowOff>
    </xdr:from>
    <xdr:ext cx="784510" cy="468077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C80C8633-C6BB-4C14-8DD0-631D349C6AA8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18</xdr:col>
      <xdr:colOff>192479</xdr:colOff>
      <xdr:row>13</xdr:row>
      <xdr:rowOff>142999</xdr:rowOff>
    </xdr:from>
    <xdr:ext cx="784510" cy="468077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23E17942-4ECC-43C4-98F5-4B1881991366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12</xdr:col>
      <xdr:colOff>171697</xdr:colOff>
      <xdr:row>13</xdr:row>
      <xdr:rowOff>146958</xdr:rowOff>
    </xdr:from>
    <xdr:ext cx="784510" cy="468077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FB71F7EF-548E-49BB-8D7A-D07CEAB550EB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7</xdr:col>
      <xdr:colOff>2473</xdr:colOff>
      <xdr:row>13</xdr:row>
      <xdr:rowOff>126176</xdr:rowOff>
    </xdr:from>
    <xdr:ext cx="784510" cy="468077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DC9FEE61-FE58-41C0-99D9-AE663E223F68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36</xdr:col>
      <xdr:colOff>200891</xdr:colOff>
      <xdr:row>13</xdr:row>
      <xdr:rowOff>139040</xdr:rowOff>
    </xdr:from>
    <xdr:ext cx="706540" cy="468077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44F344D4-E7DA-430A-9F75-7229D61CBB71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42</xdr:col>
      <xdr:colOff>192480</xdr:colOff>
      <xdr:row>13</xdr:row>
      <xdr:rowOff>142999</xdr:rowOff>
    </xdr:from>
    <xdr:ext cx="706540" cy="468077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E85761E3-808E-4D64-AC27-6038E33DC1B8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48</xdr:col>
      <xdr:colOff>158090</xdr:colOff>
      <xdr:row>13</xdr:row>
      <xdr:rowOff>119125</xdr:rowOff>
    </xdr:from>
    <xdr:ext cx="706540" cy="468077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A32F4B5B-C845-4119-A0FD-2A805F906A00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54</xdr:col>
      <xdr:colOff>197922</xdr:colOff>
      <xdr:row>13</xdr:row>
      <xdr:rowOff>148441</xdr:rowOff>
    </xdr:from>
    <xdr:ext cx="706540" cy="468077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6F6BDBFA-2DC6-41AF-8CBF-B58AF667FBB6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0</xdr:col>
      <xdr:colOff>168233</xdr:colOff>
      <xdr:row>19</xdr:row>
      <xdr:rowOff>143494</xdr:rowOff>
    </xdr:from>
    <xdr:ext cx="784510" cy="280205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5C833C74-4403-42EF-8FF9-15002888BB5F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31</xdr:col>
      <xdr:colOff>60859</xdr:colOff>
      <xdr:row>19</xdr:row>
      <xdr:rowOff>122711</xdr:rowOff>
    </xdr:from>
    <xdr:ext cx="706540" cy="280205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935E3308-E1BC-40B9-BF74-E06EC52AA3BB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25</xdr:col>
      <xdr:colOff>15337</xdr:colOff>
      <xdr:row>19</xdr:row>
      <xdr:rowOff>151411</xdr:rowOff>
    </xdr:from>
    <xdr:ext cx="784510" cy="280205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3C97628-5E7D-497C-BE83-14B9F9A6EB94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19</xdr:col>
      <xdr:colOff>31666</xdr:colOff>
      <xdr:row>19</xdr:row>
      <xdr:rowOff>167739</xdr:rowOff>
    </xdr:from>
    <xdr:ext cx="784510" cy="280205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B954991E-CC99-4C52-9B74-81669DFDE5C9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12</xdr:col>
      <xdr:colOff>196436</xdr:colOff>
      <xdr:row>19</xdr:row>
      <xdr:rowOff>159328</xdr:rowOff>
    </xdr:from>
    <xdr:ext cx="784510" cy="280205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24701851-D53B-4387-B368-8A63F34398AB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6</xdr:col>
      <xdr:colOff>188024</xdr:colOff>
      <xdr:row>19</xdr:row>
      <xdr:rowOff>150916</xdr:rowOff>
    </xdr:from>
    <xdr:ext cx="784510" cy="280205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47852AB5-0FAA-4EE4-B5E0-A2E14F9E3FD8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48</xdr:col>
      <xdr:colOff>176149</xdr:colOff>
      <xdr:row>19</xdr:row>
      <xdr:rowOff>163780</xdr:rowOff>
    </xdr:from>
    <xdr:ext cx="706540" cy="280205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79AF5B63-AF3B-4AC0-8B7C-E52EC215A298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42</xdr:col>
      <xdr:colOff>180108</xdr:colOff>
      <xdr:row>19</xdr:row>
      <xdr:rowOff>167738</xdr:rowOff>
    </xdr:from>
    <xdr:ext cx="706540" cy="280205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7E87229-5FEB-44D9-9CF6-6B60E1BE7163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54</xdr:col>
      <xdr:colOff>134585</xdr:colOff>
      <xdr:row>19</xdr:row>
      <xdr:rowOff>146957</xdr:rowOff>
    </xdr:from>
    <xdr:ext cx="706540" cy="280205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EB60D7DE-FEF8-4C7C-8110-78109531D911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36</xdr:col>
      <xdr:colOff>113803</xdr:colOff>
      <xdr:row>19</xdr:row>
      <xdr:rowOff>175655</xdr:rowOff>
    </xdr:from>
    <xdr:ext cx="706540" cy="280205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4F8E3AE5-4815-4E1A-97B3-DB23257DFB8A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0</xdr:col>
      <xdr:colOff>131122</xdr:colOff>
      <xdr:row>25</xdr:row>
      <xdr:rowOff>155865</xdr:rowOff>
    </xdr:from>
    <xdr:ext cx="784510" cy="280205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8C1B81F7-E684-469D-9E3F-50310A0523D9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24</xdr:col>
      <xdr:colOff>135081</xdr:colOff>
      <xdr:row>25</xdr:row>
      <xdr:rowOff>147454</xdr:rowOff>
    </xdr:from>
    <xdr:ext cx="784510" cy="280205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9F989A88-D81B-4A58-8744-9DB98A6E7B45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19</xdr:col>
      <xdr:colOff>2967</xdr:colOff>
      <xdr:row>25</xdr:row>
      <xdr:rowOff>163782</xdr:rowOff>
    </xdr:from>
    <xdr:ext cx="784510" cy="280205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8418B4CC-6156-42D7-91E6-FEAAE56747A8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6</xdr:col>
      <xdr:colOff>118257</xdr:colOff>
      <xdr:row>25</xdr:row>
      <xdr:rowOff>155370</xdr:rowOff>
    </xdr:from>
    <xdr:ext cx="784510" cy="280205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FBC5F798-47E7-4B92-8081-F9EF1136E9A1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13</xdr:col>
      <xdr:colOff>10884</xdr:colOff>
      <xdr:row>25</xdr:row>
      <xdr:rowOff>159329</xdr:rowOff>
    </xdr:from>
    <xdr:ext cx="784510" cy="280205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326D85FC-856A-4932-9FAF-1F00E57083BA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48</xdr:col>
      <xdr:colOff>163780</xdr:colOff>
      <xdr:row>25</xdr:row>
      <xdr:rowOff>139043</xdr:rowOff>
    </xdr:from>
    <xdr:ext cx="706540" cy="280205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E43777C9-E97E-47EF-9464-8B49F44CE1C2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36</xdr:col>
      <xdr:colOff>167738</xdr:colOff>
      <xdr:row>25</xdr:row>
      <xdr:rowOff>143001</xdr:rowOff>
    </xdr:from>
    <xdr:ext cx="706540" cy="280205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26CD2411-1AC9-4911-99DA-C96719CC6675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54</xdr:col>
      <xdr:colOff>159325</xdr:colOff>
      <xdr:row>25</xdr:row>
      <xdr:rowOff>159329</xdr:rowOff>
    </xdr:from>
    <xdr:ext cx="706540" cy="280205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5187CACB-7161-475E-BC9D-BADAA76B01D8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30</xdr:col>
      <xdr:colOff>200395</xdr:colOff>
      <xdr:row>25</xdr:row>
      <xdr:rowOff>175658</xdr:rowOff>
    </xdr:from>
    <xdr:ext cx="706540" cy="280205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F98C5D5B-7B5B-4E30-9EF2-A76C9ACD2CFD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42</xdr:col>
      <xdr:colOff>154873</xdr:colOff>
      <xdr:row>25</xdr:row>
      <xdr:rowOff>179616</xdr:rowOff>
    </xdr:from>
    <xdr:ext cx="706540" cy="280205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71393E25-7983-4C34-9009-7F9BBEC15ACE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0</xdr:col>
      <xdr:colOff>135080</xdr:colOff>
      <xdr:row>31</xdr:row>
      <xdr:rowOff>159823</xdr:rowOff>
    </xdr:from>
    <xdr:ext cx="784510" cy="280205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6CB50627-DEB3-4FAF-BF23-65F557021CE0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6</xdr:col>
      <xdr:colOff>139038</xdr:colOff>
      <xdr:row>31</xdr:row>
      <xdr:rowOff>163782</xdr:rowOff>
    </xdr:from>
    <xdr:ext cx="784510" cy="280205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6B766681-4C2F-47DC-A8F1-0A314683E3C0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12</xdr:col>
      <xdr:colOff>167737</xdr:colOff>
      <xdr:row>31</xdr:row>
      <xdr:rowOff>167740</xdr:rowOff>
    </xdr:from>
    <xdr:ext cx="784510" cy="28020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1A37420-4E06-4A59-9D87-C216BC57A98B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18</xdr:col>
      <xdr:colOff>146956</xdr:colOff>
      <xdr:row>31</xdr:row>
      <xdr:rowOff>171698</xdr:rowOff>
    </xdr:from>
    <xdr:ext cx="784510" cy="280205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B6A33690-4DE4-466A-8C39-E60F81D32F9E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25</xdr:col>
      <xdr:colOff>37110</xdr:colOff>
      <xdr:row>31</xdr:row>
      <xdr:rowOff>160812</xdr:rowOff>
    </xdr:from>
    <xdr:ext cx="784510" cy="280205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86B64FDD-D3AB-4EF7-9EA0-B40A2D2FB08C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30</xdr:col>
      <xdr:colOff>201880</xdr:colOff>
      <xdr:row>31</xdr:row>
      <xdr:rowOff>152400</xdr:rowOff>
    </xdr:from>
    <xdr:ext cx="706540" cy="280205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D847938C-7D1C-408E-9BA1-0986B590B037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36</xdr:col>
      <xdr:colOff>160811</xdr:colOff>
      <xdr:row>31</xdr:row>
      <xdr:rowOff>136071</xdr:rowOff>
    </xdr:from>
    <xdr:ext cx="706540" cy="28020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BD51B77D-6BD1-4571-8CD2-534B57A4C3EF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42</xdr:col>
      <xdr:colOff>160812</xdr:colOff>
      <xdr:row>31</xdr:row>
      <xdr:rowOff>148442</xdr:rowOff>
    </xdr:from>
    <xdr:ext cx="706540" cy="280205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983DB513-40BB-48C2-84F8-C2DE150A0047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48</xdr:col>
      <xdr:colOff>197923</xdr:colOff>
      <xdr:row>31</xdr:row>
      <xdr:rowOff>160812</xdr:rowOff>
    </xdr:from>
    <xdr:ext cx="706540" cy="280205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A79AEBEF-CFF4-44FB-9233-9B0A3F3EC5A0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54</xdr:col>
      <xdr:colOff>173182</xdr:colOff>
      <xdr:row>31</xdr:row>
      <xdr:rowOff>160812</xdr:rowOff>
    </xdr:from>
    <xdr:ext cx="706540" cy="280205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B4417E4C-3508-4852-803B-C6508B51D215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0</xdr:col>
      <xdr:colOff>126668</xdr:colOff>
      <xdr:row>37</xdr:row>
      <xdr:rowOff>139041</xdr:rowOff>
    </xdr:from>
    <xdr:ext cx="784510" cy="28020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C9295581-3F83-4C6A-845C-479CF6945FDE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43</xdr:col>
      <xdr:colOff>6925</xdr:colOff>
      <xdr:row>37</xdr:row>
      <xdr:rowOff>142999</xdr:rowOff>
    </xdr:from>
    <xdr:ext cx="706540" cy="28020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A25B0A9C-CBED-45EF-8374-9D0FCEC3EE32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12</xdr:col>
      <xdr:colOff>146955</xdr:colOff>
      <xdr:row>37</xdr:row>
      <xdr:rowOff>134588</xdr:rowOff>
    </xdr:from>
    <xdr:ext cx="784510" cy="280205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DFC9B82A-2560-43A8-8330-B90F1CDFA75D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6</xdr:col>
      <xdr:colOff>188023</xdr:colOff>
      <xdr:row>37</xdr:row>
      <xdr:rowOff>163286</xdr:rowOff>
    </xdr:from>
    <xdr:ext cx="784510" cy="280205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F092F8E7-F43B-49DD-9304-4E03A0819A28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18</xdr:col>
      <xdr:colOff>179612</xdr:colOff>
      <xdr:row>37</xdr:row>
      <xdr:rowOff>154875</xdr:rowOff>
    </xdr:from>
    <xdr:ext cx="784510" cy="28020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59BF07E9-AE2C-4F56-9CF3-D15503E3ACBC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30</xdr:col>
      <xdr:colOff>208310</xdr:colOff>
      <xdr:row>37</xdr:row>
      <xdr:rowOff>134093</xdr:rowOff>
    </xdr:from>
    <xdr:ext cx="706540" cy="28020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B94252C2-0AD8-4AD8-BEC8-698563F08954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25</xdr:col>
      <xdr:colOff>14346</xdr:colOff>
      <xdr:row>37</xdr:row>
      <xdr:rowOff>138051</xdr:rowOff>
    </xdr:from>
    <xdr:ext cx="78451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2BD22EE6-7629-4877-9306-D3754C96046D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36</xdr:col>
      <xdr:colOff>166747</xdr:colOff>
      <xdr:row>37</xdr:row>
      <xdr:rowOff>154379</xdr:rowOff>
    </xdr:from>
    <xdr:ext cx="706540" cy="28020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ABD15C23-D68E-46E8-8A82-023410114446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48</xdr:col>
      <xdr:colOff>197923</xdr:colOff>
      <xdr:row>37</xdr:row>
      <xdr:rowOff>136072</xdr:rowOff>
    </xdr:from>
    <xdr:ext cx="706540" cy="28020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6C756E89-668A-4C08-8789-EF8A47FE28F8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54</xdr:col>
      <xdr:colOff>177141</xdr:colOff>
      <xdr:row>37</xdr:row>
      <xdr:rowOff>140030</xdr:rowOff>
    </xdr:from>
    <xdr:ext cx="706540" cy="280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487B87A9-B1FE-488F-84D9-42F86E2FB2A3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0</xdr:col>
      <xdr:colOff>71438</xdr:colOff>
      <xdr:row>43</xdr:row>
      <xdr:rowOff>155760</xdr:rowOff>
    </xdr:from>
    <xdr:ext cx="784510" cy="28020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56351C5B-F088-4D19-B133-CAD4D61F0732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42</xdr:col>
      <xdr:colOff>94570</xdr:colOff>
      <xdr:row>43</xdr:row>
      <xdr:rowOff>167655</xdr:rowOff>
    </xdr:from>
    <xdr:ext cx="706540" cy="28020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3EC35246-4743-4106-9F9F-4E75D0A28C82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12</xdr:col>
      <xdr:colOff>91725</xdr:colOff>
      <xdr:row>43</xdr:row>
      <xdr:rowOff>151307</xdr:rowOff>
    </xdr:from>
    <xdr:ext cx="784510" cy="280205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27CFC6A6-4ED2-4031-B32E-7F743D5E520E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6</xdr:col>
      <xdr:colOff>132793</xdr:colOff>
      <xdr:row>43</xdr:row>
      <xdr:rowOff>180005</xdr:rowOff>
    </xdr:from>
    <xdr:ext cx="784510" cy="280205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A97316B2-2770-458F-B380-46974BFCCE9D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18</xdr:col>
      <xdr:colOff>124382</xdr:colOff>
      <xdr:row>43</xdr:row>
      <xdr:rowOff>171594</xdr:rowOff>
    </xdr:from>
    <xdr:ext cx="784510" cy="280205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73B70D69-85E0-4826-BCCB-37DE0C2355D9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30</xdr:col>
      <xdr:colOff>153080</xdr:colOff>
      <xdr:row>43</xdr:row>
      <xdr:rowOff>150812</xdr:rowOff>
    </xdr:from>
    <xdr:ext cx="706540" cy="280205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80D74354-59A5-4BEE-8226-8D9FD51E112F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24</xdr:col>
      <xdr:colOff>165491</xdr:colOff>
      <xdr:row>43</xdr:row>
      <xdr:rowOff>154770</xdr:rowOff>
    </xdr:from>
    <xdr:ext cx="784510" cy="280205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7176DEC7-C208-4AA8-9D26-33DD41F729FB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36</xdr:col>
      <xdr:colOff>111517</xdr:colOff>
      <xdr:row>43</xdr:row>
      <xdr:rowOff>171098</xdr:rowOff>
    </xdr:from>
    <xdr:ext cx="706540" cy="280205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B88C41F7-AF98-482B-870E-6FE7B2551241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48</xdr:col>
      <xdr:colOff>142693</xdr:colOff>
      <xdr:row>43</xdr:row>
      <xdr:rowOff>152791</xdr:rowOff>
    </xdr:from>
    <xdr:ext cx="706540" cy="280205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66AD1D1A-0E52-4083-A379-BC8B18EF7688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54</xdr:col>
      <xdr:colOff>121911</xdr:colOff>
      <xdr:row>43</xdr:row>
      <xdr:rowOff>156749</xdr:rowOff>
    </xdr:from>
    <xdr:ext cx="706540" cy="280205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836D4AEF-F40E-41C4-A429-187BD5EB19F4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0</xdr:col>
      <xdr:colOff>58412</xdr:colOff>
      <xdr:row>49</xdr:row>
      <xdr:rowOff>169635</xdr:rowOff>
    </xdr:from>
    <xdr:ext cx="784510" cy="280205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492B6C9A-275E-4E34-B340-7A047F908A22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42</xdr:col>
      <xdr:colOff>145044</xdr:colOff>
      <xdr:row>49</xdr:row>
      <xdr:rowOff>173593</xdr:rowOff>
    </xdr:from>
    <xdr:ext cx="706540" cy="280205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9BFA70E2-3F5C-4B3E-9D97-E6A0BB96BDEB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12</xdr:col>
      <xdr:colOff>78699</xdr:colOff>
      <xdr:row>49</xdr:row>
      <xdr:rowOff>165182</xdr:rowOff>
    </xdr:from>
    <xdr:ext cx="784510" cy="280205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4007E35C-6567-46E0-A5E8-EAB0292E998E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6</xdr:col>
      <xdr:colOff>119767</xdr:colOff>
      <xdr:row>50</xdr:row>
      <xdr:rowOff>3380</xdr:rowOff>
    </xdr:from>
    <xdr:ext cx="784510" cy="280205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B800E7BE-1C7A-455F-BFAA-92A029A90DD7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18</xdr:col>
      <xdr:colOff>111356</xdr:colOff>
      <xdr:row>49</xdr:row>
      <xdr:rowOff>185469</xdr:rowOff>
    </xdr:from>
    <xdr:ext cx="784510" cy="280205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75F91442-608E-457F-AD55-B226EC7CB0FE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30</xdr:col>
      <xdr:colOff>140054</xdr:colOff>
      <xdr:row>49</xdr:row>
      <xdr:rowOff>164687</xdr:rowOff>
    </xdr:from>
    <xdr:ext cx="706540" cy="280205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4AC14D81-5147-4473-BC96-987676780EC0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24</xdr:col>
      <xdr:colOff>152465</xdr:colOff>
      <xdr:row>49</xdr:row>
      <xdr:rowOff>168645</xdr:rowOff>
    </xdr:from>
    <xdr:ext cx="784510" cy="280205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FE87DF53-2DFC-4343-989F-5B404C46C79F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36</xdr:col>
      <xdr:colOff>98491</xdr:colOff>
      <xdr:row>49</xdr:row>
      <xdr:rowOff>184973</xdr:rowOff>
    </xdr:from>
    <xdr:ext cx="706540" cy="280205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54A2E08D-A84A-4051-8532-A8D9B9C110DF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48</xdr:col>
      <xdr:colOff>129667</xdr:colOff>
      <xdr:row>49</xdr:row>
      <xdr:rowOff>166666</xdr:rowOff>
    </xdr:from>
    <xdr:ext cx="706540" cy="280205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F95EC57B-BE3F-4184-8A13-BEE94E644AD7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54</xdr:col>
      <xdr:colOff>108885</xdr:colOff>
      <xdr:row>49</xdr:row>
      <xdr:rowOff>170624</xdr:rowOff>
    </xdr:from>
    <xdr:ext cx="706540" cy="280205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9D866FBC-4225-4008-A0E7-DFC48382FA84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0</xdr:col>
      <xdr:colOff>71437</xdr:colOff>
      <xdr:row>55</xdr:row>
      <xdr:rowOff>155760</xdr:rowOff>
    </xdr:from>
    <xdr:ext cx="784510" cy="280205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809E8FEF-135A-4342-961F-B486FEB23191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42</xdr:col>
      <xdr:colOff>158069</xdr:colOff>
      <xdr:row>55</xdr:row>
      <xdr:rowOff>159718</xdr:rowOff>
    </xdr:from>
    <xdr:ext cx="706540" cy="280205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88A85294-A82C-4F11-A28B-0DE02668D9E9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12</xdr:col>
      <xdr:colOff>91724</xdr:colOff>
      <xdr:row>55</xdr:row>
      <xdr:rowOff>151307</xdr:rowOff>
    </xdr:from>
    <xdr:ext cx="784510" cy="280205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DBDC6BCD-A14D-40FE-9D89-FE49C670FF30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6</xdr:col>
      <xdr:colOff>132792</xdr:colOff>
      <xdr:row>55</xdr:row>
      <xdr:rowOff>180005</xdr:rowOff>
    </xdr:from>
    <xdr:ext cx="784510" cy="280205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8F53EC75-1B1B-4317-AEBF-20FD551DB6ED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18</xdr:col>
      <xdr:colOff>124381</xdr:colOff>
      <xdr:row>55</xdr:row>
      <xdr:rowOff>171594</xdr:rowOff>
    </xdr:from>
    <xdr:ext cx="784510" cy="280205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C3157C45-4640-4BA7-A3ED-A0BACA7CAE74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30</xdr:col>
      <xdr:colOff>153079</xdr:colOff>
      <xdr:row>55</xdr:row>
      <xdr:rowOff>150812</xdr:rowOff>
    </xdr:from>
    <xdr:ext cx="706540" cy="280205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2A9732E9-25EB-4C52-907F-168212FDB6BE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24</xdr:col>
      <xdr:colOff>165490</xdr:colOff>
      <xdr:row>55</xdr:row>
      <xdr:rowOff>154770</xdr:rowOff>
    </xdr:from>
    <xdr:ext cx="784510" cy="280205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5B7BF877-611E-436B-BD58-04531FC143F9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36</xdr:col>
      <xdr:colOff>111516</xdr:colOff>
      <xdr:row>55</xdr:row>
      <xdr:rowOff>171098</xdr:rowOff>
    </xdr:from>
    <xdr:ext cx="706540" cy="280205"/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53277C09-4032-4466-B5BB-6A43E41D3E80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49</xdr:col>
      <xdr:colOff>110942</xdr:colOff>
      <xdr:row>54</xdr:row>
      <xdr:rowOff>176604</xdr:rowOff>
    </xdr:from>
    <xdr:ext cx="706540" cy="280205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36C4D080-E251-47A2-9A69-076C13D6B879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54</xdr:col>
      <xdr:colOff>121910</xdr:colOff>
      <xdr:row>55</xdr:row>
      <xdr:rowOff>156749</xdr:rowOff>
    </xdr:from>
    <xdr:ext cx="706540" cy="280205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F25979F2-7E2E-4955-A2A2-DE35DB5DEAAE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0</xdr:col>
      <xdr:colOff>55713</xdr:colOff>
      <xdr:row>61</xdr:row>
      <xdr:rowOff>166480</xdr:rowOff>
    </xdr:from>
    <xdr:ext cx="706540" cy="280205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FCA1FA60-FF24-4AC8-9593-E746D88489FA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42</xdr:col>
      <xdr:colOff>142345</xdr:colOff>
      <xdr:row>61</xdr:row>
      <xdr:rowOff>170438</xdr:rowOff>
    </xdr:from>
    <xdr:ext cx="628570" cy="280205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C98D783F-6891-4CBD-82EA-C15128BA8E5E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12</xdr:col>
      <xdr:colOff>76000</xdr:colOff>
      <xdr:row>61</xdr:row>
      <xdr:rowOff>162027</xdr:rowOff>
    </xdr:from>
    <xdr:ext cx="706540" cy="280205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55B28D46-4D79-4751-962E-5EBD19F85AF7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6</xdr:col>
      <xdr:colOff>117068</xdr:colOff>
      <xdr:row>61</xdr:row>
      <xdr:rowOff>151037</xdr:rowOff>
    </xdr:from>
    <xdr:ext cx="706540" cy="280205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A3043753-7796-41BA-8A31-13978B48AB3F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18</xdr:col>
      <xdr:colOff>132470</xdr:colOff>
      <xdr:row>61</xdr:row>
      <xdr:rowOff>166439</xdr:rowOff>
    </xdr:from>
    <xdr:ext cx="706540" cy="280205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1874D860-8849-43AE-951B-BF5592124C32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30</xdr:col>
      <xdr:colOff>137355</xdr:colOff>
      <xdr:row>61</xdr:row>
      <xdr:rowOff>161532</xdr:rowOff>
    </xdr:from>
    <xdr:ext cx="628570" cy="280205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27EAA8F9-B027-44F3-86DE-CAD5FB9307B4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24</xdr:col>
      <xdr:colOff>149766</xdr:colOff>
      <xdr:row>61</xdr:row>
      <xdr:rowOff>165490</xdr:rowOff>
    </xdr:from>
    <xdr:ext cx="706540" cy="280205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7D863522-9DB8-4DB0-BF40-F8B086CAE7AB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36</xdr:col>
      <xdr:colOff>135479</xdr:colOff>
      <xdr:row>61</xdr:row>
      <xdr:rowOff>173880</xdr:rowOff>
    </xdr:from>
    <xdr:ext cx="628570" cy="280205"/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7C0A01F6-A0DD-4677-B226-B376F7A2FDB8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48</xdr:col>
      <xdr:colOff>126968</xdr:colOff>
      <xdr:row>61</xdr:row>
      <xdr:rowOff>163511</xdr:rowOff>
    </xdr:from>
    <xdr:ext cx="628570" cy="280205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3AEAD02D-BA03-4AE2-987C-FF01A5800276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54</xdr:col>
      <xdr:colOff>106186</xdr:colOff>
      <xdr:row>61</xdr:row>
      <xdr:rowOff>167469</xdr:rowOff>
    </xdr:from>
    <xdr:ext cx="628570" cy="280205"/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0FA7C737-71D1-4F7B-AE31-95369D8F17CF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0</xdr:col>
      <xdr:colOff>104926</xdr:colOff>
      <xdr:row>67</xdr:row>
      <xdr:rowOff>152193</xdr:rowOff>
    </xdr:from>
    <xdr:ext cx="706540" cy="280205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4C00FB20-5E5F-47A4-A2FA-A45DE88686D9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42</xdr:col>
      <xdr:colOff>191558</xdr:colOff>
      <xdr:row>67</xdr:row>
      <xdr:rowOff>156151</xdr:rowOff>
    </xdr:from>
    <xdr:ext cx="628570" cy="280205"/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289D9167-1E41-4D9E-B9D5-3E703393519E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12</xdr:col>
      <xdr:colOff>125213</xdr:colOff>
      <xdr:row>67</xdr:row>
      <xdr:rowOff>147740</xdr:rowOff>
    </xdr:from>
    <xdr:ext cx="706540" cy="280205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1BDF2A3B-43A5-4061-BC82-5A69B1C0A0AA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6</xdr:col>
      <xdr:colOff>166281</xdr:colOff>
      <xdr:row>67</xdr:row>
      <xdr:rowOff>136750</xdr:rowOff>
    </xdr:from>
    <xdr:ext cx="706540" cy="280205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9F980DC2-55E4-4151-B60D-AD9123ECDD6E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18</xdr:col>
      <xdr:colOff>181683</xdr:colOff>
      <xdr:row>67</xdr:row>
      <xdr:rowOff>152152</xdr:rowOff>
    </xdr:from>
    <xdr:ext cx="706540" cy="280205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FFDFF0DC-0068-4A81-A6B1-7D969C532F26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30</xdr:col>
      <xdr:colOff>186568</xdr:colOff>
      <xdr:row>67</xdr:row>
      <xdr:rowOff>147245</xdr:rowOff>
    </xdr:from>
    <xdr:ext cx="628570" cy="280205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61887404-DBB3-49DC-8C84-F976140A2AAD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24</xdr:col>
      <xdr:colOff>198979</xdr:colOff>
      <xdr:row>67</xdr:row>
      <xdr:rowOff>151203</xdr:rowOff>
    </xdr:from>
    <xdr:ext cx="706540" cy="280205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C675C42B-D9B6-48C2-84F0-2F944954868B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36</xdr:col>
      <xdr:colOff>184692</xdr:colOff>
      <xdr:row>67</xdr:row>
      <xdr:rowOff>159593</xdr:rowOff>
    </xdr:from>
    <xdr:ext cx="628570" cy="280205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79A8D696-C413-4325-AE73-7386B2722AE8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48</xdr:col>
      <xdr:colOff>176181</xdr:colOff>
      <xdr:row>67</xdr:row>
      <xdr:rowOff>149224</xdr:rowOff>
    </xdr:from>
    <xdr:ext cx="628570" cy="280205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0DEE4970-F959-4D41-BAB9-0520DCAB47DA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54</xdr:col>
      <xdr:colOff>155399</xdr:colOff>
      <xdr:row>67</xdr:row>
      <xdr:rowOff>153182</xdr:rowOff>
    </xdr:from>
    <xdr:ext cx="628570" cy="280205"/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7E217D09-48F5-479E-996D-6A84B3442406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0</xdr:col>
      <xdr:colOff>98576</xdr:colOff>
      <xdr:row>73</xdr:row>
      <xdr:rowOff>145843</xdr:rowOff>
    </xdr:from>
    <xdr:ext cx="706540" cy="280205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63EB45FF-B5D8-4F14-9EAD-41B3B4611825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42</xdr:col>
      <xdr:colOff>185208</xdr:colOff>
      <xdr:row>73</xdr:row>
      <xdr:rowOff>149801</xdr:rowOff>
    </xdr:from>
    <xdr:ext cx="628570" cy="280205"/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id="{F1E63036-BD4A-4F40-BF98-406AE65DD325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12</xdr:col>
      <xdr:colOff>118863</xdr:colOff>
      <xdr:row>73</xdr:row>
      <xdr:rowOff>141390</xdr:rowOff>
    </xdr:from>
    <xdr:ext cx="706540" cy="280205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05AEABA1-C0D2-491F-B809-2AE61C83F47D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6</xdr:col>
      <xdr:colOff>159931</xdr:colOff>
      <xdr:row>73</xdr:row>
      <xdr:rowOff>130400</xdr:rowOff>
    </xdr:from>
    <xdr:ext cx="706540" cy="280205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06D40DBC-7B62-4A1E-8158-D84133FD4077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18</xdr:col>
      <xdr:colOff>175333</xdr:colOff>
      <xdr:row>73</xdr:row>
      <xdr:rowOff>145802</xdr:rowOff>
    </xdr:from>
    <xdr:ext cx="706540" cy="280205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C82C0964-3967-4FA4-B27F-8D799EB71CD7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30</xdr:col>
      <xdr:colOff>180218</xdr:colOff>
      <xdr:row>73</xdr:row>
      <xdr:rowOff>140895</xdr:rowOff>
    </xdr:from>
    <xdr:ext cx="628570" cy="280205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D2E72F1D-D317-4885-B599-AF53B1DE7A81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24</xdr:col>
      <xdr:colOff>192629</xdr:colOff>
      <xdr:row>73</xdr:row>
      <xdr:rowOff>144853</xdr:rowOff>
    </xdr:from>
    <xdr:ext cx="706540" cy="280205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D0A83199-B2F2-4A30-859D-376B49368BCD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36</xdr:col>
      <xdr:colOff>178342</xdr:colOff>
      <xdr:row>73</xdr:row>
      <xdr:rowOff>153243</xdr:rowOff>
    </xdr:from>
    <xdr:ext cx="628570" cy="280205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209740BD-D6F5-4940-A4AE-713F96157561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48</xdr:col>
      <xdr:colOff>169831</xdr:colOff>
      <xdr:row>73</xdr:row>
      <xdr:rowOff>142874</xdr:rowOff>
    </xdr:from>
    <xdr:ext cx="628570" cy="280205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649C9207-F334-433D-9A9A-46E7523507C8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54</xdr:col>
      <xdr:colOff>149049</xdr:colOff>
      <xdr:row>73</xdr:row>
      <xdr:rowOff>146832</xdr:rowOff>
    </xdr:from>
    <xdr:ext cx="628570" cy="280205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C74C3767-1BC1-4989-98FF-AEA8A3242318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oneCellAnchor>
    <xdr:from>
      <xdr:col>0</xdr:col>
      <xdr:colOff>98576</xdr:colOff>
      <xdr:row>79</xdr:row>
      <xdr:rowOff>145843</xdr:rowOff>
    </xdr:from>
    <xdr:ext cx="706540" cy="280205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F47292B1-F88F-4BFF-8F8D-43DE08C4D330}"/>
            </a:ext>
          </a:extLst>
        </xdr:cNvPr>
        <xdr:cNvSpPr txBox="1"/>
      </xdr:nvSpPr>
      <xdr:spPr>
        <a:xfrm>
          <a:off x="517676" y="16766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6N-14W</a:t>
          </a:r>
        </a:p>
      </xdr:txBody>
    </xdr:sp>
    <xdr:clientData/>
  </xdr:oneCellAnchor>
  <xdr:oneCellAnchor>
    <xdr:from>
      <xdr:col>42</xdr:col>
      <xdr:colOff>185208</xdr:colOff>
      <xdr:row>79</xdr:row>
      <xdr:rowOff>149801</xdr:rowOff>
    </xdr:from>
    <xdr:ext cx="628570" cy="280205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A2CE707E-525E-4D11-9176-0BCCEF27298A}"/>
            </a:ext>
          </a:extLst>
        </xdr:cNvPr>
        <xdr:cNvSpPr txBox="1"/>
      </xdr:nvSpPr>
      <xdr:spPr>
        <a:xfrm>
          <a:off x="9405408" y="16770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6N-7W</a:t>
          </a:r>
        </a:p>
      </xdr:txBody>
    </xdr:sp>
    <xdr:clientData/>
  </xdr:oneCellAnchor>
  <xdr:oneCellAnchor>
    <xdr:from>
      <xdr:col>12</xdr:col>
      <xdr:colOff>118863</xdr:colOff>
      <xdr:row>79</xdr:row>
      <xdr:rowOff>141390</xdr:rowOff>
    </xdr:from>
    <xdr:ext cx="706540" cy="280205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80F7133C-7DDC-4F73-A8D2-70D4D4B59ADB}"/>
            </a:ext>
          </a:extLst>
        </xdr:cNvPr>
        <xdr:cNvSpPr txBox="1"/>
      </xdr:nvSpPr>
      <xdr:spPr>
        <a:xfrm>
          <a:off x="3052563" y="16762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6N-12W</a:t>
          </a:r>
        </a:p>
      </xdr:txBody>
    </xdr:sp>
    <xdr:clientData/>
  </xdr:oneCellAnchor>
  <xdr:oneCellAnchor>
    <xdr:from>
      <xdr:col>6</xdr:col>
      <xdr:colOff>159931</xdr:colOff>
      <xdr:row>79</xdr:row>
      <xdr:rowOff>130400</xdr:rowOff>
    </xdr:from>
    <xdr:ext cx="706540" cy="280205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E1C06076-0B17-4409-AB22-A9BDABF7CEE6}"/>
            </a:ext>
          </a:extLst>
        </xdr:cNvPr>
        <xdr:cNvSpPr txBox="1"/>
      </xdr:nvSpPr>
      <xdr:spPr>
        <a:xfrm>
          <a:off x="1836331" y="16751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6N-13W</a:t>
          </a:r>
        </a:p>
      </xdr:txBody>
    </xdr:sp>
    <xdr:clientData/>
  </xdr:oneCellAnchor>
  <xdr:oneCellAnchor>
    <xdr:from>
      <xdr:col>18</xdr:col>
      <xdr:colOff>175333</xdr:colOff>
      <xdr:row>79</xdr:row>
      <xdr:rowOff>145802</xdr:rowOff>
    </xdr:from>
    <xdr:ext cx="706540" cy="280205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AA755340-B827-4EB2-A952-449DD3010191}"/>
            </a:ext>
          </a:extLst>
        </xdr:cNvPr>
        <xdr:cNvSpPr txBox="1"/>
      </xdr:nvSpPr>
      <xdr:spPr>
        <a:xfrm>
          <a:off x="4366333" y="16766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6N-11W</a:t>
          </a:r>
        </a:p>
      </xdr:txBody>
    </xdr:sp>
    <xdr:clientData/>
  </xdr:oneCellAnchor>
  <xdr:oneCellAnchor>
    <xdr:from>
      <xdr:col>30</xdr:col>
      <xdr:colOff>180218</xdr:colOff>
      <xdr:row>79</xdr:row>
      <xdr:rowOff>140895</xdr:rowOff>
    </xdr:from>
    <xdr:ext cx="628570" cy="280205"/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E9BDB4BC-893A-44E5-867F-BC9ABEAA2E75}"/>
            </a:ext>
          </a:extLst>
        </xdr:cNvPr>
        <xdr:cNvSpPr txBox="1"/>
      </xdr:nvSpPr>
      <xdr:spPr>
        <a:xfrm>
          <a:off x="6885818" y="16762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6N-9W</a:t>
          </a:r>
        </a:p>
      </xdr:txBody>
    </xdr:sp>
    <xdr:clientData/>
  </xdr:oneCellAnchor>
  <xdr:oneCellAnchor>
    <xdr:from>
      <xdr:col>24</xdr:col>
      <xdr:colOff>192629</xdr:colOff>
      <xdr:row>79</xdr:row>
      <xdr:rowOff>144853</xdr:rowOff>
    </xdr:from>
    <xdr:ext cx="706540" cy="280205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C64F79A7-1D85-406E-8950-DA20570E2F73}"/>
            </a:ext>
          </a:extLst>
        </xdr:cNvPr>
        <xdr:cNvSpPr txBox="1"/>
      </xdr:nvSpPr>
      <xdr:spPr>
        <a:xfrm>
          <a:off x="5640929" y="16765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6N-10W</a:t>
          </a:r>
        </a:p>
      </xdr:txBody>
    </xdr:sp>
    <xdr:clientData/>
  </xdr:oneCellAnchor>
  <xdr:oneCellAnchor>
    <xdr:from>
      <xdr:col>36</xdr:col>
      <xdr:colOff>178342</xdr:colOff>
      <xdr:row>79</xdr:row>
      <xdr:rowOff>153243</xdr:rowOff>
    </xdr:from>
    <xdr:ext cx="628570" cy="280205"/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7C180356-98D7-4BF7-992B-FAB5C6287D52}"/>
            </a:ext>
          </a:extLst>
        </xdr:cNvPr>
        <xdr:cNvSpPr txBox="1"/>
      </xdr:nvSpPr>
      <xdr:spPr>
        <a:xfrm>
          <a:off x="8141242" y="16774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6N-8W</a:t>
          </a:r>
        </a:p>
      </xdr:txBody>
    </xdr:sp>
    <xdr:clientData/>
  </xdr:oneCellAnchor>
  <xdr:oneCellAnchor>
    <xdr:from>
      <xdr:col>48</xdr:col>
      <xdr:colOff>169831</xdr:colOff>
      <xdr:row>79</xdr:row>
      <xdr:rowOff>142874</xdr:rowOff>
    </xdr:from>
    <xdr:ext cx="628570" cy="280205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4A05C65E-A136-4FC7-A596-8DE9BBD9B5B0}"/>
            </a:ext>
          </a:extLst>
        </xdr:cNvPr>
        <xdr:cNvSpPr txBox="1"/>
      </xdr:nvSpPr>
      <xdr:spPr>
        <a:xfrm>
          <a:off x="10647331" y="16763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6N-6W</a:t>
          </a:r>
        </a:p>
      </xdr:txBody>
    </xdr:sp>
    <xdr:clientData/>
  </xdr:oneCellAnchor>
  <xdr:oneCellAnchor>
    <xdr:from>
      <xdr:col>54</xdr:col>
      <xdr:colOff>149049</xdr:colOff>
      <xdr:row>79</xdr:row>
      <xdr:rowOff>146832</xdr:rowOff>
    </xdr:from>
    <xdr:ext cx="628570" cy="280205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667560A8-D689-48AF-8C40-CC66FA4C059A}"/>
            </a:ext>
          </a:extLst>
        </xdr:cNvPr>
        <xdr:cNvSpPr txBox="1"/>
      </xdr:nvSpPr>
      <xdr:spPr>
        <a:xfrm>
          <a:off x="11883849" y="16767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6N-5W</a:t>
          </a:r>
        </a:p>
      </xdr:txBody>
    </xdr:sp>
    <xdr:clientData/>
  </xdr:oneCellAnchor>
  <xdr:oneCellAnchor>
    <xdr:from>
      <xdr:col>0</xdr:col>
      <xdr:colOff>98576</xdr:colOff>
      <xdr:row>85</xdr:row>
      <xdr:rowOff>145843</xdr:rowOff>
    </xdr:from>
    <xdr:ext cx="706540" cy="280205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4028EA1B-DAC9-4571-85A9-6DBCA6E3046A}"/>
            </a:ext>
          </a:extLst>
        </xdr:cNvPr>
        <xdr:cNvSpPr txBox="1"/>
      </xdr:nvSpPr>
      <xdr:spPr>
        <a:xfrm>
          <a:off x="517676" y="17909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5N-14W</a:t>
          </a:r>
        </a:p>
      </xdr:txBody>
    </xdr:sp>
    <xdr:clientData/>
  </xdr:oneCellAnchor>
  <xdr:oneCellAnchor>
    <xdr:from>
      <xdr:col>42</xdr:col>
      <xdr:colOff>185208</xdr:colOff>
      <xdr:row>85</xdr:row>
      <xdr:rowOff>149801</xdr:rowOff>
    </xdr:from>
    <xdr:ext cx="628570" cy="280205"/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58348DEB-7873-4236-B57C-EC8B58705836}"/>
            </a:ext>
          </a:extLst>
        </xdr:cNvPr>
        <xdr:cNvSpPr txBox="1"/>
      </xdr:nvSpPr>
      <xdr:spPr>
        <a:xfrm>
          <a:off x="9405408" y="17913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5N-7W</a:t>
          </a:r>
        </a:p>
      </xdr:txBody>
    </xdr:sp>
    <xdr:clientData/>
  </xdr:oneCellAnchor>
  <xdr:oneCellAnchor>
    <xdr:from>
      <xdr:col>12</xdr:col>
      <xdr:colOff>118863</xdr:colOff>
      <xdr:row>85</xdr:row>
      <xdr:rowOff>141390</xdr:rowOff>
    </xdr:from>
    <xdr:ext cx="706540" cy="280205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E196F1F3-0F94-4C4B-9C96-0857EAAC26F5}"/>
            </a:ext>
          </a:extLst>
        </xdr:cNvPr>
        <xdr:cNvSpPr txBox="1"/>
      </xdr:nvSpPr>
      <xdr:spPr>
        <a:xfrm>
          <a:off x="3052563" y="17905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5N-12W</a:t>
          </a:r>
        </a:p>
      </xdr:txBody>
    </xdr:sp>
    <xdr:clientData/>
  </xdr:oneCellAnchor>
  <xdr:oneCellAnchor>
    <xdr:from>
      <xdr:col>6</xdr:col>
      <xdr:colOff>159931</xdr:colOff>
      <xdr:row>85</xdr:row>
      <xdr:rowOff>130400</xdr:rowOff>
    </xdr:from>
    <xdr:ext cx="706540" cy="280205"/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B396CFB9-F02A-4F57-9F82-30490E7C21B2}"/>
            </a:ext>
          </a:extLst>
        </xdr:cNvPr>
        <xdr:cNvSpPr txBox="1"/>
      </xdr:nvSpPr>
      <xdr:spPr>
        <a:xfrm>
          <a:off x="1836331" y="17894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5N-13W</a:t>
          </a:r>
        </a:p>
      </xdr:txBody>
    </xdr:sp>
    <xdr:clientData/>
  </xdr:oneCellAnchor>
  <xdr:oneCellAnchor>
    <xdr:from>
      <xdr:col>18</xdr:col>
      <xdr:colOff>175333</xdr:colOff>
      <xdr:row>85</xdr:row>
      <xdr:rowOff>145802</xdr:rowOff>
    </xdr:from>
    <xdr:ext cx="706540" cy="280205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E0E55CCC-7B00-4E62-A306-C3F48E998882}"/>
            </a:ext>
          </a:extLst>
        </xdr:cNvPr>
        <xdr:cNvSpPr txBox="1"/>
      </xdr:nvSpPr>
      <xdr:spPr>
        <a:xfrm>
          <a:off x="4366333" y="17909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5N-11W</a:t>
          </a:r>
        </a:p>
      </xdr:txBody>
    </xdr:sp>
    <xdr:clientData/>
  </xdr:oneCellAnchor>
  <xdr:oneCellAnchor>
    <xdr:from>
      <xdr:col>30</xdr:col>
      <xdr:colOff>180218</xdr:colOff>
      <xdr:row>85</xdr:row>
      <xdr:rowOff>140895</xdr:rowOff>
    </xdr:from>
    <xdr:ext cx="628570" cy="280205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AEE53489-FD47-4DB7-B983-BDCDEB309D7F}"/>
            </a:ext>
          </a:extLst>
        </xdr:cNvPr>
        <xdr:cNvSpPr txBox="1"/>
      </xdr:nvSpPr>
      <xdr:spPr>
        <a:xfrm>
          <a:off x="6885818" y="17905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5N-9W</a:t>
          </a:r>
        </a:p>
      </xdr:txBody>
    </xdr:sp>
    <xdr:clientData/>
  </xdr:oneCellAnchor>
  <xdr:oneCellAnchor>
    <xdr:from>
      <xdr:col>24</xdr:col>
      <xdr:colOff>192629</xdr:colOff>
      <xdr:row>85</xdr:row>
      <xdr:rowOff>144853</xdr:rowOff>
    </xdr:from>
    <xdr:ext cx="706540" cy="280205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D2E731B9-E3A4-43B7-8CBB-6A32A802BE57}"/>
            </a:ext>
          </a:extLst>
        </xdr:cNvPr>
        <xdr:cNvSpPr txBox="1"/>
      </xdr:nvSpPr>
      <xdr:spPr>
        <a:xfrm>
          <a:off x="5640929" y="17908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5N-10W</a:t>
          </a:r>
        </a:p>
      </xdr:txBody>
    </xdr:sp>
    <xdr:clientData/>
  </xdr:oneCellAnchor>
  <xdr:oneCellAnchor>
    <xdr:from>
      <xdr:col>36</xdr:col>
      <xdr:colOff>178342</xdr:colOff>
      <xdr:row>85</xdr:row>
      <xdr:rowOff>153243</xdr:rowOff>
    </xdr:from>
    <xdr:ext cx="628570" cy="28020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403356D2-2CE7-4CAA-8700-76BC48362039}"/>
            </a:ext>
          </a:extLst>
        </xdr:cNvPr>
        <xdr:cNvSpPr txBox="1"/>
      </xdr:nvSpPr>
      <xdr:spPr>
        <a:xfrm>
          <a:off x="8141242" y="17917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5N-8W</a:t>
          </a:r>
        </a:p>
      </xdr:txBody>
    </xdr:sp>
    <xdr:clientData/>
  </xdr:oneCellAnchor>
  <xdr:oneCellAnchor>
    <xdr:from>
      <xdr:col>48</xdr:col>
      <xdr:colOff>169831</xdr:colOff>
      <xdr:row>85</xdr:row>
      <xdr:rowOff>142874</xdr:rowOff>
    </xdr:from>
    <xdr:ext cx="628570" cy="280205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3A0927B2-EFFF-47F5-B3B3-B9BE219F5A67}"/>
            </a:ext>
          </a:extLst>
        </xdr:cNvPr>
        <xdr:cNvSpPr txBox="1"/>
      </xdr:nvSpPr>
      <xdr:spPr>
        <a:xfrm>
          <a:off x="10647331" y="17906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5N-6W</a:t>
          </a:r>
        </a:p>
      </xdr:txBody>
    </xdr:sp>
    <xdr:clientData/>
  </xdr:oneCellAnchor>
  <xdr:oneCellAnchor>
    <xdr:from>
      <xdr:col>54</xdr:col>
      <xdr:colOff>149049</xdr:colOff>
      <xdr:row>85</xdr:row>
      <xdr:rowOff>146832</xdr:rowOff>
    </xdr:from>
    <xdr:ext cx="628570" cy="280205"/>
    <xdr:sp macro="" textlink="">
      <xdr:nvSpPr>
        <xdr:cNvPr id="173" name="TextBox 172">
          <a:extLst>
            <a:ext uri="{FF2B5EF4-FFF2-40B4-BE49-F238E27FC236}">
              <a16:creationId xmlns:a16="http://schemas.microsoft.com/office/drawing/2014/main" id="{D915F2A6-E8F9-4905-941F-1BE4FAAF9315}"/>
            </a:ext>
          </a:extLst>
        </xdr:cNvPr>
        <xdr:cNvSpPr txBox="1"/>
      </xdr:nvSpPr>
      <xdr:spPr>
        <a:xfrm>
          <a:off x="11883849" y="17910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5N-5W</a:t>
          </a:r>
        </a:p>
      </xdr:txBody>
    </xdr:sp>
    <xdr:clientData/>
  </xdr:oneCellAnchor>
  <xdr:oneCellAnchor>
    <xdr:from>
      <xdr:col>0</xdr:col>
      <xdr:colOff>98576</xdr:colOff>
      <xdr:row>91</xdr:row>
      <xdr:rowOff>145843</xdr:rowOff>
    </xdr:from>
    <xdr:ext cx="706540" cy="280205"/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7B2C6501-EAF0-41B7-8CB7-422BF3E12E8F}"/>
            </a:ext>
          </a:extLst>
        </xdr:cNvPr>
        <xdr:cNvSpPr txBox="1"/>
      </xdr:nvSpPr>
      <xdr:spPr>
        <a:xfrm>
          <a:off x="517676" y="19052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4N-14W</a:t>
          </a:r>
        </a:p>
      </xdr:txBody>
    </xdr:sp>
    <xdr:clientData/>
  </xdr:oneCellAnchor>
  <xdr:oneCellAnchor>
    <xdr:from>
      <xdr:col>42</xdr:col>
      <xdr:colOff>185208</xdr:colOff>
      <xdr:row>91</xdr:row>
      <xdr:rowOff>149801</xdr:rowOff>
    </xdr:from>
    <xdr:ext cx="628570" cy="28020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BD68744F-6B20-4357-A7FD-D3037ECA288A}"/>
            </a:ext>
          </a:extLst>
        </xdr:cNvPr>
        <xdr:cNvSpPr txBox="1"/>
      </xdr:nvSpPr>
      <xdr:spPr>
        <a:xfrm>
          <a:off x="9405408" y="19056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4N-7W</a:t>
          </a:r>
        </a:p>
      </xdr:txBody>
    </xdr:sp>
    <xdr:clientData/>
  </xdr:oneCellAnchor>
  <xdr:oneCellAnchor>
    <xdr:from>
      <xdr:col>12</xdr:col>
      <xdr:colOff>118863</xdr:colOff>
      <xdr:row>91</xdr:row>
      <xdr:rowOff>141390</xdr:rowOff>
    </xdr:from>
    <xdr:ext cx="706540" cy="280205"/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CE44034D-D87E-4DA8-BCAE-DB46914C1BE3}"/>
            </a:ext>
          </a:extLst>
        </xdr:cNvPr>
        <xdr:cNvSpPr txBox="1"/>
      </xdr:nvSpPr>
      <xdr:spPr>
        <a:xfrm>
          <a:off x="3052563" y="19048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4N-12W</a:t>
          </a:r>
        </a:p>
      </xdr:txBody>
    </xdr:sp>
    <xdr:clientData/>
  </xdr:oneCellAnchor>
  <xdr:oneCellAnchor>
    <xdr:from>
      <xdr:col>6</xdr:col>
      <xdr:colOff>159931</xdr:colOff>
      <xdr:row>91</xdr:row>
      <xdr:rowOff>130400</xdr:rowOff>
    </xdr:from>
    <xdr:ext cx="706540" cy="280205"/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6899FC7D-9837-4DDB-9298-E64E5686ADB6}"/>
            </a:ext>
          </a:extLst>
        </xdr:cNvPr>
        <xdr:cNvSpPr txBox="1"/>
      </xdr:nvSpPr>
      <xdr:spPr>
        <a:xfrm>
          <a:off x="1836331" y="19037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4N-13W</a:t>
          </a:r>
        </a:p>
      </xdr:txBody>
    </xdr:sp>
    <xdr:clientData/>
  </xdr:oneCellAnchor>
  <xdr:oneCellAnchor>
    <xdr:from>
      <xdr:col>18</xdr:col>
      <xdr:colOff>175333</xdr:colOff>
      <xdr:row>91</xdr:row>
      <xdr:rowOff>145802</xdr:rowOff>
    </xdr:from>
    <xdr:ext cx="706540" cy="280205"/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F7CC1703-ACDC-43B3-8EF0-6220D035ADFB}"/>
            </a:ext>
          </a:extLst>
        </xdr:cNvPr>
        <xdr:cNvSpPr txBox="1"/>
      </xdr:nvSpPr>
      <xdr:spPr>
        <a:xfrm>
          <a:off x="4366333" y="19052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4N-11W</a:t>
          </a:r>
        </a:p>
      </xdr:txBody>
    </xdr:sp>
    <xdr:clientData/>
  </xdr:oneCellAnchor>
  <xdr:oneCellAnchor>
    <xdr:from>
      <xdr:col>30</xdr:col>
      <xdr:colOff>180218</xdr:colOff>
      <xdr:row>91</xdr:row>
      <xdr:rowOff>140895</xdr:rowOff>
    </xdr:from>
    <xdr:ext cx="628570" cy="280205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2A9F2192-EF1C-4CF9-AF57-22F76BCC5077}"/>
            </a:ext>
          </a:extLst>
        </xdr:cNvPr>
        <xdr:cNvSpPr txBox="1"/>
      </xdr:nvSpPr>
      <xdr:spPr>
        <a:xfrm>
          <a:off x="6885818" y="19048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4N-9W</a:t>
          </a:r>
        </a:p>
      </xdr:txBody>
    </xdr:sp>
    <xdr:clientData/>
  </xdr:oneCellAnchor>
  <xdr:oneCellAnchor>
    <xdr:from>
      <xdr:col>24</xdr:col>
      <xdr:colOff>192629</xdr:colOff>
      <xdr:row>91</xdr:row>
      <xdr:rowOff>144853</xdr:rowOff>
    </xdr:from>
    <xdr:ext cx="706540" cy="280205"/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7BCF3EAB-0E70-4A91-A8A8-31564DE1F351}"/>
            </a:ext>
          </a:extLst>
        </xdr:cNvPr>
        <xdr:cNvSpPr txBox="1"/>
      </xdr:nvSpPr>
      <xdr:spPr>
        <a:xfrm>
          <a:off x="5640929" y="19051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4N-10W</a:t>
          </a:r>
        </a:p>
      </xdr:txBody>
    </xdr:sp>
    <xdr:clientData/>
  </xdr:oneCellAnchor>
  <xdr:oneCellAnchor>
    <xdr:from>
      <xdr:col>36</xdr:col>
      <xdr:colOff>178342</xdr:colOff>
      <xdr:row>91</xdr:row>
      <xdr:rowOff>153243</xdr:rowOff>
    </xdr:from>
    <xdr:ext cx="628570" cy="280205"/>
    <xdr:sp macro="" textlink="">
      <xdr:nvSpPr>
        <xdr:cNvPr id="181" name="TextBox 180">
          <a:extLst>
            <a:ext uri="{FF2B5EF4-FFF2-40B4-BE49-F238E27FC236}">
              <a16:creationId xmlns:a16="http://schemas.microsoft.com/office/drawing/2014/main" id="{46D7042D-9134-48C0-AC47-181787A144A4}"/>
            </a:ext>
          </a:extLst>
        </xdr:cNvPr>
        <xdr:cNvSpPr txBox="1"/>
      </xdr:nvSpPr>
      <xdr:spPr>
        <a:xfrm>
          <a:off x="8141242" y="19060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4N-8W</a:t>
          </a:r>
        </a:p>
      </xdr:txBody>
    </xdr:sp>
    <xdr:clientData/>
  </xdr:oneCellAnchor>
  <xdr:oneCellAnchor>
    <xdr:from>
      <xdr:col>48</xdr:col>
      <xdr:colOff>169831</xdr:colOff>
      <xdr:row>91</xdr:row>
      <xdr:rowOff>142874</xdr:rowOff>
    </xdr:from>
    <xdr:ext cx="628570" cy="280205"/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FD46060E-22EB-4CCC-904B-9C33CA1750F2}"/>
            </a:ext>
          </a:extLst>
        </xdr:cNvPr>
        <xdr:cNvSpPr txBox="1"/>
      </xdr:nvSpPr>
      <xdr:spPr>
        <a:xfrm>
          <a:off x="10647331" y="19049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4N-6W</a:t>
          </a:r>
        </a:p>
      </xdr:txBody>
    </xdr:sp>
    <xdr:clientData/>
  </xdr:oneCellAnchor>
  <xdr:oneCellAnchor>
    <xdr:from>
      <xdr:col>54</xdr:col>
      <xdr:colOff>149049</xdr:colOff>
      <xdr:row>91</xdr:row>
      <xdr:rowOff>146832</xdr:rowOff>
    </xdr:from>
    <xdr:ext cx="628570" cy="280205"/>
    <xdr:sp macro="" textlink="">
      <xdr:nvSpPr>
        <xdr:cNvPr id="183" name="TextBox 182">
          <a:extLst>
            <a:ext uri="{FF2B5EF4-FFF2-40B4-BE49-F238E27FC236}">
              <a16:creationId xmlns:a16="http://schemas.microsoft.com/office/drawing/2014/main" id="{41E0A894-C7AD-4AD6-8CA5-5A96E6A450AC}"/>
            </a:ext>
          </a:extLst>
        </xdr:cNvPr>
        <xdr:cNvSpPr txBox="1"/>
      </xdr:nvSpPr>
      <xdr:spPr>
        <a:xfrm>
          <a:off x="11883849" y="19053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4N-5W</a:t>
          </a:r>
        </a:p>
      </xdr:txBody>
    </xdr:sp>
    <xdr:clientData/>
  </xdr:oneCellAnchor>
  <xdr:oneCellAnchor>
    <xdr:from>
      <xdr:col>61</xdr:col>
      <xdr:colOff>147788</xdr:colOff>
      <xdr:row>70</xdr:row>
      <xdr:rowOff>47232</xdr:rowOff>
    </xdr:from>
    <xdr:ext cx="2121606" cy="718466"/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C00B68A1-6B20-4A4C-A3C0-88B7F45B638D}"/>
            </a:ext>
          </a:extLst>
        </xdr:cNvPr>
        <xdr:cNvSpPr txBox="1"/>
      </xdr:nvSpPr>
      <xdr:spPr>
        <a:xfrm>
          <a:off x="13349438" y="14953857"/>
          <a:ext cx="21216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McCLAIN</a:t>
          </a:r>
        </a:p>
      </xdr:txBody>
    </xdr:sp>
    <xdr:clientData/>
  </xdr:oneCellAnchor>
  <xdr:oneCellAnchor>
    <xdr:from>
      <xdr:col>61</xdr:col>
      <xdr:colOff>77611</xdr:colOff>
      <xdr:row>61</xdr:row>
      <xdr:rowOff>148419</xdr:rowOff>
    </xdr:from>
    <xdr:ext cx="628570" cy="280205"/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id="{EA0B2412-AD13-4B42-B75E-B1FFFE4195AA}"/>
            </a:ext>
          </a:extLst>
        </xdr:cNvPr>
        <xdr:cNvSpPr txBox="1"/>
      </xdr:nvSpPr>
      <xdr:spPr>
        <a:xfrm>
          <a:off x="13279261" y="1334054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9N-4W</a:t>
          </a:r>
        </a:p>
      </xdr:txBody>
    </xdr:sp>
    <xdr:clientData/>
  </xdr:oneCellAnchor>
  <xdr:oneCellAnchor>
    <xdr:from>
      <xdr:col>61</xdr:col>
      <xdr:colOff>66675</xdr:colOff>
      <xdr:row>67</xdr:row>
      <xdr:rowOff>161925</xdr:rowOff>
    </xdr:from>
    <xdr:ext cx="628570" cy="280205"/>
    <xdr:sp macro="" textlink="">
      <xdr:nvSpPr>
        <xdr:cNvPr id="186" name="TextBox 185">
          <a:extLst>
            <a:ext uri="{FF2B5EF4-FFF2-40B4-BE49-F238E27FC236}">
              <a16:creationId xmlns:a16="http://schemas.microsoft.com/office/drawing/2014/main" id="{D00CEF1B-CFDE-4C0A-BBE5-1D8AC47E5B71}"/>
            </a:ext>
          </a:extLst>
        </xdr:cNvPr>
        <xdr:cNvSpPr txBox="1"/>
      </xdr:nvSpPr>
      <xdr:spPr>
        <a:xfrm>
          <a:off x="13268325" y="14497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8N-4W</a:t>
          </a:r>
        </a:p>
      </xdr:txBody>
    </xdr:sp>
    <xdr:clientData/>
  </xdr:oneCellAnchor>
  <xdr:oneCellAnchor>
    <xdr:from>
      <xdr:col>66</xdr:col>
      <xdr:colOff>180975</xdr:colOff>
      <xdr:row>62</xdr:row>
      <xdr:rowOff>161925</xdr:rowOff>
    </xdr:from>
    <xdr:ext cx="628570" cy="468077"/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6D3EF160-2D57-4DD1-82C6-9757340E5CE1}"/>
            </a:ext>
          </a:extLst>
        </xdr:cNvPr>
        <xdr:cNvSpPr txBox="1"/>
      </xdr:nvSpPr>
      <xdr:spPr>
        <a:xfrm>
          <a:off x="14430375" y="13544550"/>
          <a:ext cx="62857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9N-3W</a:t>
          </a:r>
        </a:p>
        <a:p>
          <a:endParaRPr lang="en-US" sz="1200" b="1"/>
        </a:p>
      </xdr:txBody>
    </xdr:sp>
    <xdr:clientData/>
  </xdr:oneCellAnchor>
  <xdr:oneCellAnchor>
    <xdr:from>
      <xdr:col>67</xdr:col>
      <xdr:colOff>19050</xdr:colOff>
      <xdr:row>68</xdr:row>
      <xdr:rowOff>0</xdr:rowOff>
    </xdr:from>
    <xdr:ext cx="628570" cy="280205"/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FDAC496E-432B-4929-8FA7-41832B4F02AA}"/>
            </a:ext>
          </a:extLst>
        </xdr:cNvPr>
        <xdr:cNvSpPr txBox="1"/>
      </xdr:nvSpPr>
      <xdr:spPr>
        <a:xfrm>
          <a:off x="14478000" y="14525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8N-3W</a:t>
          </a:r>
        </a:p>
      </xdr:txBody>
    </xdr:sp>
    <xdr:clientData/>
  </xdr:oneCellAnchor>
  <xdr:oneCellAnchor>
    <xdr:from>
      <xdr:col>60</xdr:col>
      <xdr:colOff>171450</xdr:colOff>
      <xdr:row>73</xdr:row>
      <xdr:rowOff>152400</xdr:rowOff>
    </xdr:from>
    <xdr:ext cx="628570" cy="280205"/>
    <xdr:sp macro="" textlink="">
      <xdr:nvSpPr>
        <xdr:cNvPr id="189" name="TextBox 188">
          <a:extLst>
            <a:ext uri="{FF2B5EF4-FFF2-40B4-BE49-F238E27FC236}">
              <a16:creationId xmlns:a16="http://schemas.microsoft.com/office/drawing/2014/main" id="{297745D4-B541-45FE-9878-046EFA8D24BC}"/>
            </a:ext>
          </a:extLst>
        </xdr:cNvPr>
        <xdr:cNvSpPr txBox="1"/>
      </xdr:nvSpPr>
      <xdr:spPr>
        <a:xfrm>
          <a:off x="13163550" y="156305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7N-4W</a:t>
          </a:r>
        </a:p>
      </xdr:txBody>
    </xdr:sp>
    <xdr:clientData/>
  </xdr:oneCellAnchor>
  <xdr:oneCellAnchor>
    <xdr:from>
      <xdr:col>66</xdr:col>
      <xdr:colOff>85725</xdr:colOff>
      <xdr:row>73</xdr:row>
      <xdr:rowOff>161925</xdr:rowOff>
    </xdr:from>
    <xdr:ext cx="628570" cy="280205"/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id="{ED18CE5A-33FA-4EAF-8DCE-7F13126E62DF}"/>
            </a:ext>
          </a:extLst>
        </xdr:cNvPr>
        <xdr:cNvSpPr txBox="1"/>
      </xdr:nvSpPr>
      <xdr:spPr>
        <a:xfrm>
          <a:off x="14335125" y="15640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7N-3W</a:t>
          </a:r>
        </a:p>
      </xdr:txBody>
    </xdr:sp>
    <xdr:clientData/>
  </xdr:oneCellAnchor>
  <xdr:oneCellAnchor>
    <xdr:from>
      <xdr:col>60</xdr:col>
      <xdr:colOff>171450</xdr:colOff>
      <xdr:row>79</xdr:row>
      <xdr:rowOff>161925</xdr:rowOff>
    </xdr:from>
    <xdr:ext cx="628570" cy="280205"/>
    <xdr:sp macro="" textlink="">
      <xdr:nvSpPr>
        <xdr:cNvPr id="191" name="TextBox 190">
          <a:extLst>
            <a:ext uri="{FF2B5EF4-FFF2-40B4-BE49-F238E27FC236}">
              <a16:creationId xmlns:a16="http://schemas.microsoft.com/office/drawing/2014/main" id="{2F424C8A-A0A6-4CD0-A9D8-654080F92AD5}"/>
            </a:ext>
          </a:extLst>
        </xdr:cNvPr>
        <xdr:cNvSpPr txBox="1"/>
      </xdr:nvSpPr>
      <xdr:spPr>
        <a:xfrm>
          <a:off x="13163550" y="16783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6N-4W</a:t>
          </a:r>
        </a:p>
      </xdr:txBody>
    </xdr:sp>
    <xdr:clientData/>
  </xdr:oneCellAnchor>
  <xdr:oneCellAnchor>
    <xdr:from>
      <xdr:col>66</xdr:col>
      <xdr:colOff>123825</xdr:colOff>
      <xdr:row>80</xdr:row>
      <xdr:rowOff>0</xdr:rowOff>
    </xdr:from>
    <xdr:ext cx="628570" cy="280205"/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C3FD83AC-B6D1-4A53-AB9D-7223299F6261}"/>
            </a:ext>
          </a:extLst>
        </xdr:cNvPr>
        <xdr:cNvSpPr txBox="1"/>
      </xdr:nvSpPr>
      <xdr:spPr>
        <a:xfrm>
          <a:off x="14373225" y="16811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6N-3W</a:t>
          </a:r>
        </a:p>
      </xdr:txBody>
    </xdr:sp>
    <xdr:clientData/>
  </xdr:oneCellAnchor>
  <xdr:oneCellAnchor>
    <xdr:from>
      <xdr:col>60</xdr:col>
      <xdr:colOff>190500</xdr:colOff>
      <xdr:row>85</xdr:row>
      <xdr:rowOff>142875</xdr:rowOff>
    </xdr:from>
    <xdr:ext cx="628570" cy="280205"/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6484BF56-7193-4BA5-A9A9-B83B188255AC}"/>
            </a:ext>
          </a:extLst>
        </xdr:cNvPr>
        <xdr:cNvSpPr txBox="1"/>
      </xdr:nvSpPr>
      <xdr:spPr>
        <a:xfrm>
          <a:off x="13182600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5N-4W</a:t>
          </a:r>
        </a:p>
      </xdr:txBody>
    </xdr:sp>
    <xdr:clientData/>
  </xdr:oneCellAnchor>
  <xdr:oneCellAnchor>
    <xdr:from>
      <xdr:col>67</xdr:col>
      <xdr:colOff>9525</xdr:colOff>
      <xdr:row>85</xdr:row>
      <xdr:rowOff>142875</xdr:rowOff>
    </xdr:from>
    <xdr:ext cx="628570" cy="280205"/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14F74B4D-5CFE-4BDC-AFD2-EA759C7BE37A}"/>
            </a:ext>
          </a:extLst>
        </xdr:cNvPr>
        <xdr:cNvSpPr txBox="1"/>
      </xdr:nvSpPr>
      <xdr:spPr>
        <a:xfrm>
          <a:off x="14468475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5N-3W</a:t>
          </a:r>
        </a:p>
      </xdr:txBody>
    </xdr:sp>
    <xdr:clientData/>
  </xdr:oneCellAnchor>
  <xdr:twoCellAnchor>
    <xdr:from>
      <xdr:col>66</xdr:col>
      <xdr:colOff>47625</xdr:colOff>
      <xdr:row>60</xdr:row>
      <xdr:rowOff>142337</xdr:rowOff>
    </xdr:from>
    <xdr:to>
      <xdr:col>72</xdr:col>
      <xdr:colOff>76200</xdr:colOff>
      <xdr:row>67</xdr:row>
      <xdr:rowOff>161925</xdr:rowOff>
    </xdr:to>
    <xdr:sp macro="" textlink="">
      <xdr:nvSpPr>
        <xdr:cNvPr id="195" name="Freeform: Shape 194">
          <a:extLst>
            <a:ext uri="{FF2B5EF4-FFF2-40B4-BE49-F238E27FC236}">
              <a16:creationId xmlns:a16="http://schemas.microsoft.com/office/drawing/2014/main" id="{A6193F93-BC5A-41AE-BB10-6B7E73C9FAD6}"/>
            </a:ext>
          </a:extLst>
        </xdr:cNvPr>
        <xdr:cNvSpPr/>
      </xdr:nvSpPr>
      <xdr:spPr>
        <a:xfrm>
          <a:off x="14297025" y="13143962"/>
          <a:ext cx="1285875" cy="1353088"/>
        </a:xfrm>
        <a:custGeom>
          <a:avLst/>
          <a:gdLst>
            <a:gd name="connsiteX0" fmla="*/ 0 w 1285875"/>
            <a:gd name="connsiteY0" fmla="*/ 10063 h 1353088"/>
            <a:gd name="connsiteX1" fmla="*/ 57150 w 1285875"/>
            <a:gd name="connsiteY1" fmla="*/ 48163 h 1353088"/>
            <a:gd name="connsiteX2" fmla="*/ 38100 w 1285875"/>
            <a:gd name="connsiteY2" fmla="*/ 391063 h 1353088"/>
            <a:gd name="connsiteX3" fmla="*/ 47625 w 1285875"/>
            <a:gd name="connsiteY3" fmla="*/ 486313 h 1353088"/>
            <a:gd name="connsiteX4" fmla="*/ 66675 w 1285875"/>
            <a:gd name="connsiteY4" fmla="*/ 514888 h 1353088"/>
            <a:gd name="connsiteX5" fmla="*/ 76200 w 1285875"/>
            <a:gd name="connsiteY5" fmla="*/ 638713 h 1353088"/>
            <a:gd name="connsiteX6" fmla="*/ 85725 w 1285875"/>
            <a:gd name="connsiteY6" fmla="*/ 667288 h 1353088"/>
            <a:gd name="connsiteX7" fmla="*/ 114300 w 1285875"/>
            <a:gd name="connsiteY7" fmla="*/ 676813 h 1353088"/>
            <a:gd name="connsiteX8" fmla="*/ 161925 w 1285875"/>
            <a:gd name="connsiteY8" fmla="*/ 705388 h 1353088"/>
            <a:gd name="connsiteX9" fmla="*/ 219075 w 1285875"/>
            <a:gd name="connsiteY9" fmla="*/ 743488 h 1353088"/>
            <a:gd name="connsiteX10" fmla="*/ 285750 w 1285875"/>
            <a:gd name="connsiteY10" fmla="*/ 781588 h 1353088"/>
            <a:gd name="connsiteX11" fmla="*/ 304800 w 1285875"/>
            <a:gd name="connsiteY11" fmla="*/ 857788 h 1353088"/>
            <a:gd name="connsiteX12" fmla="*/ 314325 w 1285875"/>
            <a:gd name="connsiteY12" fmla="*/ 886363 h 1353088"/>
            <a:gd name="connsiteX13" fmla="*/ 342900 w 1285875"/>
            <a:gd name="connsiteY13" fmla="*/ 905413 h 1353088"/>
            <a:gd name="connsiteX14" fmla="*/ 390525 w 1285875"/>
            <a:gd name="connsiteY14" fmla="*/ 972088 h 1353088"/>
            <a:gd name="connsiteX15" fmla="*/ 409575 w 1285875"/>
            <a:gd name="connsiteY15" fmla="*/ 1000663 h 1353088"/>
            <a:gd name="connsiteX16" fmla="*/ 504825 w 1285875"/>
            <a:gd name="connsiteY16" fmla="*/ 1048288 h 1353088"/>
            <a:gd name="connsiteX17" fmla="*/ 609600 w 1285875"/>
            <a:gd name="connsiteY17" fmla="*/ 1067338 h 1353088"/>
            <a:gd name="connsiteX18" fmla="*/ 847725 w 1285875"/>
            <a:gd name="connsiteY18" fmla="*/ 1076863 h 1353088"/>
            <a:gd name="connsiteX19" fmla="*/ 971550 w 1285875"/>
            <a:gd name="connsiteY19" fmla="*/ 1134013 h 1353088"/>
            <a:gd name="connsiteX20" fmla="*/ 1009650 w 1285875"/>
            <a:gd name="connsiteY20" fmla="*/ 1153063 h 1353088"/>
            <a:gd name="connsiteX21" fmla="*/ 1038225 w 1285875"/>
            <a:gd name="connsiteY21" fmla="*/ 1162588 h 1353088"/>
            <a:gd name="connsiteX22" fmla="*/ 1085850 w 1285875"/>
            <a:gd name="connsiteY22" fmla="*/ 1181638 h 1353088"/>
            <a:gd name="connsiteX23" fmla="*/ 1123950 w 1285875"/>
            <a:gd name="connsiteY23" fmla="*/ 1191163 h 1353088"/>
            <a:gd name="connsiteX24" fmla="*/ 1143000 w 1285875"/>
            <a:gd name="connsiteY24" fmla="*/ 1229263 h 1353088"/>
            <a:gd name="connsiteX25" fmla="*/ 1200150 w 1285875"/>
            <a:gd name="connsiteY25" fmla="*/ 1276888 h 1353088"/>
            <a:gd name="connsiteX26" fmla="*/ 1247775 w 1285875"/>
            <a:gd name="connsiteY26" fmla="*/ 1324513 h 1353088"/>
            <a:gd name="connsiteX27" fmla="*/ 1285875 w 1285875"/>
            <a:gd name="connsiteY27" fmla="*/ 1353088 h 13530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285875" h="1353088">
              <a:moveTo>
                <a:pt x="0" y="10063"/>
              </a:moveTo>
              <a:cubicBezTo>
                <a:pt x="50800" y="-97"/>
                <a:pt x="57150" y="-17877"/>
                <a:pt x="57150" y="48163"/>
              </a:cubicBezTo>
              <a:cubicBezTo>
                <a:pt x="57150" y="292205"/>
                <a:pt x="61232" y="252270"/>
                <a:pt x="38100" y="391063"/>
              </a:cubicBezTo>
              <a:cubicBezTo>
                <a:pt x="41275" y="422813"/>
                <a:pt x="40450" y="455222"/>
                <a:pt x="47625" y="486313"/>
              </a:cubicBezTo>
              <a:cubicBezTo>
                <a:pt x="50199" y="497467"/>
                <a:pt x="64565" y="503636"/>
                <a:pt x="66675" y="514888"/>
              </a:cubicBezTo>
              <a:cubicBezTo>
                <a:pt x="74304" y="555576"/>
                <a:pt x="71065" y="597636"/>
                <a:pt x="76200" y="638713"/>
              </a:cubicBezTo>
              <a:cubicBezTo>
                <a:pt x="77445" y="648676"/>
                <a:pt x="78625" y="660188"/>
                <a:pt x="85725" y="667288"/>
              </a:cubicBezTo>
              <a:cubicBezTo>
                <a:pt x="92825" y="674388"/>
                <a:pt x="105320" y="672323"/>
                <a:pt x="114300" y="676813"/>
              </a:cubicBezTo>
              <a:cubicBezTo>
                <a:pt x="130859" y="685092"/>
                <a:pt x="146306" y="695449"/>
                <a:pt x="161925" y="705388"/>
              </a:cubicBezTo>
              <a:cubicBezTo>
                <a:pt x="181241" y="717680"/>
                <a:pt x="198597" y="733249"/>
                <a:pt x="219075" y="743488"/>
              </a:cubicBezTo>
              <a:cubicBezTo>
                <a:pt x="267414" y="767658"/>
                <a:pt x="245361" y="754662"/>
                <a:pt x="285750" y="781588"/>
              </a:cubicBezTo>
              <a:cubicBezTo>
                <a:pt x="292100" y="806988"/>
                <a:pt x="297911" y="832529"/>
                <a:pt x="304800" y="857788"/>
              </a:cubicBezTo>
              <a:cubicBezTo>
                <a:pt x="307442" y="867474"/>
                <a:pt x="308053" y="878523"/>
                <a:pt x="314325" y="886363"/>
              </a:cubicBezTo>
              <a:cubicBezTo>
                <a:pt x="321476" y="895302"/>
                <a:pt x="333375" y="899063"/>
                <a:pt x="342900" y="905413"/>
              </a:cubicBezTo>
              <a:cubicBezTo>
                <a:pt x="360402" y="957918"/>
                <a:pt x="341216" y="914561"/>
                <a:pt x="390525" y="972088"/>
              </a:cubicBezTo>
              <a:cubicBezTo>
                <a:pt x="397975" y="980780"/>
                <a:pt x="400960" y="993125"/>
                <a:pt x="409575" y="1000663"/>
              </a:cubicBezTo>
              <a:cubicBezTo>
                <a:pt x="459955" y="1044745"/>
                <a:pt x="454612" y="1033942"/>
                <a:pt x="504825" y="1048288"/>
              </a:cubicBezTo>
              <a:cubicBezTo>
                <a:pt x="559198" y="1063823"/>
                <a:pt x="519577" y="1061882"/>
                <a:pt x="609600" y="1067338"/>
              </a:cubicBezTo>
              <a:cubicBezTo>
                <a:pt x="688893" y="1072144"/>
                <a:pt x="768350" y="1073688"/>
                <a:pt x="847725" y="1076863"/>
              </a:cubicBezTo>
              <a:cubicBezTo>
                <a:pt x="909976" y="1097613"/>
                <a:pt x="867320" y="1081898"/>
                <a:pt x="971550" y="1134013"/>
              </a:cubicBezTo>
              <a:cubicBezTo>
                <a:pt x="984250" y="1140363"/>
                <a:pt x="996180" y="1148573"/>
                <a:pt x="1009650" y="1153063"/>
              </a:cubicBezTo>
              <a:cubicBezTo>
                <a:pt x="1019175" y="1156238"/>
                <a:pt x="1028824" y="1159063"/>
                <a:pt x="1038225" y="1162588"/>
              </a:cubicBezTo>
              <a:cubicBezTo>
                <a:pt x="1054234" y="1168591"/>
                <a:pt x="1069630" y="1176231"/>
                <a:pt x="1085850" y="1181638"/>
              </a:cubicBezTo>
              <a:cubicBezTo>
                <a:pt x="1098269" y="1185778"/>
                <a:pt x="1111250" y="1187988"/>
                <a:pt x="1123950" y="1191163"/>
              </a:cubicBezTo>
              <a:cubicBezTo>
                <a:pt x="1130300" y="1203863"/>
                <a:pt x="1134747" y="1217709"/>
                <a:pt x="1143000" y="1229263"/>
              </a:cubicBezTo>
              <a:cubicBezTo>
                <a:pt x="1159668" y="1252598"/>
                <a:pt x="1177365" y="1261698"/>
                <a:pt x="1200150" y="1276888"/>
              </a:cubicBezTo>
              <a:cubicBezTo>
                <a:pt x="1227859" y="1318452"/>
                <a:pt x="1207366" y="1295649"/>
                <a:pt x="1247775" y="1324513"/>
              </a:cubicBezTo>
              <a:cubicBezTo>
                <a:pt x="1260693" y="1333740"/>
                <a:pt x="1285875" y="1353088"/>
                <a:pt x="1285875" y="1353088"/>
              </a:cubicBezTo>
            </a:path>
          </a:pathLst>
        </a:custGeom>
        <a:ln w="1111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60</xdr:col>
      <xdr:colOff>207635</xdr:colOff>
      <xdr:row>55</xdr:row>
      <xdr:rowOff>147224</xdr:rowOff>
    </xdr:from>
    <xdr:ext cx="706540" cy="280205"/>
    <xdr:sp macro="" textlink="">
      <xdr:nvSpPr>
        <xdr:cNvPr id="196" name="TextBox 195">
          <a:extLst>
            <a:ext uri="{FF2B5EF4-FFF2-40B4-BE49-F238E27FC236}">
              <a16:creationId xmlns:a16="http://schemas.microsoft.com/office/drawing/2014/main" id="{24A4166A-A9FA-41FA-8025-03E9FC20FA5B}"/>
            </a:ext>
          </a:extLst>
        </xdr:cNvPr>
        <xdr:cNvSpPr txBox="1"/>
      </xdr:nvSpPr>
      <xdr:spPr>
        <a:xfrm>
          <a:off x="13199735" y="121963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10N-4W</a:t>
          </a:r>
        </a:p>
      </xdr:txBody>
    </xdr:sp>
    <xdr:clientData/>
  </xdr:oneCellAnchor>
  <xdr:oneCellAnchor>
    <xdr:from>
      <xdr:col>66</xdr:col>
      <xdr:colOff>64943</xdr:colOff>
      <xdr:row>55</xdr:row>
      <xdr:rowOff>151534</xdr:rowOff>
    </xdr:from>
    <xdr:ext cx="706540" cy="280205"/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id="{CDC22F82-7C8A-4381-AFDB-CD35F8D2808F}"/>
            </a:ext>
          </a:extLst>
        </xdr:cNvPr>
        <xdr:cNvSpPr txBox="1"/>
      </xdr:nvSpPr>
      <xdr:spPr>
        <a:xfrm>
          <a:off x="14352443" y="1086715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10N-3W</a:t>
          </a:r>
        </a:p>
      </xdr:txBody>
    </xdr:sp>
    <xdr:clientData/>
  </xdr:oneCellAnchor>
  <xdr:twoCellAnchor>
    <xdr:from>
      <xdr:col>60</xdr:col>
      <xdr:colOff>64943</xdr:colOff>
      <xdr:row>55</xdr:row>
      <xdr:rowOff>173182</xdr:rowOff>
    </xdr:from>
    <xdr:to>
      <xdr:col>73</xdr:col>
      <xdr:colOff>64943</xdr:colOff>
      <xdr:row>55</xdr:row>
      <xdr:rowOff>173182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882BA765-0896-4EF9-8E93-96135E13E6BF}"/>
            </a:ext>
          </a:extLst>
        </xdr:cNvPr>
        <xdr:cNvCxnSpPr/>
      </xdr:nvCxnSpPr>
      <xdr:spPr>
        <a:xfrm flipH="1">
          <a:off x="13053579" y="10888807"/>
          <a:ext cx="2814205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67</xdr:col>
      <xdr:colOff>112285</xdr:colOff>
      <xdr:row>57</xdr:row>
      <xdr:rowOff>143348</xdr:rowOff>
    </xdr:from>
    <xdr:ext cx="2271006" cy="718466"/>
    <xdr:sp macro="" textlink="">
      <xdr:nvSpPr>
        <xdr:cNvPr id="199" name="TextBox 198">
          <a:extLst>
            <a:ext uri="{FF2B5EF4-FFF2-40B4-BE49-F238E27FC236}">
              <a16:creationId xmlns:a16="http://schemas.microsoft.com/office/drawing/2014/main" id="{43F90E16-074B-4C02-8FE4-AC7402B30769}"/>
            </a:ext>
          </a:extLst>
        </xdr:cNvPr>
        <xdr:cNvSpPr txBox="1"/>
      </xdr:nvSpPr>
      <xdr:spPr>
        <a:xfrm>
          <a:off x="14616262" y="11248632"/>
          <a:ext cx="22710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Cleveland</a:t>
          </a:r>
        </a:p>
      </xdr:txBody>
    </xdr:sp>
    <xdr:clientData/>
  </xdr:oneCellAnchor>
  <xdr:twoCellAnchor>
    <xdr:from>
      <xdr:col>0</xdr:col>
      <xdr:colOff>21648</xdr:colOff>
      <xdr:row>0</xdr:row>
      <xdr:rowOff>21645</xdr:rowOff>
    </xdr:from>
    <xdr:to>
      <xdr:col>72</xdr:col>
      <xdr:colOff>86591</xdr:colOff>
      <xdr:row>0</xdr:row>
      <xdr:rowOff>21646</xdr:rowOff>
    </xdr:to>
    <xdr:cxnSp macro="">
      <xdr:nvCxnSpPr>
        <xdr:cNvPr id="200" name="Straight Connector 199">
          <a:extLst>
            <a:ext uri="{FF2B5EF4-FFF2-40B4-BE49-F238E27FC236}">
              <a16:creationId xmlns:a16="http://schemas.microsoft.com/office/drawing/2014/main" id="{5296FCA0-2201-44A4-BCC7-04ED48CBADD3}"/>
            </a:ext>
          </a:extLst>
        </xdr:cNvPr>
        <xdr:cNvCxnSpPr/>
      </xdr:nvCxnSpPr>
      <xdr:spPr>
        <a:xfrm flipH="1" flipV="1">
          <a:off x="21648" y="1580281"/>
          <a:ext cx="15651307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23</xdr:row>
      <xdr:rowOff>147947</xdr:rowOff>
    </xdr:from>
    <xdr:to>
      <xdr:col>6</xdr:col>
      <xdr:colOff>0</xdr:colOff>
      <xdr:row>23</xdr:row>
      <xdr:rowOff>151534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EC7F9C7D-A6B8-4979-A5A8-2FD7E0C43891}"/>
            </a:ext>
          </a:extLst>
        </xdr:cNvPr>
        <xdr:cNvCxnSpPr/>
      </xdr:nvCxnSpPr>
      <xdr:spPr>
        <a:xfrm flipH="1" flipV="1">
          <a:off x="1" y="4629027"/>
          <a:ext cx="1298863" cy="3587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194829</xdr:colOff>
      <xdr:row>38</xdr:row>
      <xdr:rowOff>129885</xdr:rowOff>
    </xdr:from>
    <xdr:ext cx="718466" cy="2749792"/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id="{641D8A68-54B0-4A2C-8E5B-C796405FDB4E}"/>
            </a:ext>
          </a:extLst>
        </xdr:cNvPr>
        <xdr:cNvSpPr txBox="1"/>
      </xdr:nvSpPr>
      <xdr:spPr>
        <a:xfrm rot="16200000">
          <a:off x="-387879" y="8549071"/>
          <a:ext cx="2749792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	CUSTER</a:t>
          </a:r>
        </a:p>
      </xdr:txBody>
    </xdr:sp>
    <xdr:clientData/>
  </xdr:oneCellAnchor>
  <xdr:twoCellAnchor>
    <xdr:from>
      <xdr:col>18</xdr:col>
      <xdr:colOff>0</xdr:colOff>
      <xdr:row>1</xdr:row>
      <xdr:rowOff>0</xdr:rowOff>
    </xdr:from>
    <xdr:to>
      <xdr:col>18</xdr:col>
      <xdr:colOff>21647</xdr:colOff>
      <xdr:row>95</xdr:row>
      <xdr:rowOff>129884</xdr:rowOff>
    </xdr:to>
    <xdr:cxnSp macro="">
      <xdr:nvCxnSpPr>
        <xdr:cNvPr id="214" name="Straight Connector 213">
          <a:extLst>
            <a:ext uri="{FF2B5EF4-FFF2-40B4-BE49-F238E27FC236}">
              <a16:creationId xmlns:a16="http://schemas.microsoft.com/office/drawing/2014/main" id="{0ACE7FFC-68EC-4FCD-AEC3-3042D3CBF097}"/>
            </a:ext>
          </a:extLst>
        </xdr:cNvPr>
        <xdr:cNvCxnSpPr/>
      </xdr:nvCxnSpPr>
      <xdr:spPr>
        <a:xfrm flipH="1" flipV="1">
          <a:off x="3896591" y="0"/>
          <a:ext cx="21647" cy="186386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195696</xdr:colOff>
      <xdr:row>1</xdr:row>
      <xdr:rowOff>0</xdr:rowOff>
    </xdr:from>
    <xdr:to>
      <xdr:col>24</xdr:col>
      <xdr:colOff>865</xdr:colOff>
      <xdr:row>95</xdr:row>
      <xdr:rowOff>129884</xdr:rowOff>
    </xdr:to>
    <xdr:cxnSp macro="">
      <xdr:nvCxnSpPr>
        <xdr:cNvPr id="215" name="Straight Connector 214">
          <a:extLst>
            <a:ext uri="{FF2B5EF4-FFF2-40B4-BE49-F238E27FC236}">
              <a16:creationId xmlns:a16="http://schemas.microsoft.com/office/drawing/2014/main" id="{2EA30FA0-34EB-4C99-AB4D-8D8E6B457934}"/>
            </a:ext>
          </a:extLst>
        </xdr:cNvPr>
        <xdr:cNvCxnSpPr/>
      </xdr:nvCxnSpPr>
      <xdr:spPr>
        <a:xfrm flipH="1" flipV="1">
          <a:off x="5174673" y="0"/>
          <a:ext cx="21647" cy="186386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196562</xdr:colOff>
      <xdr:row>1</xdr:row>
      <xdr:rowOff>0</xdr:rowOff>
    </xdr:from>
    <xdr:to>
      <xdr:col>36</xdr:col>
      <xdr:colOff>1732</xdr:colOff>
      <xdr:row>95</xdr:row>
      <xdr:rowOff>129884</xdr:rowOff>
    </xdr:to>
    <xdr:cxnSp macro="">
      <xdr:nvCxnSpPr>
        <xdr:cNvPr id="216" name="Straight Connector 215">
          <a:extLst>
            <a:ext uri="{FF2B5EF4-FFF2-40B4-BE49-F238E27FC236}">
              <a16:creationId xmlns:a16="http://schemas.microsoft.com/office/drawing/2014/main" id="{A9949274-84BB-49BE-B545-2AD8AACB327C}"/>
            </a:ext>
          </a:extLst>
        </xdr:cNvPr>
        <xdr:cNvCxnSpPr/>
      </xdr:nvCxnSpPr>
      <xdr:spPr>
        <a:xfrm flipH="1" flipV="1">
          <a:off x="7773267" y="0"/>
          <a:ext cx="21647" cy="186386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194829</xdr:colOff>
      <xdr:row>1</xdr:row>
      <xdr:rowOff>0</xdr:rowOff>
    </xdr:from>
    <xdr:to>
      <xdr:col>41</xdr:col>
      <xdr:colOff>216476</xdr:colOff>
      <xdr:row>95</xdr:row>
      <xdr:rowOff>129884</xdr:rowOff>
    </xdr:to>
    <xdr:cxnSp macro="">
      <xdr:nvCxnSpPr>
        <xdr:cNvPr id="218" name="Straight Connector 217">
          <a:extLst>
            <a:ext uri="{FF2B5EF4-FFF2-40B4-BE49-F238E27FC236}">
              <a16:creationId xmlns:a16="http://schemas.microsoft.com/office/drawing/2014/main" id="{3D824FA5-6854-4DE9-A3AC-A52A9D2A246D}"/>
            </a:ext>
          </a:extLst>
        </xdr:cNvPr>
        <xdr:cNvCxnSpPr/>
      </xdr:nvCxnSpPr>
      <xdr:spPr>
        <a:xfrm flipH="1" flipV="1">
          <a:off x="9070397" y="0"/>
          <a:ext cx="21647" cy="186386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14883</xdr:colOff>
      <xdr:row>1</xdr:row>
      <xdr:rowOff>0</xdr:rowOff>
    </xdr:from>
    <xdr:to>
      <xdr:col>48</xdr:col>
      <xdr:colOff>21649</xdr:colOff>
      <xdr:row>96</xdr:row>
      <xdr:rowOff>14883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B740E1A0-D631-4024-AD3B-0530B08DE246}"/>
            </a:ext>
          </a:extLst>
        </xdr:cNvPr>
        <xdr:cNvCxnSpPr/>
      </xdr:nvCxnSpPr>
      <xdr:spPr>
        <a:xfrm flipV="1">
          <a:off x="10016133" y="193477"/>
          <a:ext cx="6766" cy="1839515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21651</xdr:colOff>
      <xdr:row>1</xdr:row>
      <xdr:rowOff>1</xdr:rowOff>
    </xdr:from>
    <xdr:to>
      <xdr:col>54</xdr:col>
      <xdr:colOff>29766</xdr:colOff>
      <xdr:row>95</xdr:row>
      <xdr:rowOff>119063</xdr:rowOff>
    </xdr:to>
    <xdr:cxnSp macro="">
      <xdr:nvCxnSpPr>
        <xdr:cNvPr id="220" name="Straight Connector 219">
          <a:extLst>
            <a:ext uri="{FF2B5EF4-FFF2-40B4-BE49-F238E27FC236}">
              <a16:creationId xmlns:a16="http://schemas.microsoft.com/office/drawing/2014/main" id="{63DE1CE5-B7FF-4D18-BC36-C145550D8A67}"/>
            </a:ext>
          </a:extLst>
        </xdr:cNvPr>
        <xdr:cNvCxnSpPr/>
      </xdr:nvCxnSpPr>
      <xdr:spPr>
        <a:xfrm flipH="1" flipV="1">
          <a:off x="11273057" y="193478"/>
          <a:ext cx="8115" cy="18305858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72</xdr:col>
      <xdr:colOff>23751</xdr:colOff>
      <xdr:row>72</xdr:row>
      <xdr:rowOff>26225</xdr:rowOff>
    </xdr:to>
    <xdr:cxnSp macro="">
      <xdr:nvCxnSpPr>
        <xdr:cNvPr id="221" name="Straight Connector 220">
          <a:extLst>
            <a:ext uri="{FF2B5EF4-FFF2-40B4-BE49-F238E27FC236}">
              <a16:creationId xmlns:a16="http://schemas.microsoft.com/office/drawing/2014/main" id="{57B3488F-73CC-411A-AB7E-567BD8963471}"/>
            </a:ext>
          </a:extLst>
        </xdr:cNvPr>
        <xdr:cNvCxnSpPr/>
      </xdr:nvCxnSpPr>
      <xdr:spPr>
        <a:xfrm>
          <a:off x="0" y="14027727"/>
          <a:ext cx="15610115" cy="262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78</xdr:row>
      <xdr:rowOff>0</xdr:rowOff>
    </xdr:from>
    <xdr:to>
      <xdr:col>72</xdr:col>
      <xdr:colOff>23751</xdr:colOff>
      <xdr:row>78</xdr:row>
      <xdr:rowOff>26225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8E6B147F-A3BE-4E1B-9576-231BE2190137}"/>
            </a:ext>
          </a:extLst>
        </xdr:cNvPr>
        <xdr:cNvCxnSpPr/>
      </xdr:nvCxnSpPr>
      <xdr:spPr>
        <a:xfrm>
          <a:off x="0" y="15196705"/>
          <a:ext cx="15610115" cy="262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83</xdr:row>
      <xdr:rowOff>173182</xdr:rowOff>
    </xdr:from>
    <xdr:to>
      <xdr:col>72</xdr:col>
      <xdr:colOff>23752</xdr:colOff>
      <xdr:row>84</xdr:row>
      <xdr:rowOff>4577</xdr:rowOff>
    </xdr:to>
    <xdr:cxnSp macro="">
      <xdr:nvCxnSpPr>
        <xdr:cNvPr id="223" name="Straight Connector 222">
          <a:extLst>
            <a:ext uri="{FF2B5EF4-FFF2-40B4-BE49-F238E27FC236}">
              <a16:creationId xmlns:a16="http://schemas.microsoft.com/office/drawing/2014/main" id="{5E2C01CF-753C-4591-A108-A4F2891964E3}"/>
            </a:ext>
          </a:extLst>
        </xdr:cNvPr>
        <xdr:cNvCxnSpPr/>
      </xdr:nvCxnSpPr>
      <xdr:spPr>
        <a:xfrm>
          <a:off x="1" y="16344034"/>
          <a:ext cx="15610115" cy="262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89</xdr:row>
      <xdr:rowOff>173181</xdr:rowOff>
    </xdr:from>
    <xdr:to>
      <xdr:col>72</xdr:col>
      <xdr:colOff>23751</xdr:colOff>
      <xdr:row>90</xdr:row>
      <xdr:rowOff>4577</xdr:rowOff>
    </xdr:to>
    <xdr:cxnSp macro="">
      <xdr:nvCxnSpPr>
        <xdr:cNvPr id="224" name="Straight Connector 223">
          <a:extLst>
            <a:ext uri="{FF2B5EF4-FFF2-40B4-BE49-F238E27FC236}">
              <a16:creationId xmlns:a16="http://schemas.microsoft.com/office/drawing/2014/main" id="{CE8E771D-C320-44E0-95FE-97EFCBBEE865}"/>
            </a:ext>
          </a:extLst>
        </xdr:cNvPr>
        <xdr:cNvCxnSpPr/>
      </xdr:nvCxnSpPr>
      <xdr:spPr>
        <a:xfrm>
          <a:off x="0" y="17513011"/>
          <a:ext cx="15610115" cy="262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21648</xdr:colOff>
      <xdr:row>0</xdr:row>
      <xdr:rowOff>64943</xdr:rowOff>
    </xdr:from>
    <xdr:to>
      <xdr:col>66</xdr:col>
      <xdr:colOff>21648</xdr:colOff>
      <xdr:row>96</xdr:row>
      <xdr:rowOff>43297</xdr:rowOff>
    </xdr:to>
    <xdr:cxnSp macro="">
      <xdr:nvCxnSpPr>
        <xdr:cNvPr id="225" name="Straight Connector 224">
          <a:extLst>
            <a:ext uri="{FF2B5EF4-FFF2-40B4-BE49-F238E27FC236}">
              <a16:creationId xmlns:a16="http://schemas.microsoft.com/office/drawing/2014/main" id="{2E8BD1E5-333A-48D9-8E67-5201BFCCD134}"/>
            </a:ext>
          </a:extLst>
        </xdr:cNvPr>
        <xdr:cNvCxnSpPr/>
      </xdr:nvCxnSpPr>
      <xdr:spPr>
        <a:xfrm flipV="1">
          <a:off x="14309148" y="64943"/>
          <a:ext cx="0" cy="1868199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5</xdr:row>
      <xdr:rowOff>173181</xdr:rowOff>
    </xdr:from>
    <xdr:to>
      <xdr:col>71</xdr:col>
      <xdr:colOff>151534</xdr:colOff>
      <xdr:row>5</xdr:row>
      <xdr:rowOff>173182</xdr:rowOff>
    </xdr:to>
    <xdr:cxnSp macro="">
      <xdr:nvCxnSpPr>
        <xdr:cNvPr id="227" name="Straight Connector 226">
          <a:extLst>
            <a:ext uri="{FF2B5EF4-FFF2-40B4-BE49-F238E27FC236}">
              <a16:creationId xmlns:a16="http://schemas.microsoft.com/office/drawing/2014/main" id="{B1400553-2E86-4BDE-95F2-1CCF468003D5}"/>
            </a:ext>
          </a:extLst>
        </xdr:cNvPr>
        <xdr:cNvCxnSpPr/>
      </xdr:nvCxnSpPr>
      <xdr:spPr>
        <a:xfrm>
          <a:off x="0" y="1147329"/>
          <a:ext cx="15521420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54</xdr:row>
      <xdr:rowOff>0</xdr:rowOff>
    </xdr:from>
    <xdr:to>
      <xdr:col>71</xdr:col>
      <xdr:colOff>171182</xdr:colOff>
      <xdr:row>54</xdr:row>
      <xdr:rowOff>12734</xdr:rowOff>
    </xdr:to>
    <xdr:cxnSp macro="">
      <xdr:nvCxnSpPr>
        <xdr:cNvPr id="231" name="Straight Connector 230">
          <a:extLst>
            <a:ext uri="{FF2B5EF4-FFF2-40B4-BE49-F238E27FC236}">
              <a16:creationId xmlns:a16="http://schemas.microsoft.com/office/drawing/2014/main" id="{B828EA84-9AD9-4EC9-B0A1-C157B85C4053}"/>
            </a:ext>
          </a:extLst>
        </xdr:cNvPr>
        <xdr:cNvCxnSpPr/>
      </xdr:nvCxnSpPr>
      <xdr:spPr>
        <a:xfrm>
          <a:off x="0" y="10520795"/>
          <a:ext cx="15541068" cy="127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108240</xdr:colOff>
      <xdr:row>23</xdr:row>
      <xdr:rowOff>173181</xdr:rowOff>
    </xdr:from>
    <xdr:to>
      <xdr:col>72</xdr:col>
      <xdr:colOff>12001</xdr:colOff>
      <xdr:row>23</xdr:row>
      <xdr:rowOff>182706</xdr:rowOff>
    </xdr:to>
    <xdr:cxnSp macro="">
      <xdr:nvCxnSpPr>
        <xdr:cNvPr id="232" name="Straight Connector 231">
          <a:extLst>
            <a:ext uri="{FF2B5EF4-FFF2-40B4-BE49-F238E27FC236}">
              <a16:creationId xmlns:a16="http://schemas.microsoft.com/office/drawing/2014/main" id="{67732CA6-FF3C-4D24-8251-1386276484C2}"/>
            </a:ext>
          </a:extLst>
        </xdr:cNvPr>
        <xdr:cNvCxnSpPr/>
      </xdr:nvCxnSpPr>
      <xdr:spPr>
        <a:xfrm flipV="1">
          <a:off x="108240" y="4654261"/>
          <a:ext cx="15490125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21647</xdr:colOff>
      <xdr:row>35</xdr:row>
      <xdr:rowOff>21647</xdr:rowOff>
    </xdr:from>
    <xdr:to>
      <xdr:col>71</xdr:col>
      <xdr:colOff>141886</xdr:colOff>
      <xdr:row>35</xdr:row>
      <xdr:rowOff>31172</xdr:rowOff>
    </xdr:to>
    <xdr:cxnSp macro="">
      <xdr:nvCxnSpPr>
        <xdr:cNvPr id="233" name="Straight Connector 232">
          <a:extLst>
            <a:ext uri="{FF2B5EF4-FFF2-40B4-BE49-F238E27FC236}">
              <a16:creationId xmlns:a16="http://schemas.microsoft.com/office/drawing/2014/main" id="{52A11B1A-52DC-44FD-B5FC-E9C04B2983CF}"/>
            </a:ext>
          </a:extLst>
        </xdr:cNvPr>
        <xdr:cNvCxnSpPr/>
      </xdr:nvCxnSpPr>
      <xdr:spPr>
        <a:xfrm flipV="1">
          <a:off x="21647" y="6840681"/>
          <a:ext cx="15490125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160812</xdr:colOff>
      <xdr:row>14</xdr:row>
      <xdr:rowOff>123701</xdr:rowOff>
    </xdr:from>
    <xdr:ext cx="1724831" cy="7184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7446485-D7D7-4204-8582-F2FF71A672E9}"/>
            </a:ext>
          </a:extLst>
        </xdr:cNvPr>
        <xdr:cNvSpPr txBox="1"/>
      </xdr:nvSpPr>
      <xdr:spPr>
        <a:xfrm>
          <a:off x="1627662" y="2790701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31</xdr:col>
      <xdr:colOff>21113</xdr:colOff>
      <xdr:row>14</xdr:row>
      <xdr:rowOff>66551</xdr:rowOff>
    </xdr:from>
    <xdr:ext cx="2744021" cy="71846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F60AD49-3C91-47D2-B2C3-78A9E63F498C}"/>
            </a:ext>
          </a:extLst>
        </xdr:cNvPr>
        <xdr:cNvSpPr txBox="1"/>
      </xdr:nvSpPr>
      <xdr:spPr>
        <a:xfrm>
          <a:off x="6517163" y="2733551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30</xdr:col>
      <xdr:colOff>107827</xdr:colOff>
      <xdr:row>39</xdr:row>
      <xdr:rowOff>29379</xdr:rowOff>
    </xdr:from>
    <xdr:ext cx="2524665" cy="71846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01DAAD7-04E7-41B2-AC8E-0DC882BF8ED0}"/>
            </a:ext>
          </a:extLst>
        </xdr:cNvPr>
        <xdr:cNvSpPr txBox="1"/>
      </xdr:nvSpPr>
      <xdr:spPr>
        <a:xfrm>
          <a:off x="6394327" y="7458879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4</xdr:col>
      <xdr:colOff>111332</xdr:colOff>
      <xdr:row>56</xdr:row>
      <xdr:rowOff>24740</xdr:rowOff>
    </xdr:from>
    <xdr:ext cx="1760610" cy="71846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47AB2052-D7BF-43C1-9A17-958C48A1334C}"/>
            </a:ext>
          </a:extLst>
        </xdr:cNvPr>
        <xdr:cNvSpPr txBox="1"/>
      </xdr:nvSpPr>
      <xdr:spPr>
        <a:xfrm>
          <a:off x="949532" y="10692740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1</xdr:col>
      <xdr:colOff>41068</xdr:colOff>
      <xdr:row>1</xdr:row>
      <xdr:rowOff>152399</xdr:rowOff>
    </xdr:from>
    <xdr:ext cx="784510" cy="280205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EA5D073-9342-4875-9BAB-B157D7A369A0}"/>
            </a:ext>
          </a:extLst>
        </xdr:cNvPr>
        <xdr:cNvSpPr txBox="1"/>
      </xdr:nvSpPr>
      <xdr:spPr>
        <a:xfrm>
          <a:off x="250618" y="34289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13</xdr:col>
      <xdr:colOff>45027</xdr:colOff>
      <xdr:row>1</xdr:row>
      <xdr:rowOff>168728</xdr:rowOff>
    </xdr:from>
    <xdr:ext cx="784510" cy="28020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F6B2460-CC0B-400E-A922-9F4F06510FD0}"/>
            </a:ext>
          </a:extLst>
        </xdr:cNvPr>
        <xdr:cNvSpPr txBox="1"/>
      </xdr:nvSpPr>
      <xdr:spPr>
        <a:xfrm>
          <a:off x="2769177" y="35922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19</xdr:col>
      <xdr:colOff>24245</xdr:colOff>
      <xdr:row>1</xdr:row>
      <xdr:rowOff>160316</xdr:rowOff>
    </xdr:from>
    <xdr:ext cx="784510" cy="28020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C2410DD-2847-4E3C-9951-76193A5F89DE}"/>
            </a:ext>
          </a:extLst>
        </xdr:cNvPr>
        <xdr:cNvSpPr txBox="1"/>
      </xdr:nvSpPr>
      <xdr:spPr>
        <a:xfrm>
          <a:off x="4005695" y="35081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48</xdr:col>
      <xdr:colOff>151904</xdr:colOff>
      <xdr:row>1</xdr:row>
      <xdr:rowOff>176645</xdr:rowOff>
    </xdr:from>
    <xdr:ext cx="706540" cy="28020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AB43F57-75FA-40B8-BFAC-38CA86DDB1E6}"/>
            </a:ext>
          </a:extLst>
        </xdr:cNvPr>
        <xdr:cNvSpPr txBox="1"/>
      </xdr:nvSpPr>
      <xdr:spPr>
        <a:xfrm>
          <a:off x="10210304" y="36714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25</xdr:col>
      <xdr:colOff>36120</xdr:colOff>
      <xdr:row>1</xdr:row>
      <xdr:rowOff>159822</xdr:rowOff>
    </xdr:from>
    <xdr:ext cx="706540" cy="28020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B372D9A-FDFB-408F-81A5-C16FF341902C}"/>
            </a:ext>
          </a:extLst>
        </xdr:cNvPr>
        <xdr:cNvSpPr txBox="1"/>
      </xdr:nvSpPr>
      <xdr:spPr>
        <a:xfrm>
          <a:off x="5274870" y="35032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42</xdr:col>
      <xdr:colOff>151410</xdr:colOff>
      <xdr:row>1</xdr:row>
      <xdr:rowOff>163780</xdr:rowOff>
    </xdr:from>
    <xdr:ext cx="706540" cy="280205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3FB5315-38A7-4511-A17B-F59BA4E9F922}"/>
            </a:ext>
          </a:extLst>
        </xdr:cNvPr>
        <xdr:cNvSpPr txBox="1"/>
      </xdr:nvSpPr>
      <xdr:spPr>
        <a:xfrm>
          <a:off x="8952510" y="3542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36</xdr:col>
      <xdr:colOff>204849</xdr:colOff>
      <xdr:row>2</xdr:row>
      <xdr:rowOff>6927</xdr:rowOff>
    </xdr:from>
    <xdr:ext cx="706540" cy="280205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BD237B12-B4D3-448A-B2D1-CCA8DA9D5643}"/>
            </a:ext>
          </a:extLst>
        </xdr:cNvPr>
        <xdr:cNvSpPr txBox="1"/>
      </xdr:nvSpPr>
      <xdr:spPr>
        <a:xfrm>
          <a:off x="7748649" y="387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31</xdr:col>
      <xdr:colOff>23256</xdr:colOff>
      <xdr:row>1</xdr:row>
      <xdr:rowOff>159327</xdr:rowOff>
    </xdr:from>
    <xdr:ext cx="706540" cy="280205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7214EC1D-C14E-4C65-83DF-083CB3D29993}"/>
            </a:ext>
          </a:extLst>
        </xdr:cNvPr>
        <xdr:cNvSpPr txBox="1"/>
      </xdr:nvSpPr>
      <xdr:spPr>
        <a:xfrm>
          <a:off x="6519306" y="3498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7</xdr:col>
      <xdr:colOff>51955</xdr:colOff>
      <xdr:row>1</xdr:row>
      <xdr:rowOff>150915</xdr:rowOff>
    </xdr:from>
    <xdr:ext cx="784510" cy="280205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5D992F04-15E6-4708-8393-45B0AB4F02C8}"/>
            </a:ext>
          </a:extLst>
        </xdr:cNvPr>
        <xdr:cNvSpPr txBox="1"/>
      </xdr:nvSpPr>
      <xdr:spPr>
        <a:xfrm>
          <a:off x="1518805" y="34141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24</xdr:col>
      <xdr:colOff>172192</xdr:colOff>
      <xdr:row>7</xdr:row>
      <xdr:rowOff>122712</xdr:rowOff>
    </xdr:from>
    <xdr:ext cx="706540" cy="46807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A79F4BC-6E81-470D-95E4-401242177209}"/>
            </a:ext>
          </a:extLst>
        </xdr:cNvPr>
        <xdr:cNvSpPr txBox="1"/>
      </xdr:nvSpPr>
      <xdr:spPr>
        <a:xfrm>
          <a:off x="5201392" y="1456212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6</xdr:col>
      <xdr:colOff>101930</xdr:colOff>
      <xdr:row>7</xdr:row>
      <xdr:rowOff>139040</xdr:rowOff>
    </xdr:from>
    <xdr:ext cx="784510" cy="46807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4A5C16F-6CB8-41A1-9319-BF730BDC3FD6}"/>
            </a:ext>
          </a:extLst>
        </xdr:cNvPr>
        <xdr:cNvSpPr txBox="1"/>
      </xdr:nvSpPr>
      <xdr:spPr>
        <a:xfrm>
          <a:off x="1359230" y="1472540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30</xdr:col>
      <xdr:colOff>180109</xdr:colOff>
      <xdr:row>7</xdr:row>
      <xdr:rowOff>155369</xdr:rowOff>
    </xdr:from>
    <xdr:ext cx="706540" cy="46807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D4485A5-0DBD-4A4D-8D7A-453E777A08AD}"/>
            </a:ext>
          </a:extLst>
        </xdr:cNvPr>
        <xdr:cNvSpPr txBox="1"/>
      </xdr:nvSpPr>
      <xdr:spPr>
        <a:xfrm>
          <a:off x="6466609" y="148886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18</xdr:col>
      <xdr:colOff>122217</xdr:colOff>
      <xdr:row>7</xdr:row>
      <xdr:rowOff>134586</xdr:rowOff>
    </xdr:from>
    <xdr:ext cx="784510" cy="46807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CBE696D9-2773-4657-BBD9-56F824C06B5F}"/>
            </a:ext>
          </a:extLst>
        </xdr:cNvPr>
        <xdr:cNvSpPr txBox="1"/>
      </xdr:nvSpPr>
      <xdr:spPr>
        <a:xfrm>
          <a:off x="3894117" y="146808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37</xdr:col>
      <xdr:colOff>2474</xdr:colOff>
      <xdr:row>7</xdr:row>
      <xdr:rowOff>138545</xdr:rowOff>
    </xdr:from>
    <xdr:ext cx="706540" cy="46807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C70C4BA5-C4A8-4DC0-97EE-8E72288F31DA}"/>
            </a:ext>
          </a:extLst>
        </xdr:cNvPr>
        <xdr:cNvSpPr txBox="1"/>
      </xdr:nvSpPr>
      <xdr:spPr>
        <a:xfrm>
          <a:off x="7755824" y="147204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12</xdr:col>
      <xdr:colOff>167244</xdr:colOff>
      <xdr:row>7</xdr:row>
      <xdr:rowOff>142504</xdr:rowOff>
    </xdr:from>
    <xdr:ext cx="784510" cy="46807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F5F2AF-0E4A-42D9-8A65-AC8402F33EAB}"/>
            </a:ext>
          </a:extLst>
        </xdr:cNvPr>
        <xdr:cNvSpPr txBox="1"/>
      </xdr:nvSpPr>
      <xdr:spPr>
        <a:xfrm>
          <a:off x="2681844" y="147600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0</xdr:col>
      <xdr:colOff>146461</xdr:colOff>
      <xdr:row>7</xdr:row>
      <xdr:rowOff>121722</xdr:rowOff>
    </xdr:from>
    <xdr:ext cx="784510" cy="46807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F2BCEFF1-6A94-48D4-BA5C-40857B3D25BC}"/>
            </a:ext>
          </a:extLst>
        </xdr:cNvPr>
        <xdr:cNvSpPr txBox="1"/>
      </xdr:nvSpPr>
      <xdr:spPr>
        <a:xfrm>
          <a:off x="146461" y="1455222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42</xdr:col>
      <xdr:colOff>204354</xdr:colOff>
      <xdr:row>7</xdr:row>
      <xdr:rowOff>142504</xdr:rowOff>
    </xdr:from>
    <xdr:ext cx="706540" cy="46807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4D3CCA-F362-4018-B5C0-196C309FB860}"/>
            </a:ext>
          </a:extLst>
        </xdr:cNvPr>
        <xdr:cNvSpPr txBox="1"/>
      </xdr:nvSpPr>
      <xdr:spPr>
        <a:xfrm>
          <a:off x="9005454" y="147600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48</xdr:col>
      <xdr:colOff>195941</xdr:colOff>
      <xdr:row>7</xdr:row>
      <xdr:rowOff>146462</xdr:rowOff>
    </xdr:from>
    <xdr:ext cx="706540" cy="468077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99C0404-68F5-4F52-BDEC-D2AF4A992877}"/>
            </a:ext>
          </a:extLst>
        </xdr:cNvPr>
        <xdr:cNvSpPr txBox="1"/>
      </xdr:nvSpPr>
      <xdr:spPr>
        <a:xfrm>
          <a:off x="10254341" y="1479962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24</xdr:col>
      <xdr:colOff>196932</xdr:colOff>
      <xdr:row>13</xdr:row>
      <xdr:rowOff>147452</xdr:rowOff>
    </xdr:from>
    <xdr:ext cx="706540" cy="46807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9E37774-18DA-4894-8FF3-2D3FEB2D7B50}"/>
            </a:ext>
          </a:extLst>
        </xdr:cNvPr>
        <xdr:cNvSpPr txBox="1"/>
      </xdr:nvSpPr>
      <xdr:spPr>
        <a:xfrm>
          <a:off x="5226132" y="2623952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19</xdr:col>
      <xdr:colOff>2968</xdr:colOff>
      <xdr:row>13</xdr:row>
      <xdr:rowOff>151411</xdr:rowOff>
    </xdr:from>
    <xdr:ext cx="784510" cy="468077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650DAAD-649F-427B-B4F0-94951C4A69FA}"/>
            </a:ext>
          </a:extLst>
        </xdr:cNvPr>
        <xdr:cNvSpPr txBox="1"/>
      </xdr:nvSpPr>
      <xdr:spPr>
        <a:xfrm>
          <a:off x="3984418" y="26279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12</xdr:col>
      <xdr:colOff>192479</xdr:colOff>
      <xdr:row>13</xdr:row>
      <xdr:rowOff>142999</xdr:rowOff>
    </xdr:from>
    <xdr:ext cx="784510" cy="468077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BDD9C56D-B5FE-43BA-A7A3-96AC93DA0D0C}"/>
            </a:ext>
          </a:extLst>
        </xdr:cNvPr>
        <xdr:cNvSpPr txBox="1"/>
      </xdr:nvSpPr>
      <xdr:spPr>
        <a:xfrm>
          <a:off x="2707079" y="261949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6</xdr:col>
      <xdr:colOff>171697</xdr:colOff>
      <xdr:row>13</xdr:row>
      <xdr:rowOff>146958</xdr:rowOff>
    </xdr:from>
    <xdr:ext cx="784510" cy="468077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2F6619E4-6494-459E-A1B2-71104E9EC945}"/>
            </a:ext>
          </a:extLst>
        </xdr:cNvPr>
        <xdr:cNvSpPr txBox="1"/>
      </xdr:nvSpPr>
      <xdr:spPr>
        <a:xfrm>
          <a:off x="1428997" y="2623458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1</xdr:col>
      <xdr:colOff>2473</xdr:colOff>
      <xdr:row>13</xdr:row>
      <xdr:rowOff>126176</xdr:rowOff>
    </xdr:from>
    <xdr:ext cx="784510" cy="468077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8D46319D-87E9-4DAC-9440-C4C3F4B69192}"/>
            </a:ext>
          </a:extLst>
        </xdr:cNvPr>
        <xdr:cNvSpPr txBox="1"/>
      </xdr:nvSpPr>
      <xdr:spPr>
        <a:xfrm>
          <a:off x="212023" y="260267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30</xdr:col>
      <xdr:colOff>200891</xdr:colOff>
      <xdr:row>13</xdr:row>
      <xdr:rowOff>139040</xdr:rowOff>
    </xdr:from>
    <xdr:ext cx="706540" cy="468077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F643379D-41E6-4783-8538-C1745D6245BA}"/>
            </a:ext>
          </a:extLst>
        </xdr:cNvPr>
        <xdr:cNvSpPr txBox="1"/>
      </xdr:nvSpPr>
      <xdr:spPr>
        <a:xfrm>
          <a:off x="6487391" y="261554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36</xdr:col>
      <xdr:colOff>192480</xdr:colOff>
      <xdr:row>13</xdr:row>
      <xdr:rowOff>142999</xdr:rowOff>
    </xdr:from>
    <xdr:ext cx="706540" cy="46807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AC2C774-98E0-4F0B-839E-C67C0568586D}"/>
            </a:ext>
          </a:extLst>
        </xdr:cNvPr>
        <xdr:cNvSpPr txBox="1"/>
      </xdr:nvSpPr>
      <xdr:spPr>
        <a:xfrm>
          <a:off x="7736280" y="261949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42</xdr:col>
      <xdr:colOff>158090</xdr:colOff>
      <xdr:row>13</xdr:row>
      <xdr:rowOff>119125</xdr:rowOff>
    </xdr:from>
    <xdr:ext cx="706540" cy="468077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24BD649B-31C2-45B3-950B-57FF88094462}"/>
            </a:ext>
          </a:extLst>
        </xdr:cNvPr>
        <xdr:cNvSpPr txBox="1"/>
      </xdr:nvSpPr>
      <xdr:spPr>
        <a:xfrm>
          <a:off x="8959190" y="259562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48</xdr:col>
      <xdr:colOff>197922</xdr:colOff>
      <xdr:row>13</xdr:row>
      <xdr:rowOff>148441</xdr:rowOff>
    </xdr:from>
    <xdr:ext cx="706540" cy="468077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39214B1D-6261-4A4A-B9A3-D9CA4C9944E2}"/>
            </a:ext>
          </a:extLst>
        </xdr:cNvPr>
        <xdr:cNvSpPr txBox="1"/>
      </xdr:nvSpPr>
      <xdr:spPr>
        <a:xfrm>
          <a:off x="10256322" y="2624941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25</xdr:col>
      <xdr:colOff>60859</xdr:colOff>
      <xdr:row>19</xdr:row>
      <xdr:rowOff>122711</xdr:rowOff>
    </xdr:from>
    <xdr:ext cx="706540" cy="28020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FF5EC52C-5ABF-49D7-8922-1C57397706B9}"/>
            </a:ext>
          </a:extLst>
        </xdr:cNvPr>
        <xdr:cNvSpPr txBox="1"/>
      </xdr:nvSpPr>
      <xdr:spPr>
        <a:xfrm>
          <a:off x="5299609" y="374221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19</xdr:col>
      <xdr:colOff>15337</xdr:colOff>
      <xdr:row>19</xdr:row>
      <xdr:rowOff>151411</xdr:rowOff>
    </xdr:from>
    <xdr:ext cx="784510" cy="280205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441E542-9B2F-4A3A-857F-CA0821A4CDF8}"/>
            </a:ext>
          </a:extLst>
        </xdr:cNvPr>
        <xdr:cNvSpPr txBox="1"/>
      </xdr:nvSpPr>
      <xdr:spPr>
        <a:xfrm>
          <a:off x="3996787" y="37709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13</xdr:col>
      <xdr:colOff>31666</xdr:colOff>
      <xdr:row>19</xdr:row>
      <xdr:rowOff>167739</xdr:rowOff>
    </xdr:from>
    <xdr:ext cx="784510" cy="280205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FB1CC31E-894C-4BF9-B0FF-DE3D5DADE95A}"/>
            </a:ext>
          </a:extLst>
        </xdr:cNvPr>
        <xdr:cNvSpPr txBox="1"/>
      </xdr:nvSpPr>
      <xdr:spPr>
        <a:xfrm>
          <a:off x="2755816" y="378723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6</xdr:col>
      <xdr:colOff>196436</xdr:colOff>
      <xdr:row>19</xdr:row>
      <xdr:rowOff>159328</xdr:rowOff>
    </xdr:from>
    <xdr:ext cx="784510" cy="280205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8AA12C3-E477-4F61-82C1-3C6D1A3EA480}"/>
            </a:ext>
          </a:extLst>
        </xdr:cNvPr>
        <xdr:cNvSpPr txBox="1"/>
      </xdr:nvSpPr>
      <xdr:spPr>
        <a:xfrm>
          <a:off x="1453736" y="377882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0</xdr:col>
      <xdr:colOff>188024</xdr:colOff>
      <xdr:row>19</xdr:row>
      <xdr:rowOff>150916</xdr:rowOff>
    </xdr:from>
    <xdr:ext cx="784510" cy="280205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6FD100E7-7B24-443C-8C87-CAC775BB67C1}"/>
            </a:ext>
          </a:extLst>
        </xdr:cNvPr>
        <xdr:cNvSpPr txBox="1"/>
      </xdr:nvSpPr>
      <xdr:spPr>
        <a:xfrm>
          <a:off x="188024" y="377041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42</xdr:col>
      <xdr:colOff>176149</xdr:colOff>
      <xdr:row>19</xdr:row>
      <xdr:rowOff>163780</xdr:rowOff>
    </xdr:from>
    <xdr:ext cx="706540" cy="280205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D4571955-536B-43DF-812C-2793EFFB3D76}"/>
            </a:ext>
          </a:extLst>
        </xdr:cNvPr>
        <xdr:cNvSpPr txBox="1"/>
      </xdr:nvSpPr>
      <xdr:spPr>
        <a:xfrm>
          <a:off x="8977249" y="37832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36</xdr:col>
      <xdr:colOff>180108</xdr:colOff>
      <xdr:row>19</xdr:row>
      <xdr:rowOff>167738</xdr:rowOff>
    </xdr:from>
    <xdr:ext cx="706540" cy="280205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4A7EFC84-3695-44A6-9F61-DC6C09F1989F}"/>
            </a:ext>
          </a:extLst>
        </xdr:cNvPr>
        <xdr:cNvSpPr txBox="1"/>
      </xdr:nvSpPr>
      <xdr:spPr>
        <a:xfrm>
          <a:off x="7723908" y="378723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48</xdr:col>
      <xdr:colOff>134585</xdr:colOff>
      <xdr:row>19</xdr:row>
      <xdr:rowOff>146957</xdr:rowOff>
    </xdr:from>
    <xdr:ext cx="706540" cy="280205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CD463F20-058A-4D43-B755-60041DEE991A}"/>
            </a:ext>
          </a:extLst>
        </xdr:cNvPr>
        <xdr:cNvSpPr txBox="1"/>
      </xdr:nvSpPr>
      <xdr:spPr>
        <a:xfrm>
          <a:off x="10192985" y="376645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30</xdr:col>
      <xdr:colOff>113803</xdr:colOff>
      <xdr:row>19</xdr:row>
      <xdr:rowOff>175655</xdr:rowOff>
    </xdr:from>
    <xdr:ext cx="706540" cy="280205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7BBD9525-0301-40C2-A0FC-E119A4AC4A67}"/>
            </a:ext>
          </a:extLst>
        </xdr:cNvPr>
        <xdr:cNvSpPr txBox="1"/>
      </xdr:nvSpPr>
      <xdr:spPr>
        <a:xfrm>
          <a:off x="6400303" y="3795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18</xdr:col>
      <xdr:colOff>135081</xdr:colOff>
      <xdr:row>25</xdr:row>
      <xdr:rowOff>147454</xdr:rowOff>
    </xdr:from>
    <xdr:ext cx="784510" cy="280205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A8456843-5709-4ED9-8EDC-CA9C0834BBC9}"/>
            </a:ext>
          </a:extLst>
        </xdr:cNvPr>
        <xdr:cNvSpPr txBox="1"/>
      </xdr:nvSpPr>
      <xdr:spPr>
        <a:xfrm>
          <a:off x="3906981" y="49099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13</xdr:col>
      <xdr:colOff>2967</xdr:colOff>
      <xdr:row>25</xdr:row>
      <xdr:rowOff>163782</xdr:rowOff>
    </xdr:from>
    <xdr:ext cx="784510" cy="280205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9C368349-3910-4BB3-8738-06E374F908EA}"/>
            </a:ext>
          </a:extLst>
        </xdr:cNvPr>
        <xdr:cNvSpPr txBox="1"/>
      </xdr:nvSpPr>
      <xdr:spPr>
        <a:xfrm>
          <a:off x="2727117" y="492628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0</xdr:col>
      <xdr:colOff>118257</xdr:colOff>
      <xdr:row>25</xdr:row>
      <xdr:rowOff>155370</xdr:rowOff>
    </xdr:from>
    <xdr:ext cx="784510" cy="280205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C66872E6-ED17-4CB8-BF89-8CFFB65200D9}"/>
            </a:ext>
          </a:extLst>
        </xdr:cNvPr>
        <xdr:cNvSpPr txBox="1"/>
      </xdr:nvSpPr>
      <xdr:spPr>
        <a:xfrm>
          <a:off x="118257" y="49178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7</xdr:col>
      <xdr:colOff>10884</xdr:colOff>
      <xdr:row>25</xdr:row>
      <xdr:rowOff>159329</xdr:rowOff>
    </xdr:from>
    <xdr:ext cx="784510" cy="280205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B1BA5FA6-EEAA-4068-8D63-916222822396}"/>
            </a:ext>
          </a:extLst>
        </xdr:cNvPr>
        <xdr:cNvSpPr txBox="1"/>
      </xdr:nvSpPr>
      <xdr:spPr>
        <a:xfrm>
          <a:off x="1477734" y="492182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42</xdr:col>
      <xdr:colOff>163780</xdr:colOff>
      <xdr:row>25</xdr:row>
      <xdr:rowOff>139043</xdr:rowOff>
    </xdr:from>
    <xdr:ext cx="706540" cy="280205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EA4CC388-62FE-46A8-B7DF-7FFE71F7B72F}"/>
            </a:ext>
          </a:extLst>
        </xdr:cNvPr>
        <xdr:cNvSpPr txBox="1"/>
      </xdr:nvSpPr>
      <xdr:spPr>
        <a:xfrm>
          <a:off x="8964880" y="49015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30</xdr:col>
      <xdr:colOff>167738</xdr:colOff>
      <xdr:row>25</xdr:row>
      <xdr:rowOff>143001</xdr:rowOff>
    </xdr:from>
    <xdr:ext cx="706540" cy="280205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70C918C6-268A-4180-A3F8-FE4D87DE858B}"/>
            </a:ext>
          </a:extLst>
        </xdr:cNvPr>
        <xdr:cNvSpPr txBox="1"/>
      </xdr:nvSpPr>
      <xdr:spPr>
        <a:xfrm>
          <a:off x="6454238" y="490550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48</xdr:col>
      <xdr:colOff>159325</xdr:colOff>
      <xdr:row>25</xdr:row>
      <xdr:rowOff>159329</xdr:rowOff>
    </xdr:from>
    <xdr:ext cx="706540" cy="280205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ED0082F-F740-4C04-8DDB-30305DB06BCA}"/>
            </a:ext>
          </a:extLst>
        </xdr:cNvPr>
        <xdr:cNvSpPr txBox="1"/>
      </xdr:nvSpPr>
      <xdr:spPr>
        <a:xfrm>
          <a:off x="10217725" y="49218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24</xdr:col>
      <xdr:colOff>200395</xdr:colOff>
      <xdr:row>25</xdr:row>
      <xdr:rowOff>175658</xdr:rowOff>
    </xdr:from>
    <xdr:ext cx="706540" cy="28020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7EFC64C4-C2B0-421E-9384-1789FC778903}"/>
            </a:ext>
          </a:extLst>
        </xdr:cNvPr>
        <xdr:cNvSpPr txBox="1"/>
      </xdr:nvSpPr>
      <xdr:spPr>
        <a:xfrm>
          <a:off x="5229595" y="493815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36</xdr:col>
      <xdr:colOff>154873</xdr:colOff>
      <xdr:row>25</xdr:row>
      <xdr:rowOff>179616</xdr:rowOff>
    </xdr:from>
    <xdr:ext cx="706540" cy="280205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AB392F3A-23D7-4F3C-BF1E-BF1CCA65CA41}"/>
            </a:ext>
          </a:extLst>
        </xdr:cNvPr>
        <xdr:cNvSpPr txBox="1"/>
      </xdr:nvSpPr>
      <xdr:spPr>
        <a:xfrm>
          <a:off x="7698673" y="49421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0</xdr:col>
      <xdr:colOff>139038</xdr:colOff>
      <xdr:row>31</xdr:row>
      <xdr:rowOff>163782</xdr:rowOff>
    </xdr:from>
    <xdr:ext cx="784510" cy="280205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FC5FBC3C-31FD-4A0D-86EC-70042B3F8A98}"/>
            </a:ext>
          </a:extLst>
        </xdr:cNvPr>
        <xdr:cNvSpPr txBox="1"/>
      </xdr:nvSpPr>
      <xdr:spPr>
        <a:xfrm>
          <a:off x="139038" y="606928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6</xdr:col>
      <xdr:colOff>167737</xdr:colOff>
      <xdr:row>31</xdr:row>
      <xdr:rowOff>167740</xdr:rowOff>
    </xdr:from>
    <xdr:ext cx="784510" cy="28020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3655C2D0-52F0-489C-8185-4F7F43178269}"/>
            </a:ext>
          </a:extLst>
        </xdr:cNvPr>
        <xdr:cNvSpPr txBox="1"/>
      </xdr:nvSpPr>
      <xdr:spPr>
        <a:xfrm>
          <a:off x="1425037" y="60732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12</xdr:col>
      <xdr:colOff>146956</xdr:colOff>
      <xdr:row>31</xdr:row>
      <xdr:rowOff>171698</xdr:rowOff>
    </xdr:from>
    <xdr:ext cx="784510" cy="280205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19DDA332-69CC-4324-9654-2D692E8BCFDA}"/>
            </a:ext>
          </a:extLst>
        </xdr:cNvPr>
        <xdr:cNvSpPr txBox="1"/>
      </xdr:nvSpPr>
      <xdr:spPr>
        <a:xfrm>
          <a:off x="2661556" y="607719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19</xdr:col>
      <xdr:colOff>37110</xdr:colOff>
      <xdr:row>31</xdr:row>
      <xdr:rowOff>160812</xdr:rowOff>
    </xdr:from>
    <xdr:ext cx="784510" cy="280205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6D18FA08-5658-4247-848E-5059D7C0ED30}"/>
            </a:ext>
          </a:extLst>
        </xdr:cNvPr>
        <xdr:cNvSpPr txBox="1"/>
      </xdr:nvSpPr>
      <xdr:spPr>
        <a:xfrm>
          <a:off x="4018560" y="606631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24</xdr:col>
      <xdr:colOff>201880</xdr:colOff>
      <xdr:row>31</xdr:row>
      <xdr:rowOff>152400</xdr:rowOff>
    </xdr:from>
    <xdr:ext cx="706540" cy="280205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D799D5E-E651-4D55-ACDF-97091F14689F}"/>
            </a:ext>
          </a:extLst>
        </xdr:cNvPr>
        <xdr:cNvSpPr txBox="1"/>
      </xdr:nvSpPr>
      <xdr:spPr>
        <a:xfrm>
          <a:off x="5231080" y="605790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30</xdr:col>
      <xdr:colOff>160811</xdr:colOff>
      <xdr:row>31</xdr:row>
      <xdr:rowOff>136071</xdr:rowOff>
    </xdr:from>
    <xdr:ext cx="706540" cy="280205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1B1D5885-D267-4CC6-9201-319450229655}"/>
            </a:ext>
          </a:extLst>
        </xdr:cNvPr>
        <xdr:cNvSpPr txBox="1"/>
      </xdr:nvSpPr>
      <xdr:spPr>
        <a:xfrm>
          <a:off x="6447311" y="604157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36</xdr:col>
      <xdr:colOff>160812</xdr:colOff>
      <xdr:row>31</xdr:row>
      <xdr:rowOff>148442</xdr:rowOff>
    </xdr:from>
    <xdr:ext cx="706540" cy="280205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3B3232D9-E4A7-4BEF-BB4F-24187E189757}"/>
            </a:ext>
          </a:extLst>
        </xdr:cNvPr>
        <xdr:cNvSpPr txBox="1"/>
      </xdr:nvSpPr>
      <xdr:spPr>
        <a:xfrm>
          <a:off x="7704612" y="605394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42</xdr:col>
      <xdr:colOff>197923</xdr:colOff>
      <xdr:row>31</xdr:row>
      <xdr:rowOff>160812</xdr:rowOff>
    </xdr:from>
    <xdr:ext cx="706540" cy="280205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EEA0E7E6-3676-4F7B-BE78-9D4F89E8F2F7}"/>
            </a:ext>
          </a:extLst>
        </xdr:cNvPr>
        <xdr:cNvSpPr txBox="1"/>
      </xdr:nvSpPr>
      <xdr:spPr>
        <a:xfrm>
          <a:off x="8999023" y="60663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48</xdr:col>
      <xdr:colOff>173182</xdr:colOff>
      <xdr:row>31</xdr:row>
      <xdr:rowOff>160812</xdr:rowOff>
    </xdr:from>
    <xdr:ext cx="706540" cy="280205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33DC0F20-F0A1-4700-85AC-BE6B10228E24}"/>
            </a:ext>
          </a:extLst>
        </xdr:cNvPr>
        <xdr:cNvSpPr txBox="1"/>
      </xdr:nvSpPr>
      <xdr:spPr>
        <a:xfrm>
          <a:off x="10231582" y="60663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37</xdr:col>
      <xdr:colOff>6925</xdr:colOff>
      <xdr:row>37</xdr:row>
      <xdr:rowOff>142999</xdr:rowOff>
    </xdr:from>
    <xdr:ext cx="706540" cy="280205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37BA38D0-F8FF-4D24-A39F-F19D7A55689F}"/>
            </a:ext>
          </a:extLst>
        </xdr:cNvPr>
        <xdr:cNvSpPr txBox="1"/>
      </xdr:nvSpPr>
      <xdr:spPr>
        <a:xfrm>
          <a:off x="7760275" y="719149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6</xdr:col>
      <xdr:colOff>146955</xdr:colOff>
      <xdr:row>37</xdr:row>
      <xdr:rowOff>134588</xdr:rowOff>
    </xdr:from>
    <xdr:ext cx="784510" cy="280205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3428CF66-55E8-45B9-B335-13531C2E0E26}"/>
            </a:ext>
          </a:extLst>
        </xdr:cNvPr>
        <xdr:cNvSpPr txBox="1"/>
      </xdr:nvSpPr>
      <xdr:spPr>
        <a:xfrm>
          <a:off x="1404255" y="718308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0</xdr:col>
      <xdr:colOff>188023</xdr:colOff>
      <xdr:row>37</xdr:row>
      <xdr:rowOff>163286</xdr:rowOff>
    </xdr:from>
    <xdr:ext cx="784510" cy="280205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EC2FA78-F0A3-4832-A20B-7CBD2DCC1137}"/>
            </a:ext>
          </a:extLst>
        </xdr:cNvPr>
        <xdr:cNvSpPr txBox="1"/>
      </xdr:nvSpPr>
      <xdr:spPr>
        <a:xfrm>
          <a:off x="188023" y="721178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12</xdr:col>
      <xdr:colOff>179612</xdr:colOff>
      <xdr:row>37</xdr:row>
      <xdr:rowOff>154875</xdr:rowOff>
    </xdr:from>
    <xdr:ext cx="784510" cy="280205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C46D7DB4-FB1E-4D82-B398-E114D6E5A0CF}"/>
            </a:ext>
          </a:extLst>
        </xdr:cNvPr>
        <xdr:cNvSpPr txBox="1"/>
      </xdr:nvSpPr>
      <xdr:spPr>
        <a:xfrm>
          <a:off x="2694212" y="720337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24</xdr:col>
      <xdr:colOff>208310</xdr:colOff>
      <xdr:row>37</xdr:row>
      <xdr:rowOff>134093</xdr:rowOff>
    </xdr:from>
    <xdr:ext cx="706540" cy="280205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BD3ADA2E-D71F-4B8D-88B9-C045D84C0313}"/>
            </a:ext>
          </a:extLst>
        </xdr:cNvPr>
        <xdr:cNvSpPr txBox="1"/>
      </xdr:nvSpPr>
      <xdr:spPr>
        <a:xfrm>
          <a:off x="5237510" y="718259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19</xdr:col>
      <xdr:colOff>14346</xdr:colOff>
      <xdr:row>37</xdr:row>
      <xdr:rowOff>138051</xdr:rowOff>
    </xdr:from>
    <xdr:ext cx="784510" cy="280205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AB6676A-A67D-46C8-B20A-B85D3E871ED3}"/>
            </a:ext>
          </a:extLst>
        </xdr:cNvPr>
        <xdr:cNvSpPr txBox="1"/>
      </xdr:nvSpPr>
      <xdr:spPr>
        <a:xfrm>
          <a:off x="3995796" y="718655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30</xdr:col>
      <xdr:colOff>166747</xdr:colOff>
      <xdr:row>37</xdr:row>
      <xdr:rowOff>154379</xdr:rowOff>
    </xdr:from>
    <xdr:ext cx="706540" cy="280205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C7169E4E-0AB3-4E3C-B119-8C80DCF7CAC5}"/>
            </a:ext>
          </a:extLst>
        </xdr:cNvPr>
        <xdr:cNvSpPr txBox="1"/>
      </xdr:nvSpPr>
      <xdr:spPr>
        <a:xfrm>
          <a:off x="6453247" y="720287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42</xdr:col>
      <xdr:colOff>197923</xdr:colOff>
      <xdr:row>37</xdr:row>
      <xdr:rowOff>136072</xdr:rowOff>
    </xdr:from>
    <xdr:ext cx="706540" cy="280205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56BE84AF-850C-4BBD-99D5-08BCC627D11F}"/>
            </a:ext>
          </a:extLst>
        </xdr:cNvPr>
        <xdr:cNvSpPr txBox="1"/>
      </xdr:nvSpPr>
      <xdr:spPr>
        <a:xfrm>
          <a:off x="8999023" y="718457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48</xdr:col>
      <xdr:colOff>177141</xdr:colOff>
      <xdr:row>37</xdr:row>
      <xdr:rowOff>140030</xdr:rowOff>
    </xdr:from>
    <xdr:ext cx="706540" cy="280205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D35B2049-41B7-411E-8FC0-2A96A2DB5A34}"/>
            </a:ext>
          </a:extLst>
        </xdr:cNvPr>
        <xdr:cNvSpPr txBox="1"/>
      </xdr:nvSpPr>
      <xdr:spPr>
        <a:xfrm>
          <a:off x="10235541" y="718853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36</xdr:col>
      <xdr:colOff>94570</xdr:colOff>
      <xdr:row>43</xdr:row>
      <xdr:rowOff>167655</xdr:rowOff>
    </xdr:from>
    <xdr:ext cx="706540" cy="280205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4F0A018E-C356-4CD4-BB97-B3C54504E1AC}"/>
            </a:ext>
          </a:extLst>
        </xdr:cNvPr>
        <xdr:cNvSpPr txBox="1"/>
      </xdr:nvSpPr>
      <xdr:spPr>
        <a:xfrm>
          <a:off x="7638370" y="8359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6</xdr:col>
      <xdr:colOff>91725</xdr:colOff>
      <xdr:row>43</xdr:row>
      <xdr:rowOff>151307</xdr:rowOff>
    </xdr:from>
    <xdr:ext cx="784510" cy="280205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14843831-6E6B-4378-B9C8-CF2BC3753CA1}"/>
            </a:ext>
          </a:extLst>
        </xdr:cNvPr>
        <xdr:cNvSpPr txBox="1"/>
      </xdr:nvSpPr>
      <xdr:spPr>
        <a:xfrm>
          <a:off x="1349025" y="83428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0</xdr:col>
      <xdr:colOff>132793</xdr:colOff>
      <xdr:row>43</xdr:row>
      <xdr:rowOff>180005</xdr:rowOff>
    </xdr:from>
    <xdr:ext cx="784510" cy="280205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A9011C34-B8CC-45C9-977F-7338295C2F30}"/>
            </a:ext>
          </a:extLst>
        </xdr:cNvPr>
        <xdr:cNvSpPr txBox="1"/>
      </xdr:nvSpPr>
      <xdr:spPr>
        <a:xfrm>
          <a:off x="132793" y="83715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12</xdr:col>
      <xdr:colOff>124382</xdr:colOff>
      <xdr:row>43</xdr:row>
      <xdr:rowOff>171594</xdr:rowOff>
    </xdr:from>
    <xdr:ext cx="784510" cy="280205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C17DABBC-1508-4359-B856-E1A83694EB2D}"/>
            </a:ext>
          </a:extLst>
        </xdr:cNvPr>
        <xdr:cNvSpPr txBox="1"/>
      </xdr:nvSpPr>
      <xdr:spPr>
        <a:xfrm>
          <a:off x="2638982" y="83630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24</xdr:col>
      <xdr:colOff>153080</xdr:colOff>
      <xdr:row>43</xdr:row>
      <xdr:rowOff>150812</xdr:rowOff>
    </xdr:from>
    <xdr:ext cx="706540" cy="280205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4A0CB220-68BD-47D7-B924-3176F2D09D2F}"/>
            </a:ext>
          </a:extLst>
        </xdr:cNvPr>
        <xdr:cNvSpPr txBox="1"/>
      </xdr:nvSpPr>
      <xdr:spPr>
        <a:xfrm>
          <a:off x="5182280" y="83423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18</xdr:col>
      <xdr:colOff>165491</xdr:colOff>
      <xdr:row>43</xdr:row>
      <xdr:rowOff>154770</xdr:rowOff>
    </xdr:from>
    <xdr:ext cx="784510" cy="280205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D2F17E44-726E-4979-94D6-20FC53E84AD8}"/>
            </a:ext>
          </a:extLst>
        </xdr:cNvPr>
        <xdr:cNvSpPr txBox="1"/>
      </xdr:nvSpPr>
      <xdr:spPr>
        <a:xfrm>
          <a:off x="3937391" y="83462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30</xdr:col>
      <xdr:colOff>111517</xdr:colOff>
      <xdr:row>43</xdr:row>
      <xdr:rowOff>171098</xdr:rowOff>
    </xdr:from>
    <xdr:ext cx="706540" cy="280205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5F8B00C-A2BD-42CC-9994-85E94C23CF08}"/>
            </a:ext>
          </a:extLst>
        </xdr:cNvPr>
        <xdr:cNvSpPr txBox="1"/>
      </xdr:nvSpPr>
      <xdr:spPr>
        <a:xfrm>
          <a:off x="6398017" y="83625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42</xdr:col>
      <xdr:colOff>142693</xdr:colOff>
      <xdr:row>43</xdr:row>
      <xdr:rowOff>152791</xdr:rowOff>
    </xdr:from>
    <xdr:ext cx="706540" cy="28020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A6D2451E-DB2A-4D83-BA65-BF73891D1510}"/>
            </a:ext>
          </a:extLst>
        </xdr:cNvPr>
        <xdr:cNvSpPr txBox="1"/>
      </xdr:nvSpPr>
      <xdr:spPr>
        <a:xfrm>
          <a:off x="8943793" y="83442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48</xdr:col>
      <xdr:colOff>121911</xdr:colOff>
      <xdr:row>43</xdr:row>
      <xdr:rowOff>156749</xdr:rowOff>
    </xdr:from>
    <xdr:ext cx="706540" cy="280205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65D28F8A-7D94-429E-9CA9-6E77E6F7A2FB}"/>
            </a:ext>
          </a:extLst>
        </xdr:cNvPr>
        <xdr:cNvSpPr txBox="1"/>
      </xdr:nvSpPr>
      <xdr:spPr>
        <a:xfrm>
          <a:off x="10180311" y="83482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36</xdr:col>
      <xdr:colOff>145044</xdr:colOff>
      <xdr:row>49</xdr:row>
      <xdr:rowOff>173593</xdr:rowOff>
    </xdr:from>
    <xdr:ext cx="706540" cy="280205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BD7FD6AF-68DF-452A-A0FE-E24272A816ED}"/>
            </a:ext>
          </a:extLst>
        </xdr:cNvPr>
        <xdr:cNvSpPr txBox="1"/>
      </xdr:nvSpPr>
      <xdr:spPr>
        <a:xfrm>
          <a:off x="7688844" y="950809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6</xdr:col>
      <xdr:colOff>78699</xdr:colOff>
      <xdr:row>49</xdr:row>
      <xdr:rowOff>165182</xdr:rowOff>
    </xdr:from>
    <xdr:ext cx="784510" cy="280205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37F80A5C-8F01-4B9A-B542-8F7058A4F93E}"/>
            </a:ext>
          </a:extLst>
        </xdr:cNvPr>
        <xdr:cNvSpPr txBox="1"/>
      </xdr:nvSpPr>
      <xdr:spPr>
        <a:xfrm>
          <a:off x="1335999" y="949968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0</xdr:col>
      <xdr:colOff>119767</xdr:colOff>
      <xdr:row>50</xdr:row>
      <xdr:rowOff>3380</xdr:rowOff>
    </xdr:from>
    <xdr:ext cx="784510" cy="28020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ADCE18CE-BDE1-4188-8C38-D25F12D53214}"/>
            </a:ext>
          </a:extLst>
        </xdr:cNvPr>
        <xdr:cNvSpPr txBox="1"/>
      </xdr:nvSpPr>
      <xdr:spPr>
        <a:xfrm>
          <a:off x="119767" y="952838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12</xdr:col>
      <xdr:colOff>111356</xdr:colOff>
      <xdr:row>49</xdr:row>
      <xdr:rowOff>185469</xdr:rowOff>
    </xdr:from>
    <xdr:ext cx="784510" cy="280205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B16ECADA-6F73-482B-BBB2-452A95D00652}"/>
            </a:ext>
          </a:extLst>
        </xdr:cNvPr>
        <xdr:cNvSpPr txBox="1"/>
      </xdr:nvSpPr>
      <xdr:spPr>
        <a:xfrm>
          <a:off x="2625956" y="951996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24</xdr:col>
      <xdr:colOff>140054</xdr:colOff>
      <xdr:row>49</xdr:row>
      <xdr:rowOff>164687</xdr:rowOff>
    </xdr:from>
    <xdr:ext cx="706540" cy="280205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2689C4B3-9802-496F-88EC-188940395C49}"/>
            </a:ext>
          </a:extLst>
        </xdr:cNvPr>
        <xdr:cNvSpPr txBox="1"/>
      </xdr:nvSpPr>
      <xdr:spPr>
        <a:xfrm>
          <a:off x="5169254" y="949918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18</xdr:col>
      <xdr:colOff>152465</xdr:colOff>
      <xdr:row>49</xdr:row>
      <xdr:rowOff>168645</xdr:rowOff>
    </xdr:from>
    <xdr:ext cx="784510" cy="280205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B9B31138-EFE5-48AB-B09D-20B562DF0EDD}"/>
            </a:ext>
          </a:extLst>
        </xdr:cNvPr>
        <xdr:cNvSpPr txBox="1"/>
      </xdr:nvSpPr>
      <xdr:spPr>
        <a:xfrm>
          <a:off x="3924365" y="950314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30</xdr:col>
      <xdr:colOff>98491</xdr:colOff>
      <xdr:row>49</xdr:row>
      <xdr:rowOff>184973</xdr:rowOff>
    </xdr:from>
    <xdr:ext cx="706540" cy="28020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DF31C505-7638-46F9-BE37-C0DEC6EEB301}"/>
            </a:ext>
          </a:extLst>
        </xdr:cNvPr>
        <xdr:cNvSpPr txBox="1"/>
      </xdr:nvSpPr>
      <xdr:spPr>
        <a:xfrm>
          <a:off x="6384991" y="951947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42</xdr:col>
      <xdr:colOff>129667</xdr:colOff>
      <xdr:row>49</xdr:row>
      <xdr:rowOff>166666</xdr:rowOff>
    </xdr:from>
    <xdr:ext cx="706540" cy="28020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1422EAF2-C902-4364-9633-42AA9C4A83AA}"/>
            </a:ext>
          </a:extLst>
        </xdr:cNvPr>
        <xdr:cNvSpPr txBox="1"/>
      </xdr:nvSpPr>
      <xdr:spPr>
        <a:xfrm>
          <a:off x="8930767" y="950116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48</xdr:col>
      <xdr:colOff>108885</xdr:colOff>
      <xdr:row>49</xdr:row>
      <xdr:rowOff>170624</xdr:rowOff>
    </xdr:from>
    <xdr:ext cx="706540" cy="280205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56873489-3F79-4112-BC44-A22CB8C5EE3F}"/>
            </a:ext>
          </a:extLst>
        </xdr:cNvPr>
        <xdr:cNvSpPr txBox="1"/>
      </xdr:nvSpPr>
      <xdr:spPr>
        <a:xfrm>
          <a:off x="10167285" y="9505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36</xdr:col>
      <xdr:colOff>158069</xdr:colOff>
      <xdr:row>55</xdr:row>
      <xdr:rowOff>159718</xdr:rowOff>
    </xdr:from>
    <xdr:ext cx="706540" cy="280205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904B3E99-4C9B-40F9-A1FF-5018A00ECDF1}"/>
            </a:ext>
          </a:extLst>
        </xdr:cNvPr>
        <xdr:cNvSpPr txBox="1"/>
      </xdr:nvSpPr>
      <xdr:spPr>
        <a:xfrm>
          <a:off x="7701869" y="10637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6</xdr:col>
      <xdr:colOff>91724</xdr:colOff>
      <xdr:row>55</xdr:row>
      <xdr:rowOff>151307</xdr:rowOff>
    </xdr:from>
    <xdr:ext cx="784510" cy="28020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D8426465-2305-4E29-883D-CBF222E99503}"/>
            </a:ext>
          </a:extLst>
        </xdr:cNvPr>
        <xdr:cNvSpPr txBox="1"/>
      </xdr:nvSpPr>
      <xdr:spPr>
        <a:xfrm>
          <a:off x="1349024" y="106288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0</xdr:col>
      <xdr:colOff>132792</xdr:colOff>
      <xdr:row>55</xdr:row>
      <xdr:rowOff>180005</xdr:rowOff>
    </xdr:from>
    <xdr:ext cx="784510" cy="28020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1AFC8DB6-64A1-49E7-A4AF-A5F58B691972}"/>
            </a:ext>
          </a:extLst>
        </xdr:cNvPr>
        <xdr:cNvSpPr txBox="1"/>
      </xdr:nvSpPr>
      <xdr:spPr>
        <a:xfrm>
          <a:off x="132792" y="106575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12</xdr:col>
      <xdr:colOff>124381</xdr:colOff>
      <xdr:row>55</xdr:row>
      <xdr:rowOff>171594</xdr:rowOff>
    </xdr:from>
    <xdr:ext cx="78451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E916DF32-32A1-4E88-A7E2-2B8945E58AA0}"/>
            </a:ext>
          </a:extLst>
        </xdr:cNvPr>
        <xdr:cNvSpPr txBox="1"/>
      </xdr:nvSpPr>
      <xdr:spPr>
        <a:xfrm>
          <a:off x="2638981" y="106490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24</xdr:col>
      <xdr:colOff>153079</xdr:colOff>
      <xdr:row>55</xdr:row>
      <xdr:rowOff>150812</xdr:rowOff>
    </xdr:from>
    <xdr:ext cx="706540" cy="28020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C9701567-8BB7-488A-B8C0-304CD8A30E68}"/>
            </a:ext>
          </a:extLst>
        </xdr:cNvPr>
        <xdr:cNvSpPr txBox="1"/>
      </xdr:nvSpPr>
      <xdr:spPr>
        <a:xfrm>
          <a:off x="5182279" y="106283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18</xdr:col>
      <xdr:colOff>165490</xdr:colOff>
      <xdr:row>55</xdr:row>
      <xdr:rowOff>154770</xdr:rowOff>
    </xdr:from>
    <xdr:ext cx="784510" cy="28020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80D97233-866F-4F69-B5F4-AA8EF9E285BA}"/>
            </a:ext>
          </a:extLst>
        </xdr:cNvPr>
        <xdr:cNvSpPr txBox="1"/>
      </xdr:nvSpPr>
      <xdr:spPr>
        <a:xfrm>
          <a:off x="3937390" y="106322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30</xdr:col>
      <xdr:colOff>111516</xdr:colOff>
      <xdr:row>55</xdr:row>
      <xdr:rowOff>171098</xdr:rowOff>
    </xdr:from>
    <xdr:ext cx="706540" cy="280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3AD352A7-ADF4-453F-9FC7-95FF5F19490A}"/>
            </a:ext>
          </a:extLst>
        </xdr:cNvPr>
        <xdr:cNvSpPr txBox="1"/>
      </xdr:nvSpPr>
      <xdr:spPr>
        <a:xfrm>
          <a:off x="6398016" y="106485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43</xdr:col>
      <xdr:colOff>110942</xdr:colOff>
      <xdr:row>54</xdr:row>
      <xdr:rowOff>176604</xdr:rowOff>
    </xdr:from>
    <xdr:ext cx="706540" cy="28020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B5031F03-42D2-4982-B428-6C4F038A642F}"/>
            </a:ext>
          </a:extLst>
        </xdr:cNvPr>
        <xdr:cNvSpPr txBox="1"/>
      </xdr:nvSpPr>
      <xdr:spPr>
        <a:xfrm>
          <a:off x="9121592" y="104636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48</xdr:col>
      <xdr:colOff>121910</xdr:colOff>
      <xdr:row>55</xdr:row>
      <xdr:rowOff>156749</xdr:rowOff>
    </xdr:from>
    <xdr:ext cx="706540" cy="28020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BC7E8076-DC9B-418A-9DAD-0BB48A6C9A5C}"/>
            </a:ext>
          </a:extLst>
        </xdr:cNvPr>
        <xdr:cNvSpPr txBox="1"/>
      </xdr:nvSpPr>
      <xdr:spPr>
        <a:xfrm>
          <a:off x="10180310" y="106342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0</xdr:row>
      <xdr:rowOff>38100</xdr:rowOff>
    </xdr:from>
    <xdr:to>
      <xdr:col>38</xdr:col>
      <xdr:colOff>9525</xdr:colOff>
      <xdr:row>105</xdr:row>
      <xdr:rowOff>133350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E7660C48-0434-4859-A784-F4D31579B92F}"/>
            </a:ext>
          </a:extLst>
        </xdr:cNvPr>
        <xdr:cNvCxnSpPr/>
      </xdr:nvCxnSpPr>
      <xdr:spPr>
        <a:xfrm>
          <a:off x="7962900" y="38100"/>
          <a:ext cx="9525" cy="20145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9525</xdr:colOff>
      <xdr:row>1</xdr:row>
      <xdr:rowOff>57150</xdr:rowOff>
    </xdr:from>
    <xdr:to>
      <xdr:col>26</xdr:col>
      <xdr:colOff>19050</xdr:colOff>
      <xdr:row>104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65E6ABA9-6995-460E-8266-19C6DCDA13E5}"/>
            </a:ext>
          </a:extLst>
        </xdr:cNvPr>
        <xdr:cNvCxnSpPr/>
      </xdr:nvCxnSpPr>
      <xdr:spPr>
        <a:xfrm>
          <a:off x="5457825" y="247650"/>
          <a:ext cx="9525" cy="197167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200025</xdr:colOff>
      <xdr:row>1</xdr:row>
      <xdr:rowOff>171450</xdr:rowOff>
    </xdr:from>
    <xdr:to>
      <xdr:col>32</xdr:col>
      <xdr:colOff>19050</xdr:colOff>
      <xdr:row>104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327D76F-2DAE-4FDD-8D4B-B12F1A7B3AC5}"/>
            </a:ext>
          </a:extLst>
        </xdr:cNvPr>
        <xdr:cNvCxnSpPr/>
      </xdr:nvCxnSpPr>
      <xdr:spPr>
        <a:xfrm>
          <a:off x="6696075" y="361950"/>
          <a:ext cx="28575" cy="196500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1</xdr:row>
      <xdr:rowOff>114300</xdr:rowOff>
    </xdr:from>
    <xdr:to>
      <xdr:col>20</xdr:col>
      <xdr:colOff>19050</xdr:colOff>
      <xdr:row>104</xdr:row>
      <xdr:rowOff>38100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F1CFFB6-2B97-45AA-A27B-0D4420897DAD}"/>
            </a:ext>
          </a:extLst>
        </xdr:cNvPr>
        <xdr:cNvCxnSpPr/>
      </xdr:nvCxnSpPr>
      <xdr:spPr>
        <a:xfrm>
          <a:off x="4200525" y="304800"/>
          <a:ext cx="9525" cy="195929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200025</xdr:colOff>
      <xdr:row>0</xdr:row>
      <xdr:rowOff>152400</xdr:rowOff>
    </xdr:from>
    <xdr:to>
      <xdr:col>14</xdr:col>
      <xdr:colOff>9526</xdr:colOff>
      <xdr:row>104</xdr:row>
      <xdr:rowOff>47625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5B86D5BF-2A22-4EFD-BAB2-A66527B58913}"/>
            </a:ext>
          </a:extLst>
        </xdr:cNvPr>
        <xdr:cNvCxnSpPr/>
      </xdr:nvCxnSpPr>
      <xdr:spPr>
        <a:xfrm flipH="1">
          <a:off x="2924175" y="152400"/>
          <a:ext cx="19051" cy="197548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1</xdr:row>
      <xdr:rowOff>19050</xdr:rowOff>
    </xdr:from>
    <xdr:to>
      <xdr:col>8</xdr:col>
      <xdr:colOff>19050</xdr:colOff>
      <xdr:row>104</xdr:row>
      <xdr:rowOff>76200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98DD2904-D7BD-47F8-B7E1-B11635561802}"/>
            </a:ext>
          </a:extLst>
        </xdr:cNvPr>
        <xdr:cNvCxnSpPr/>
      </xdr:nvCxnSpPr>
      <xdr:spPr>
        <a:xfrm>
          <a:off x="1676401" y="209550"/>
          <a:ext cx="19049" cy="197262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</xdr:colOff>
      <xdr:row>0</xdr:row>
      <xdr:rowOff>180975</xdr:rowOff>
    </xdr:from>
    <xdr:to>
      <xdr:col>44</xdr:col>
      <xdr:colOff>9526</xdr:colOff>
      <xdr:row>104</xdr:row>
      <xdr:rowOff>85725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C0C3FE8-88A4-4EDC-9A1B-5139F414E154}"/>
            </a:ext>
          </a:extLst>
        </xdr:cNvPr>
        <xdr:cNvCxnSpPr/>
      </xdr:nvCxnSpPr>
      <xdr:spPr>
        <a:xfrm flipH="1">
          <a:off x="9229725" y="180975"/>
          <a:ext cx="1" cy="19764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1</xdr:row>
      <xdr:rowOff>172893</xdr:rowOff>
    </xdr:from>
    <xdr:to>
      <xdr:col>50</xdr:col>
      <xdr:colOff>9525</xdr:colOff>
      <xdr:row>105</xdr:row>
      <xdr:rowOff>80529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4690AA57-BD00-467E-9247-D5AF9C0CFC59}"/>
            </a:ext>
          </a:extLst>
        </xdr:cNvPr>
        <xdr:cNvCxnSpPr/>
      </xdr:nvCxnSpPr>
      <xdr:spPr>
        <a:xfrm flipH="1">
          <a:off x="10477500" y="363393"/>
          <a:ext cx="9525" cy="1976726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0</xdr:row>
      <xdr:rowOff>66675</xdr:rowOff>
    </xdr:from>
    <xdr:to>
      <xdr:col>56</xdr:col>
      <xdr:colOff>9525</xdr:colOff>
      <xdr:row>104</xdr:row>
      <xdr:rowOff>38100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F1E4ECF9-1CBB-4AE5-9312-4DFE4B3576C9}"/>
            </a:ext>
          </a:extLst>
        </xdr:cNvPr>
        <xdr:cNvCxnSpPr/>
      </xdr:nvCxnSpPr>
      <xdr:spPr>
        <a:xfrm>
          <a:off x="11734800" y="66675"/>
          <a:ext cx="9525" cy="19831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19050</xdr:colOff>
      <xdr:row>0</xdr:row>
      <xdr:rowOff>171450</xdr:rowOff>
    </xdr:from>
    <xdr:to>
      <xdr:col>62</xdr:col>
      <xdr:colOff>19050</xdr:colOff>
      <xdr:row>104</xdr:row>
      <xdr:rowOff>9525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34B197E0-B217-478D-8954-A530D5E0F5F0}"/>
            </a:ext>
          </a:extLst>
        </xdr:cNvPr>
        <xdr:cNvCxnSpPr/>
      </xdr:nvCxnSpPr>
      <xdr:spPr>
        <a:xfrm>
          <a:off x="13011150" y="171450"/>
          <a:ext cx="0" cy="1969770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12369</xdr:colOff>
      <xdr:row>1</xdr:row>
      <xdr:rowOff>174295</xdr:rowOff>
    </xdr:from>
    <xdr:to>
      <xdr:col>68</xdr:col>
      <xdr:colOff>19050</xdr:colOff>
      <xdr:row>104</xdr:row>
      <xdr:rowOff>38100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1B638B7-D15E-4A45-B33F-2615252FA1EE}"/>
            </a:ext>
          </a:extLst>
        </xdr:cNvPr>
        <xdr:cNvCxnSpPr/>
      </xdr:nvCxnSpPr>
      <xdr:spPr>
        <a:xfrm>
          <a:off x="14261769" y="364795"/>
          <a:ext cx="6681" cy="19532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74</xdr:col>
      <xdr:colOff>0</xdr:colOff>
      <xdr:row>8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720BD069-C4D6-4F03-9C36-D022542C1C9D}"/>
            </a:ext>
          </a:extLst>
        </xdr:cNvPr>
        <xdr:cNvCxnSpPr/>
      </xdr:nvCxnSpPr>
      <xdr:spPr>
        <a:xfrm>
          <a:off x="0" y="1571625"/>
          <a:ext cx="155067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38</xdr:row>
      <xdr:rowOff>0</xdr:rowOff>
    </xdr:from>
    <xdr:to>
      <xdr:col>74</xdr:col>
      <xdr:colOff>37111</xdr:colOff>
      <xdr:row>38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9554150-48D0-4080-A315-DFE2FD57C0BD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44</xdr:row>
      <xdr:rowOff>9525</xdr:rowOff>
    </xdr:from>
    <xdr:to>
      <xdr:col>74</xdr:col>
      <xdr:colOff>37111</xdr:colOff>
      <xdr:row>44</xdr:row>
      <xdr:rowOff>12370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AC8B48FE-B746-48FF-AF40-158BEE338258}"/>
            </a:ext>
          </a:extLst>
        </xdr:cNvPr>
        <xdr:cNvCxnSpPr/>
      </xdr:nvCxnSpPr>
      <xdr:spPr>
        <a:xfrm>
          <a:off x="38100" y="8439150"/>
          <a:ext cx="15505711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50</xdr:row>
      <xdr:rowOff>12371</xdr:rowOff>
    </xdr:from>
    <xdr:to>
      <xdr:col>74</xdr:col>
      <xdr:colOff>37111</xdr:colOff>
      <xdr:row>50</xdr:row>
      <xdr:rowOff>19050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24E49CB5-68EF-4AD8-B5DC-594F6EAA733C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74</xdr:col>
      <xdr:colOff>24741</xdr:colOff>
      <xdr:row>32</xdr:row>
      <xdr:rowOff>9525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54421D96-B8DD-4DB9-8E20-F9C24A3057DF}"/>
            </a:ext>
          </a:extLst>
        </xdr:cNvPr>
        <xdr:cNvCxnSpPr/>
      </xdr:nvCxnSpPr>
      <xdr:spPr>
        <a:xfrm flipV="1">
          <a:off x="0" y="6143625"/>
          <a:ext cx="1553144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123825</xdr:colOff>
      <xdr:row>25</xdr:row>
      <xdr:rowOff>180975</xdr:rowOff>
    </xdr:from>
    <xdr:to>
      <xdr:col>74</xdr:col>
      <xdr:colOff>0</xdr:colOff>
      <xdr:row>26</xdr:row>
      <xdr:rowOff>12370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3813A036-63B9-4E1D-B7C7-1396CDBF3EE5}"/>
            </a:ext>
          </a:extLst>
        </xdr:cNvPr>
        <xdr:cNvCxnSpPr/>
      </xdr:nvCxnSpPr>
      <xdr:spPr>
        <a:xfrm>
          <a:off x="333375" y="4991100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19</xdr:row>
      <xdr:rowOff>180975</xdr:rowOff>
    </xdr:from>
    <xdr:to>
      <xdr:col>74</xdr:col>
      <xdr:colOff>0</xdr:colOff>
      <xdr:row>20</xdr:row>
      <xdr:rowOff>12370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F5B8FF54-7479-4780-84A9-6CABEA6FFC3E}"/>
            </a:ext>
          </a:extLst>
        </xdr:cNvPr>
        <xdr:cNvCxnSpPr/>
      </xdr:nvCxnSpPr>
      <xdr:spPr>
        <a:xfrm>
          <a:off x="342900" y="3848100"/>
          <a:ext cx="15163800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173182</xdr:rowOff>
    </xdr:from>
    <xdr:to>
      <xdr:col>74</xdr:col>
      <xdr:colOff>12371</xdr:colOff>
      <xdr:row>14</xdr:row>
      <xdr:rowOff>24741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E8D06A5C-0DFC-49E8-9BF3-D57411298A64}"/>
            </a:ext>
          </a:extLst>
        </xdr:cNvPr>
        <xdr:cNvCxnSpPr/>
      </xdr:nvCxnSpPr>
      <xdr:spPr>
        <a:xfrm>
          <a:off x="419100" y="2697307"/>
          <a:ext cx="15099971" cy="420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70037</xdr:colOff>
      <xdr:row>55</xdr:row>
      <xdr:rowOff>182095</xdr:rowOff>
    </xdr:from>
    <xdr:to>
      <xdr:col>74</xdr:col>
      <xdr:colOff>24741</xdr:colOff>
      <xdr:row>56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39562E14-EBDE-4531-9E70-88912ACD231D}"/>
            </a:ext>
          </a:extLst>
        </xdr:cNvPr>
        <xdr:cNvCxnSpPr/>
      </xdr:nvCxnSpPr>
      <xdr:spPr>
        <a:xfrm>
          <a:off x="279587" y="10707220"/>
          <a:ext cx="15251854" cy="840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62</xdr:row>
      <xdr:rowOff>0</xdr:rowOff>
    </xdr:from>
    <xdr:to>
      <xdr:col>74</xdr:col>
      <xdr:colOff>12371</xdr:colOff>
      <xdr:row>62</xdr:row>
      <xdr:rowOff>9525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6C9A65FF-3518-4350-A3A7-366E20DCCDE5}"/>
            </a:ext>
          </a:extLst>
        </xdr:cNvPr>
        <xdr:cNvCxnSpPr/>
      </xdr:nvCxnSpPr>
      <xdr:spPr>
        <a:xfrm flipV="1">
          <a:off x="190500" y="11858625"/>
          <a:ext cx="1532857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68</xdr:row>
      <xdr:rowOff>0</xdr:rowOff>
    </xdr:from>
    <xdr:to>
      <xdr:col>74</xdr:col>
      <xdr:colOff>61851</xdr:colOff>
      <xdr:row>68</xdr:row>
      <xdr:rowOff>19050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8B825348-5428-4AD5-8A4C-262EEDEBE5CD}"/>
            </a:ext>
          </a:extLst>
        </xdr:cNvPr>
        <xdr:cNvCxnSpPr/>
      </xdr:nvCxnSpPr>
      <xdr:spPr>
        <a:xfrm flipV="1">
          <a:off x="342900" y="13001625"/>
          <a:ext cx="15225651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73</xdr:row>
      <xdr:rowOff>180975</xdr:rowOff>
    </xdr:from>
    <xdr:to>
      <xdr:col>74</xdr:col>
      <xdr:colOff>61851</xdr:colOff>
      <xdr:row>74</xdr:row>
      <xdr:rowOff>12370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50482D80-8AB1-4A18-BF80-FE96B661B32E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80</xdr:row>
      <xdr:rowOff>9525</xdr:rowOff>
    </xdr:from>
    <xdr:to>
      <xdr:col>74</xdr:col>
      <xdr:colOff>61851</xdr:colOff>
      <xdr:row>80</xdr:row>
      <xdr:rowOff>12370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90918B88-F125-497D-8C76-FBA39FDF1128}"/>
            </a:ext>
          </a:extLst>
        </xdr:cNvPr>
        <xdr:cNvCxnSpPr/>
      </xdr:nvCxnSpPr>
      <xdr:spPr>
        <a:xfrm>
          <a:off x="9525" y="15297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123702</xdr:colOff>
      <xdr:row>7</xdr:row>
      <xdr:rowOff>175657</xdr:rowOff>
    </xdr:from>
    <xdr:to>
      <xdr:col>62</xdr:col>
      <xdr:colOff>12370</xdr:colOff>
      <xdr:row>8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FC00FD1C-2C8F-4CCA-87DB-FF0DB39A4365}"/>
            </a:ext>
          </a:extLst>
        </xdr:cNvPr>
        <xdr:cNvCxnSpPr/>
      </xdr:nvCxnSpPr>
      <xdr:spPr>
        <a:xfrm>
          <a:off x="1590552" y="1556782"/>
          <a:ext cx="11413918" cy="148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12369</xdr:colOff>
      <xdr:row>7</xdr:row>
      <xdr:rowOff>111331</xdr:rowOff>
    </xdr:from>
    <xdr:to>
      <xdr:col>62</xdr:col>
      <xdr:colOff>19050</xdr:colOff>
      <xdr:row>98</xdr:row>
      <xdr:rowOff>38100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33897148-6428-4201-9932-28F077838C06}"/>
            </a:ext>
          </a:extLst>
        </xdr:cNvPr>
        <xdr:cNvCxnSpPr/>
      </xdr:nvCxnSpPr>
      <xdr:spPr>
        <a:xfrm>
          <a:off x="13004469" y="1492456"/>
          <a:ext cx="6681" cy="1726226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16328</xdr:colOff>
      <xdr:row>7</xdr:row>
      <xdr:rowOff>115290</xdr:rowOff>
    </xdr:from>
    <xdr:to>
      <xdr:col>8</xdr:col>
      <xdr:colOff>28575</xdr:colOff>
      <xdr:row>86</xdr:row>
      <xdr:rowOff>66675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5F7BA47-7012-4FF4-911B-3EC3E046817D}"/>
            </a:ext>
          </a:extLst>
        </xdr:cNvPr>
        <xdr:cNvCxnSpPr/>
      </xdr:nvCxnSpPr>
      <xdr:spPr>
        <a:xfrm>
          <a:off x="1692728" y="1496415"/>
          <a:ext cx="12247" cy="15000885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62</xdr:row>
      <xdr:rowOff>12370</xdr:rowOff>
    </xdr:from>
    <xdr:to>
      <xdr:col>38</xdr:col>
      <xdr:colOff>24741</xdr:colOff>
      <xdr:row>98</xdr:row>
      <xdr:rowOff>19050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B91739A6-AD53-4565-8DEA-0984130A85D7}"/>
            </a:ext>
          </a:extLst>
        </xdr:cNvPr>
        <xdr:cNvCxnSpPr/>
      </xdr:nvCxnSpPr>
      <xdr:spPr>
        <a:xfrm flipH="1">
          <a:off x="7962900" y="11870995"/>
          <a:ext cx="24741" cy="686468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190007</xdr:colOff>
      <xdr:row>8</xdr:row>
      <xdr:rowOff>-1</xdr:rowOff>
    </xdr:from>
    <xdr:to>
      <xdr:col>32</xdr:col>
      <xdr:colOff>24740</xdr:colOff>
      <xdr:row>37</xdr:row>
      <xdr:rowOff>148442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13C6853E-B7AC-420C-BD70-BC52C9213004}"/>
            </a:ext>
          </a:extLst>
        </xdr:cNvPr>
        <xdr:cNvCxnSpPr/>
      </xdr:nvCxnSpPr>
      <xdr:spPr>
        <a:xfrm>
          <a:off x="6686057" y="1571624"/>
          <a:ext cx="44283" cy="56729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181099</xdr:rowOff>
    </xdr:from>
    <xdr:to>
      <xdr:col>10</xdr:col>
      <xdr:colOff>37111</xdr:colOff>
      <xdr:row>8</xdr:row>
      <xdr:rowOff>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E2E28217-582D-4963-9AFE-206BC2E9AC8F}"/>
            </a:ext>
          </a:extLst>
        </xdr:cNvPr>
        <xdr:cNvCxnSpPr/>
      </xdr:nvCxnSpPr>
      <xdr:spPr>
        <a:xfrm flipH="1" flipV="1">
          <a:off x="0" y="1562224"/>
          <a:ext cx="2132611" cy="940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31</xdr:row>
      <xdr:rowOff>173182</xdr:rowOff>
    </xdr:from>
    <xdr:to>
      <xdr:col>8</xdr:col>
      <xdr:colOff>24740</xdr:colOff>
      <xdr:row>31</xdr:row>
      <xdr:rowOff>173183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CED1AB72-4A57-43CF-9A00-895590713DB6}"/>
            </a:ext>
          </a:extLst>
        </xdr:cNvPr>
        <xdr:cNvCxnSpPr/>
      </xdr:nvCxnSpPr>
      <xdr:spPr>
        <a:xfrm flipH="1">
          <a:off x="1" y="6126307"/>
          <a:ext cx="1701139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197923</xdr:colOff>
      <xdr:row>37</xdr:row>
      <xdr:rowOff>173182</xdr:rowOff>
    </xdr:from>
    <xdr:to>
      <xdr:col>62</xdr:col>
      <xdr:colOff>49480</xdr:colOff>
      <xdr:row>38</xdr:row>
      <xdr:rowOff>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C1412217-148E-477A-B268-EADFFF69D12D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12371</xdr:colOff>
      <xdr:row>37</xdr:row>
      <xdr:rowOff>145597</xdr:rowOff>
    </xdr:from>
    <xdr:to>
      <xdr:col>26</xdr:col>
      <xdr:colOff>13360</xdr:colOff>
      <xdr:row>62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2D2E7FF4-9169-43FF-9CED-76BA7E8DE16E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173183</xdr:colOff>
      <xdr:row>61</xdr:row>
      <xdr:rowOff>173181</xdr:rowOff>
    </xdr:from>
    <xdr:to>
      <xdr:col>38</xdr:col>
      <xdr:colOff>74221</xdr:colOff>
      <xdr:row>62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59627DDF-32D4-4074-8AE8-4573C688D6AB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8186</xdr:colOff>
      <xdr:row>61</xdr:row>
      <xdr:rowOff>120244</xdr:rowOff>
    </xdr:from>
    <xdr:to>
      <xdr:col>68</xdr:col>
      <xdr:colOff>102089</xdr:colOff>
      <xdr:row>68</xdr:row>
      <xdr:rowOff>162563</xdr:rowOff>
    </xdr:to>
    <xdr:sp macro="" textlink="">
      <xdr:nvSpPr>
        <xdr:cNvPr id="36" name="Freeform: Shape 35">
          <a:extLst>
            <a:ext uri="{FF2B5EF4-FFF2-40B4-BE49-F238E27FC236}">
              <a16:creationId xmlns:a16="http://schemas.microsoft.com/office/drawing/2014/main" id="{72F8DE4D-057D-4440-BAED-3CEB41EFD551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148442</xdr:colOff>
      <xdr:row>50</xdr:row>
      <xdr:rowOff>12371</xdr:rowOff>
    </xdr:from>
    <xdr:to>
      <xdr:col>26</xdr:col>
      <xdr:colOff>12371</xdr:colOff>
      <xdr:row>50</xdr:row>
      <xdr:rowOff>12371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D1CD6B9A-FB49-498C-9A8B-55862ED735DE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160812</xdr:colOff>
      <xdr:row>22</xdr:row>
      <xdr:rowOff>123701</xdr:rowOff>
    </xdr:from>
    <xdr:ext cx="1724831" cy="718466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E817A5D3-64CC-49E7-AA3E-C0AC9CF0CD49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39</xdr:col>
      <xdr:colOff>21113</xdr:colOff>
      <xdr:row>22</xdr:row>
      <xdr:rowOff>66551</xdr:rowOff>
    </xdr:from>
    <xdr:ext cx="2744021" cy="718466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506D8F96-01CC-497E-B2B5-CB3606F58174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38</xdr:col>
      <xdr:colOff>107827</xdr:colOff>
      <xdr:row>47</xdr:row>
      <xdr:rowOff>29379</xdr:rowOff>
    </xdr:from>
    <xdr:ext cx="2524665" cy="718466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65884322-E24B-469B-A746-D8DFD346B5C4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12</xdr:col>
      <xdr:colOff>111332</xdr:colOff>
      <xdr:row>64</xdr:row>
      <xdr:rowOff>24740</xdr:rowOff>
    </xdr:from>
    <xdr:ext cx="1760610" cy="718466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75293D09-EAEB-441D-8C15-7DA687CEBCC5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44</xdr:col>
      <xdr:colOff>119213</xdr:colOff>
      <xdr:row>76</xdr:row>
      <xdr:rowOff>113907</xdr:rowOff>
    </xdr:from>
    <xdr:ext cx="1701043" cy="718466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B4E9CC2F-3A94-4143-B7BC-C4D04BB1803C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2</xdr:col>
      <xdr:colOff>185552</xdr:colOff>
      <xdr:row>9</xdr:row>
      <xdr:rowOff>136071</xdr:rowOff>
    </xdr:from>
    <xdr:ext cx="784510" cy="280205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A973CA4F-3CD0-4F7A-BEE5-8905BB1285AD}"/>
            </a:ext>
          </a:extLst>
        </xdr:cNvPr>
        <xdr:cNvSpPr txBox="1"/>
      </xdr:nvSpPr>
      <xdr:spPr>
        <a:xfrm>
          <a:off x="604652" y="189819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9</xdr:col>
      <xdr:colOff>41068</xdr:colOff>
      <xdr:row>9</xdr:row>
      <xdr:rowOff>152399</xdr:rowOff>
    </xdr:from>
    <xdr:ext cx="784510" cy="280205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6A0723B6-9C8F-4BF7-913A-99D5FA5B1B97}"/>
            </a:ext>
          </a:extLst>
        </xdr:cNvPr>
        <xdr:cNvSpPr txBox="1"/>
      </xdr:nvSpPr>
      <xdr:spPr>
        <a:xfrm>
          <a:off x="1927018" y="191452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21</xdr:col>
      <xdr:colOff>45027</xdr:colOff>
      <xdr:row>9</xdr:row>
      <xdr:rowOff>168728</xdr:rowOff>
    </xdr:from>
    <xdr:ext cx="784510" cy="280205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7A6C7714-6EB1-410D-8BE8-AA367B79959B}"/>
            </a:ext>
          </a:extLst>
        </xdr:cNvPr>
        <xdr:cNvSpPr txBox="1"/>
      </xdr:nvSpPr>
      <xdr:spPr>
        <a:xfrm>
          <a:off x="4445577" y="19308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27</xdr:col>
      <xdr:colOff>24245</xdr:colOff>
      <xdr:row>9</xdr:row>
      <xdr:rowOff>160316</xdr:rowOff>
    </xdr:from>
    <xdr:ext cx="784510" cy="280205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2BAE6E11-C80C-4EF4-BBC2-90778F4D9221}"/>
            </a:ext>
          </a:extLst>
        </xdr:cNvPr>
        <xdr:cNvSpPr txBox="1"/>
      </xdr:nvSpPr>
      <xdr:spPr>
        <a:xfrm>
          <a:off x="5682095" y="19224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56</xdr:col>
      <xdr:colOff>151904</xdr:colOff>
      <xdr:row>9</xdr:row>
      <xdr:rowOff>176645</xdr:rowOff>
    </xdr:from>
    <xdr:ext cx="706540" cy="280205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84EFFA5A-F45A-4D94-86E2-D8B780A97A29}"/>
            </a:ext>
          </a:extLst>
        </xdr:cNvPr>
        <xdr:cNvSpPr txBox="1"/>
      </xdr:nvSpPr>
      <xdr:spPr>
        <a:xfrm>
          <a:off x="11886704" y="193877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</xdr:col>
      <xdr:colOff>168234</xdr:colOff>
      <xdr:row>15</xdr:row>
      <xdr:rowOff>131124</xdr:rowOff>
    </xdr:from>
    <xdr:ext cx="784510" cy="468077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6A7EEE30-29A0-40AA-8082-32C62E70DA04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33</xdr:col>
      <xdr:colOff>36120</xdr:colOff>
      <xdr:row>9</xdr:row>
      <xdr:rowOff>159822</xdr:rowOff>
    </xdr:from>
    <xdr:ext cx="706540" cy="28020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85A17EE4-3AC5-4706-8FB6-305BC4B37DF1}"/>
            </a:ext>
          </a:extLst>
        </xdr:cNvPr>
        <xdr:cNvSpPr txBox="1"/>
      </xdr:nvSpPr>
      <xdr:spPr>
        <a:xfrm>
          <a:off x="6951270" y="192194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50</xdr:col>
      <xdr:colOff>151410</xdr:colOff>
      <xdr:row>9</xdr:row>
      <xdr:rowOff>163780</xdr:rowOff>
    </xdr:from>
    <xdr:ext cx="706540" cy="280205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2D1ACAD9-9471-41A7-8304-2383F86C6A2F}"/>
            </a:ext>
          </a:extLst>
        </xdr:cNvPr>
        <xdr:cNvSpPr txBox="1"/>
      </xdr:nvSpPr>
      <xdr:spPr>
        <a:xfrm>
          <a:off x="10628910" y="1925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44</xdr:col>
      <xdr:colOff>204849</xdr:colOff>
      <xdr:row>10</xdr:row>
      <xdr:rowOff>6927</xdr:rowOff>
    </xdr:from>
    <xdr:ext cx="706540" cy="280205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6D2DF1BE-3793-456B-8295-C465877156E5}"/>
            </a:ext>
          </a:extLst>
        </xdr:cNvPr>
        <xdr:cNvSpPr txBox="1"/>
      </xdr:nvSpPr>
      <xdr:spPr>
        <a:xfrm>
          <a:off x="9425049" y="19595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39</xdr:col>
      <xdr:colOff>23256</xdr:colOff>
      <xdr:row>9</xdr:row>
      <xdr:rowOff>159327</xdr:rowOff>
    </xdr:from>
    <xdr:ext cx="706540" cy="28020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6D1C738F-B578-4983-82B1-45E3BC2854A9}"/>
            </a:ext>
          </a:extLst>
        </xdr:cNvPr>
        <xdr:cNvSpPr txBox="1"/>
      </xdr:nvSpPr>
      <xdr:spPr>
        <a:xfrm>
          <a:off x="8195706" y="19214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15</xdr:col>
      <xdr:colOff>51955</xdr:colOff>
      <xdr:row>9</xdr:row>
      <xdr:rowOff>150915</xdr:rowOff>
    </xdr:from>
    <xdr:ext cx="784510" cy="280205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729F5446-980E-4335-A4FD-4E2C623F37E2}"/>
            </a:ext>
          </a:extLst>
        </xdr:cNvPr>
        <xdr:cNvSpPr txBox="1"/>
      </xdr:nvSpPr>
      <xdr:spPr>
        <a:xfrm>
          <a:off x="3195205" y="19130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32</xdr:col>
      <xdr:colOff>172192</xdr:colOff>
      <xdr:row>15</xdr:row>
      <xdr:rowOff>122712</xdr:rowOff>
    </xdr:from>
    <xdr:ext cx="706540" cy="468077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A9FF33D2-E77B-4DAF-A8B9-DEFE4648000F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101930</xdr:colOff>
      <xdr:row>15</xdr:row>
      <xdr:rowOff>139040</xdr:rowOff>
    </xdr:from>
    <xdr:ext cx="784510" cy="468077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07E7DA8-EC4F-4018-B109-8581573DA6A0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180109</xdr:colOff>
      <xdr:row>15</xdr:row>
      <xdr:rowOff>155369</xdr:rowOff>
    </xdr:from>
    <xdr:ext cx="706540" cy="468077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C34B3BA0-B11A-4DDE-864F-235856D276A3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26</xdr:col>
      <xdr:colOff>122217</xdr:colOff>
      <xdr:row>15</xdr:row>
      <xdr:rowOff>134586</xdr:rowOff>
    </xdr:from>
    <xdr:ext cx="784510" cy="468077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8585C8FA-3BED-46CA-A2A3-0042C53A4F33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45</xdr:col>
      <xdr:colOff>2474</xdr:colOff>
      <xdr:row>15</xdr:row>
      <xdr:rowOff>138545</xdr:rowOff>
    </xdr:from>
    <xdr:ext cx="706540" cy="468077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152D95E2-1743-4A8B-891C-8016C1196F3B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167244</xdr:colOff>
      <xdr:row>15</xdr:row>
      <xdr:rowOff>142504</xdr:rowOff>
    </xdr:from>
    <xdr:ext cx="784510" cy="468077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35E71DF5-F3B8-4B17-910F-1975847D61BF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8</xdr:col>
      <xdr:colOff>146461</xdr:colOff>
      <xdr:row>15</xdr:row>
      <xdr:rowOff>121722</xdr:rowOff>
    </xdr:from>
    <xdr:ext cx="784510" cy="468077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39634AA5-852F-4AC5-A355-D34152E4E2CC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204354</xdr:colOff>
      <xdr:row>15</xdr:row>
      <xdr:rowOff>142504</xdr:rowOff>
    </xdr:from>
    <xdr:ext cx="706540" cy="468077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C7257F1C-E96E-4688-991E-4980F8B76FED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195941</xdr:colOff>
      <xdr:row>15</xdr:row>
      <xdr:rowOff>146462</xdr:rowOff>
    </xdr:from>
    <xdr:ext cx="706540" cy="468077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C1F8A45A-B9B4-4706-ADFD-676ADE613ABA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205344</xdr:colOff>
      <xdr:row>21</xdr:row>
      <xdr:rowOff>131124</xdr:rowOff>
    </xdr:from>
    <xdr:ext cx="784510" cy="468077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129590CC-2BD0-4018-8E53-E89F58503524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32</xdr:col>
      <xdr:colOff>196932</xdr:colOff>
      <xdr:row>21</xdr:row>
      <xdr:rowOff>147452</xdr:rowOff>
    </xdr:from>
    <xdr:ext cx="706540" cy="468077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97A2020-2B4D-480F-83E0-A39CDC0817A1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27</xdr:col>
      <xdr:colOff>2968</xdr:colOff>
      <xdr:row>21</xdr:row>
      <xdr:rowOff>151411</xdr:rowOff>
    </xdr:from>
    <xdr:ext cx="784510" cy="468077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9B607178-A309-40D1-A3B6-C2CE211C43FE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192479</xdr:colOff>
      <xdr:row>21</xdr:row>
      <xdr:rowOff>142999</xdr:rowOff>
    </xdr:from>
    <xdr:ext cx="784510" cy="468077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B332DBF7-FE0C-491A-9DC0-AB3EAD2DDA79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171697</xdr:colOff>
      <xdr:row>21</xdr:row>
      <xdr:rowOff>146958</xdr:rowOff>
    </xdr:from>
    <xdr:ext cx="784510" cy="468077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492195F-00FF-4AFC-8930-206FBF49DA4F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9</xdr:col>
      <xdr:colOff>2473</xdr:colOff>
      <xdr:row>21</xdr:row>
      <xdr:rowOff>126176</xdr:rowOff>
    </xdr:from>
    <xdr:ext cx="784510" cy="468077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D094017E-8C37-4A01-A552-8EA398FB1258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200891</xdr:colOff>
      <xdr:row>21</xdr:row>
      <xdr:rowOff>139040</xdr:rowOff>
    </xdr:from>
    <xdr:ext cx="706540" cy="468077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D43BDEBF-82D5-4F78-84ED-E6833E3D118D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44</xdr:col>
      <xdr:colOff>192480</xdr:colOff>
      <xdr:row>21</xdr:row>
      <xdr:rowOff>142999</xdr:rowOff>
    </xdr:from>
    <xdr:ext cx="706540" cy="468077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6A7C0FFC-03E3-41C7-B16B-B9086B935241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158090</xdr:colOff>
      <xdr:row>21</xdr:row>
      <xdr:rowOff>119125</xdr:rowOff>
    </xdr:from>
    <xdr:ext cx="706540" cy="468077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9630D445-40FE-47CF-BFCA-93C425C3D299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197922</xdr:colOff>
      <xdr:row>21</xdr:row>
      <xdr:rowOff>148441</xdr:rowOff>
    </xdr:from>
    <xdr:ext cx="706540" cy="468077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8AEF540-0813-4C07-B4C1-499C682C230A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168233</xdr:colOff>
      <xdr:row>27</xdr:row>
      <xdr:rowOff>143494</xdr:rowOff>
    </xdr:from>
    <xdr:ext cx="784510" cy="280205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20C82AC-00EB-49AA-B2C1-C65FE2CAFB6D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33</xdr:col>
      <xdr:colOff>60859</xdr:colOff>
      <xdr:row>27</xdr:row>
      <xdr:rowOff>122711</xdr:rowOff>
    </xdr:from>
    <xdr:ext cx="706540" cy="280205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21640228-55B9-459E-A0BE-0B44978D8C51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27</xdr:col>
      <xdr:colOff>15337</xdr:colOff>
      <xdr:row>27</xdr:row>
      <xdr:rowOff>151411</xdr:rowOff>
    </xdr:from>
    <xdr:ext cx="784510" cy="280205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1D4E14AD-D64F-486D-9AC6-7334E3163F56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21</xdr:col>
      <xdr:colOff>31666</xdr:colOff>
      <xdr:row>27</xdr:row>
      <xdr:rowOff>167739</xdr:rowOff>
    </xdr:from>
    <xdr:ext cx="784510" cy="28020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5C6F9216-174B-463F-97E1-228046BC750B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14</xdr:col>
      <xdr:colOff>196436</xdr:colOff>
      <xdr:row>27</xdr:row>
      <xdr:rowOff>159328</xdr:rowOff>
    </xdr:from>
    <xdr:ext cx="784510" cy="280205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DCF461CB-35D2-4338-8B7C-35EA97300F19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8</xdr:col>
      <xdr:colOff>188024</xdr:colOff>
      <xdr:row>27</xdr:row>
      <xdr:rowOff>150916</xdr:rowOff>
    </xdr:from>
    <xdr:ext cx="784510" cy="280205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68CBE219-AA1E-4B64-8874-58CFB779F464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50</xdr:col>
      <xdr:colOff>176149</xdr:colOff>
      <xdr:row>27</xdr:row>
      <xdr:rowOff>163780</xdr:rowOff>
    </xdr:from>
    <xdr:ext cx="706540" cy="280205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D8680325-4748-4352-8F1A-11B5022F9105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44</xdr:col>
      <xdr:colOff>180108</xdr:colOff>
      <xdr:row>27</xdr:row>
      <xdr:rowOff>167738</xdr:rowOff>
    </xdr:from>
    <xdr:ext cx="706540" cy="28020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A54F692A-A0C5-4BC0-B36E-29557C4115C8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56</xdr:col>
      <xdr:colOff>134585</xdr:colOff>
      <xdr:row>27</xdr:row>
      <xdr:rowOff>146957</xdr:rowOff>
    </xdr:from>
    <xdr:ext cx="706540" cy="280205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C67F31E0-1607-4A82-BA98-F87BC70E6093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38</xdr:col>
      <xdr:colOff>113803</xdr:colOff>
      <xdr:row>27</xdr:row>
      <xdr:rowOff>175655</xdr:rowOff>
    </xdr:from>
    <xdr:ext cx="706540" cy="280205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4FE3B029-538C-45E7-B36F-BB64DB920869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2</xdr:col>
      <xdr:colOff>131122</xdr:colOff>
      <xdr:row>33</xdr:row>
      <xdr:rowOff>155865</xdr:rowOff>
    </xdr:from>
    <xdr:ext cx="784510" cy="280205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D57BEED4-117E-4E6B-99B3-F2FD319C0397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26</xdr:col>
      <xdr:colOff>135081</xdr:colOff>
      <xdr:row>33</xdr:row>
      <xdr:rowOff>147454</xdr:rowOff>
    </xdr:from>
    <xdr:ext cx="784510" cy="28020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FD023381-2DA5-4784-A908-A9215E971CF6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21</xdr:col>
      <xdr:colOff>2967</xdr:colOff>
      <xdr:row>33</xdr:row>
      <xdr:rowOff>163782</xdr:rowOff>
    </xdr:from>
    <xdr:ext cx="784510" cy="28020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AFF08B8E-14B8-48CD-AE8B-17AA8752665D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8</xdr:col>
      <xdr:colOff>118257</xdr:colOff>
      <xdr:row>33</xdr:row>
      <xdr:rowOff>155370</xdr:rowOff>
    </xdr:from>
    <xdr:ext cx="784510" cy="280205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B8A2482C-7416-4D83-BB5F-579AECBE5A10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15</xdr:col>
      <xdr:colOff>10884</xdr:colOff>
      <xdr:row>33</xdr:row>
      <xdr:rowOff>159329</xdr:rowOff>
    </xdr:from>
    <xdr:ext cx="784510" cy="280205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38D011A2-43E2-41AB-A521-B583CACB7036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50</xdr:col>
      <xdr:colOff>163780</xdr:colOff>
      <xdr:row>33</xdr:row>
      <xdr:rowOff>139043</xdr:rowOff>
    </xdr:from>
    <xdr:ext cx="706540" cy="28020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2D3E43B7-D9F7-4163-9F0A-DFDCC53E064A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38</xdr:col>
      <xdr:colOff>167738</xdr:colOff>
      <xdr:row>33</xdr:row>
      <xdr:rowOff>143001</xdr:rowOff>
    </xdr:from>
    <xdr:ext cx="706540" cy="28020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43F60612-8094-4CF7-83DE-709161F946F2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56</xdr:col>
      <xdr:colOff>159325</xdr:colOff>
      <xdr:row>33</xdr:row>
      <xdr:rowOff>159329</xdr:rowOff>
    </xdr:from>
    <xdr:ext cx="70654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FA48851B-7FCD-4CD6-BF84-3B87A07277F3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32</xdr:col>
      <xdr:colOff>200395</xdr:colOff>
      <xdr:row>33</xdr:row>
      <xdr:rowOff>175658</xdr:rowOff>
    </xdr:from>
    <xdr:ext cx="706540" cy="28020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813BCFF-93D0-45B1-935E-5987C0CA71B5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44</xdr:col>
      <xdr:colOff>154873</xdr:colOff>
      <xdr:row>33</xdr:row>
      <xdr:rowOff>179616</xdr:rowOff>
    </xdr:from>
    <xdr:ext cx="706540" cy="28020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C6AAB8E8-C897-4854-90CE-A6F75687F3B9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2</xdr:col>
      <xdr:colOff>135080</xdr:colOff>
      <xdr:row>39</xdr:row>
      <xdr:rowOff>159823</xdr:rowOff>
    </xdr:from>
    <xdr:ext cx="784510" cy="280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71C6D9CC-F949-4912-82D3-7D64B51DA7CE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8</xdr:col>
      <xdr:colOff>139038</xdr:colOff>
      <xdr:row>39</xdr:row>
      <xdr:rowOff>163782</xdr:rowOff>
    </xdr:from>
    <xdr:ext cx="784510" cy="28020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C892EB1-A736-40B3-B6DB-4527B64FD88D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14</xdr:col>
      <xdr:colOff>167737</xdr:colOff>
      <xdr:row>39</xdr:row>
      <xdr:rowOff>167740</xdr:rowOff>
    </xdr:from>
    <xdr:ext cx="784510" cy="28020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AD9D8CCF-E77A-4D3A-B424-BA157306763C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20</xdr:col>
      <xdr:colOff>146956</xdr:colOff>
      <xdr:row>39</xdr:row>
      <xdr:rowOff>171698</xdr:rowOff>
    </xdr:from>
    <xdr:ext cx="784510" cy="280205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EF4574EB-2FC5-4A2A-A80F-1E64B581413D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27</xdr:col>
      <xdr:colOff>37110</xdr:colOff>
      <xdr:row>39</xdr:row>
      <xdr:rowOff>160812</xdr:rowOff>
    </xdr:from>
    <xdr:ext cx="784510" cy="280205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3FBB09AC-7384-498E-9C62-BB71AB1B02E2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32</xdr:col>
      <xdr:colOff>201880</xdr:colOff>
      <xdr:row>39</xdr:row>
      <xdr:rowOff>152400</xdr:rowOff>
    </xdr:from>
    <xdr:ext cx="706540" cy="280205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A63A8FF9-20EE-4183-9448-8A99F4008906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38</xdr:col>
      <xdr:colOff>160811</xdr:colOff>
      <xdr:row>39</xdr:row>
      <xdr:rowOff>136071</xdr:rowOff>
    </xdr:from>
    <xdr:ext cx="706540" cy="280205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729DC2A5-9464-48CE-B060-9E0F78F04323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44</xdr:col>
      <xdr:colOff>160812</xdr:colOff>
      <xdr:row>39</xdr:row>
      <xdr:rowOff>148442</xdr:rowOff>
    </xdr:from>
    <xdr:ext cx="706540" cy="280205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27084E7D-F6A7-4013-BE6E-1EBDE7D871C7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50</xdr:col>
      <xdr:colOff>197923</xdr:colOff>
      <xdr:row>39</xdr:row>
      <xdr:rowOff>160812</xdr:rowOff>
    </xdr:from>
    <xdr:ext cx="706540" cy="280205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C6AEFA4A-C5AC-491C-8D43-AB4B0602F197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56</xdr:col>
      <xdr:colOff>173182</xdr:colOff>
      <xdr:row>39</xdr:row>
      <xdr:rowOff>160812</xdr:rowOff>
    </xdr:from>
    <xdr:ext cx="706540" cy="280205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2BA4F7E1-1890-47F8-AEDF-F35846826A4B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2</xdr:col>
      <xdr:colOff>126668</xdr:colOff>
      <xdr:row>45</xdr:row>
      <xdr:rowOff>139041</xdr:rowOff>
    </xdr:from>
    <xdr:ext cx="784510" cy="280205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7A7896EF-E89F-4836-8244-B9B81930445C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45</xdr:col>
      <xdr:colOff>6925</xdr:colOff>
      <xdr:row>45</xdr:row>
      <xdr:rowOff>142999</xdr:rowOff>
    </xdr:from>
    <xdr:ext cx="706540" cy="280205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06F5590C-E0ED-4441-8276-9420C4897558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14</xdr:col>
      <xdr:colOff>146955</xdr:colOff>
      <xdr:row>45</xdr:row>
      <xdr:rowOff>134588</xdr:rowOff>
    </xdr:from>
    <xdr:ext cx="784510" cy="280205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CA9B7DF6-9D1A-4A98-9E12-C4545E705953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8</xdr:col>
      <xdr:colOff>188023</xdr:colOff>
      <xdr:row>45</xdr:row>
      <xdr:rowOff>163286</xdr:rowOff>
    </xdr:from>
    <xdr:ext cx="784510" cy="280205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2E7084D9-F026-48FE-BD72-8C53A477B547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20</xdr:col>
      <xdr:colOff>179612</xdr:colOff>
      <xdr:row>45</xdr:row>
      <xdr:rowOff>154875</xdr:rowOff>
    </xdr:from>
    <xdr:ext cx="784510" cy="280205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678657F-BBFD-499F-A8A8-1F963863B107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32</xdr:col>
      <xdr:colOff>208310</xdr:colOff>
      <xdr:row>45</xdr:row>
      <xdr:rowOff>134093</xdr:rowOff>
    </xdr:from>
    <xdr:ext cx="706540" cy="280205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8BDA294A-CDF7-4667-9C75-ECDA9619F15B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27</xdr:col>
      <xdr:colOff>14346</xdr:colOff>
      <xdr:row>45</xdr:row>
      <xdr:rowOff>138051</xdr:rowOff>
    </xdr:from>
    <xdr:ext cx="784510" cy="280205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AF5D61EF-F7DA-4A2E-ABED-86BB3EBB04CC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38</xdr:col>
      <xdr:colOff>166747</xdr:colOff>
      <xdr:row>45</xdr:row>
      <xdr:rowOff>154379</xdr:rowOff>
    </xdr:from>
    <xdr:ext cx="706540" cy="280205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1AB9AE6F-88EF-40E7-9923-3BA191CB3714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50</xdr:col>
      <xdr:colOff>197923</xdr:colOff>
      <xdr:row>45</xdr:row>
      <xdr:rowOff>136072</xdr:rowOff>
    </xdr:from>
    <xdr:ext cx="706540" cy="280205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B63B85E-598F-49F2-8643-E7C757EB806D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56</xdr:col>
      <xdr:colOff>177141</xdr:colOff>
      <xdr:row>45</xdr:row>
      <xdr:rowOff>140030</xdr:rowOff>
    </xdr:from>
    <xdr:ext cx="706540" cy="280205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B0771314-5BCC-434E-A0B8-84F8694E8AD8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2</xdr:col>
      <xdr:colOff>71438</xdr:colOff>
      <xdr:row>51</xdr:row>
      <xdr:rowOff>155760</xdr:rowOff>
    </xdr:from>
    <xdr:ext cx="784510" cy="280205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5D8EBA05-8F46-47E7-9C88-7F7CE2391B49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44</xdr:col>
      <xdr:colOff>94570</xdr:colOff>
      <xdr:row>51</xdr:row>
      <xdr:rowOff>167655</xdr:rowOff>
    </xdr:from>
    <xdr:ext cx="706540" cy="280205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815E8E0-731E-43DF-8CFE-C8EB32D09A27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14</xdr:col>
      <xdr:colOff>91725</xdr:colOff>
      <xdr:row>51</xdr:row>
      <xdr:rowOff>151307</xdr:rowOff>
    </xdr:from>
    <xdr:ext cx="784510" cy="280205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32B61112-B028-42AB-BA40-AC20E2CAA4D0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8</xdr:col>
      <xdr:colOff>132793</xdr:colOff>
      <xdr:row>51</xdr:row>
      <xdr:rowOff>180005</xdr:rowOff>
    </xdr:from>
    <xdr:ext cx="784510" cy="280205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6DF89435-D029-4D0E-B5E0-770D199C4E82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20</xdr:col>
      <xdr:colOff>124382</xdr:colOff>
      <xdr:row>51</xdr:row>
      <xdr:rowOff>171594</xdr:rowOff>
    </xdr:from>
    <xdr:ext cx="784510" cy="280205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732E68AC-B100-4910-931F-8AE04AD5F155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32</xdr:col>
      <xdr:colOff>153080</xdr:colOff>
      <xdr:row>51</xdr:row>
      <xdr:rowOff>150812</xdr:rowOff>
    </xdr:from>
    <xdr:ext cx="706540" cy="280205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DAD7C199-7ADE-461D-B4CB-27C8AF5741B6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26</xdr:col>
      <xdr:colOff>165491</xdr:colOff>
      <xdr:row>51</xdr:row>
      <xdr:rowOff>154770</xdr:rowOff>
    </xdr:from>
    <xdr:ext cx="784510" cy="280205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1A3D7169-2CCD-4CEB-A3C1-840CBABE3FFB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38</xdr:col>
      <xdr:colOff>111517</xdr:colOff>
      <xdr:row>51</xdr:row>
      <xdr:rowOff>171098</xdr:rowOff>
    </xdr:from>
    <xdr:ext cx="706540" cy="280205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2C027D1C-FA86-4F75-94A5-811B9780CD8E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50</xdr:col>
      <xdr:colOff>142693</xdr:colOff>
      <xdr:row>51</xdr:row>
      <xdr:rowOff>152791</xdr:rowOff>
    </xdr:from>
    <xdr:ext cx="706540" cy="280205"/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CE28FCA8-AF15-4A1E-B61D-B3F016CDFF15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56</xdr:col>
      <xdr:colOff>121911</xdr:colOff>
      <xdr:row>51</xdr:row>
      <xdr:rowOff>156749</xdr:rowOff>
    </xdr:from>
    <xdr:ext cx="706540" cy="280205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A344BC8C-0970-47F7-9BC3-2631DC30945C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2</xdr:col>
      <xdr:colOff>58412</xdr:colOff>
      <xdr:row>57</xdr:row>
      <xdr:rowOff>169635</xdr:rowOff>
    </xdr:from>
    <xdr:ext cx="784510" cy="280205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26ABBD78-50E5-4A64-BF56-F6C12F1345E8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44</xdr:col>
      <xdr:colOff>145044</xdr:colOff>
      <xdr:row>57</xdr:row>
      <xdr:rowOff>173593</xdr:rowOff>
    </xdr:from>
    <xdr:ext cx="706540" cy="280205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557F7268-0AE9-4DC0-96DD-AAAE6EC6BC4E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14</xdr:col>
      <xdr:colOff>78699</xdr:colOff>
      <xdr:row>57</xdr:row>
      <xdr:rowOff>165182</xdr:rowOff>
    </xdr:from>
    <xdr:ext cx="784510" cy="280205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3C1C9AE5-0AE7-4BAB-9513-9C9F88EEA6D9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8</xdr:col>
      <xdr:colOff>119767</xdr:colOff>
      <xdr:row>58</xdr:row>
      <xdr:rowOff>3380</xdr:rowOff>
    </xdr:from>
    <xdr:ext cx="784510" cy="280205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4613433D-BCD1-4C98-BCC8-6DB51E5C0B44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20</xdr:col>
      <xdr:colOff>111356</xdr:colOff>
      <xdr:row>57</xdr:row>
      <xdr:rowOff>185469</xdr:rowOff>
    </xdr:from>
    <xdr:ext cx="784510" cy="280205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149D5351-9BDD-4C13-AA63-379AEA5DFFE2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32</xdr:col>
      <xdr:colOff>140054</xdr:colOff>
      <xdr:row>57</xdr:row>
      <xdr:rowOff>164687</xdr:rowOff>
    </xdr:from>
    <xdr:ext cx="706540" cy="280205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C957C377-E305-4D5F-A71F-BDC841C02675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26</xdr:col>
      <xdr:colOff>152465</xdr:colOff>
      <xdr:row>57</xdr:row>
      <xdr:rowOff>168645</xdr:rowOff>
    </xdr:from>
    <xdr:ext cx="784510" cy="280205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CD431B38-4040-42DF-9CA8-90A1FFF47E82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38</xdr:col>
      <xdr:colOff>98491</xdr:colOff>
      <xdr:row>57</xdr:row>
      <xdr:rowOff>184973</xdr:rowOff>
    </xdr:from>
    <xdr:ext cx="706540" cy="280205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366BA0CA-0504-4520-A000-A0091A18F515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50</xdr:col>
      <xdr:colOff>129667</xdr:colOff>
      <xdr:row>57</xdr:row>
      <xdr:rowOff>166666</xdr:rowOff>
    </xdr:from>
    <xdr:ext cx="706540" cy="280205"/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BD224D03-1450-4326-9B72-748412751AD3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56</xdr:col>
      <xdr:colOff>108885</xdr:colOff>
      <xdr:row>57</xdr:row>
      <xdr:rowOff>170624</xdr:rowOff>
    </xdr:from>
    <xdr:ext cx="706540" cy="280205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BEB208D8-9710-40DD-A841-C9B761BDCD3D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2</xdr:col>
      <xdr:colOff>71437</xdr:colOff>
      <xdr:row>63</xdr:row>
      <xdr:rowOff>155760</xdr:rowOff>
    </xdr:from>
    <xdr:ext cx="784510" cy="280205"/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6C3D7665-9FDE-4E47-8744-0DFBC5E75F21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44</xdr:col>
      <xdr:colOff>158069</xdr:colOff>
      <xdr:row>63</xdr:row>
      <xdr:rowOff>159718</xdr:rowOff>
    </xdr:from>
    <xdr:ext cx="706540" cy="280205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5595DD39-15E6-4A09-A98F-54344487AB23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14</xdr:col>
      <xdr:colOff>91724</xdr:colOff>
      <xdr:row>63</xdr:row>
      <xdr:rowOff>151307</xdr:rowOff>
    </xdr:from>
    <xdr:ext cx="784510" cy="280205"/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C1205798-E1FD-4B92-9DB8-EC55093B83C2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8</xdr:col>
      <xdr:colOff>132792</xdr:colOff>
      <xdr:row>63</xdr:row>
      <xdr:rowOff>180005</xdr:rowOff>
    </xdr:from>
    <xdr:ext cx="784510" cy="280205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E4FDD603-FCB2-4654-8626-707D12B31B8B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20</xdr:col>
      <xdr:colOff>124381</xdr:colOff>
      <xdr:row>63</xdr:row>
      <xdr:rowOff>171594</xdr:rowOff>
    </xdr:from>
    <xdr:ext cx="784510" cy="280205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9BE56EB-FB15-4F04-81FB-13AAC77E265D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32</xdr:col>
      <xdr:colOff>153079</xdr:colOff>
      <xdr:row>63</xdr:row>
      <xdr:rowOff>150812</xdr:rowOff>
    </xdr:from>
    <xdr:ext cx="706540" cy="280205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DEC91B00-F9FE-4721-8DD8-7EBA72DBA3A0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26</xdr:col>
      <xdr:colOff>165490</xdr:colOff>
      <xdr:row>63</xdr:row>
      <xdr:rowOff>154770</xdr:rowOff>
    </xdr:from>
    <xdr:ext cx="784510" cy="280205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9CAD3ADC-9DB3-408D-BC4C-C18899000560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38</xdr:col>
      <xdr:colOff>111516</xdr:colOff>
      <xdr:row>63</xdr:row>
      <xdr:rowOff>171098</xdr:rowOff>
    </xdr:from>
    <xdr:ext cx="706540" cy="280205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29E57AE7-8A58-497F-8BEC-03B703774761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51</xdr:col>
      <xdr:colOff>110942</xdr:colOff>
      <xdr:row>62</xdr:row>
      <xdr:rowOff>176604</xdr:rowOff>
    </xdr:from>
    <xdr:ext cx="706540" cy="280205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35A1CFB1-B5B4-4451-9825-2286B24992B5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56</xdr:col>
      <xdr:colOff>121910</xdr:colOff>
      <xdr:row>63</xdr:row>
      <xdr:rowOff>156749</xdr:rowOff>
    </xdr:from>
    <xdr:ext cx="706540" cy="280205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46A72491-02A5-4151-B946-835A9DCE815C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2</xdr:col>
      <xdr:colOff>55713</xdr:colOff>
      <xdr:row>69</xdr:row>
      <xdr:rowOff>166480</xdr:rowOff>
    </xdr:from>
    <xdr:ext cx="706540" cy="280205"/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2C948D8A-016F-4ED0-8E38-7909C0D8796F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44</xdr:col>
      <xdr:colOff>142345</xdr:colOff>
      <xdr:row>69</xdr:row>
      <xdr:rowOff>170438</xdr:rowOff>
    </xdr:from>
    <xdr:ext cx="628570" cy="280205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21B17241-BF98-4439-BD59-F7D71ADF097F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14</xdr:col>
      <xdr:colOff>76000</xdr:colOff>
      <xdr:row>69</xdr:row>
      <xdr:rowOff>162027</xdr:rowOff>
    </xdr:from>
    <xdr:ext cx="706540" cy="280205"/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id="{4C93EB34-598F-4D96-BA7C-031849A1250A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8</xdr:col>
      <xdr:colOff>117068</xdr:colOff>
      <xdr:row>69</xdr:row>
      <xdr:rowOff>151037</xdr:rowOff>
    </xdr:from>
    <xdr:ext cx="706540" cy="280205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17A05055-2D19-4EE9-AB6D-8230C0EA5BA2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20</xdr:col>
      <xdr:colOff>132470</xdr:colOff>
      <xdr:row>69</xdr:row>
      <xdr:rowOff>166439</xdr:rowOff>
    </xdr:from>
    <xdr:ext cx="706540" cy="280205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DC0EEC8E-8E11-4111-9013-5BCB38EB65D8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32</xdr:col>
      <xdr:colOff>137355</xdr:colOff>
      <xdr:row>69</xdr:row>
      <xdr:rowOff>161532</xdr:rowOff>
    </xdr:from>
    <xdr:ext cx="628570" cy="280205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FE43CCA3-7AF8-46FA-8A86-C1A6BDDFA85A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26</xdr:col>
      <xdr:colOff>149766</xdr:colOff>
      <xdr:row>69</xdr:row>
      <xdr:rowOff>165490</xdr:rowOff>
    </xdr:from>
    <xdr:ext cx="706540" cy="280205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C3EA8C89-EAEB-41AC-B8A0-82A267C4816C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38</xdr:col>
      <xdr:colOff>135479</xdr:colOff>
      <xdr:row>69</xdr:row>
      <xdr:rowOff>173880</xdr:rowOff>
    </xdr:from>
    <xdr:ext cx="628570" cy="280205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98EC5EC2-84E6-4B8F-B18B-73DBF2195179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50</xdr:col>
      <xdr:colOff>126968</xdr:colOff>
      <xdr:row>69</xdr:row>
      <xdr:rowOff>163511</xdr:rowOff>
    </xdr:from>
    <xdr:ext cx="628570" cy="280205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00E888A1-16BD-4927-A40C-53DE4A30C4C2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56</xdr:col>
      <xdr:colOff>106186</xdr:colOff>
      <xdr:row>69</xdr:row>
      <xdr:rowOff>167469</xdr:rowOff>
    </xdr:from>
    <xdr:ext cx="628570" cy="280205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7A47AA43-A2A7-4CC0-858C-B99193F8F5FD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2</xdr:col>
      <xdr:colOff>104926</xdr:colOff>
      <xdr:row>75</xdr:row>
      <xdr:rowOff>152193</xdr:rowOff>
    </xdr:from>
    <xdr:ext cx="706540" cy="280205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777D4F0C-10D9-4E16-8E86-85ED9701891F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44</xdr:col>
      <xdr:colOff>191558</xdr:colOff>
      <xdr:row>75</xdr:row>
      <xdr:rowOff>156151</xdr:rowOff>
    </xdr:from>
    <xdr:ext cx="628570" cy="280205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9852816D-A3F6-4E04-B06E-EB3FF9D1F4AA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14</xdr:col>
      <xdr:colOff>125213</xdr:colOff>
      <xdr:row>75</xdr:row>
      <xdr:rowOff>147740</xdr:rowOff>
    </xdr:from>
    <xdr:ext cx="706540" cy="280205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6290D18E-332A-4548-B6F6-B055B66D1D44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8</xdr:col>
      <xdr:colOff>166281</xdr:colOff>
      <xdr:row>75</xdr:row>
      <xdr:rowOff>136750</xdr:rowOff>
    </xdr:from>
    <xdr:ext cx="706540" cy="280205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6426D91C-C0FF-4808-B18E-25471325BC61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20</xdr:col>
      <xdr:colOff>181683</xdr:colOff>
      <xdr:row>75</xdr:row>
      <xdr:rowOff>152152</xdr:rowOff>
    </xdr:from>
    <xdr:ext cx="706540" cy="280205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FDF97D3A-DE61-475F-B804-8D2E4DE02FCE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32</xdr:col>
      <xdr:colOff>186568</xdr:colOff>
      <xdr:row>75</xdr:row>
      <xdr:rowOff>147245</xdr:rowOff>
    </xdr:from>
    <xdr:ext cx="628570" cy="280205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5F3551C1-7383-4548-B267-A0358F5601DD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26</xdr:col>
      <xdr:colOff>198979</xdr:colOff>
      <xdr:row>75</xdr:row>
      <xdr:rowOff>151203</xdr:rowOff>
    </xdr:from>
    <xdr:ext cx="706540" cy="280205"/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5480EE16-5D1F-4FDB-ADEF-4A66E8D9D0B5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38</xdr:col>
      <xdr:colOff>184692</xdr:colOff>
      <xdr:row>75</xdr:row>
      <xdr:rowOff>159593</xdr:rowOff>
    </xdr:from>
    <xdr:ext cx="628570" cy="280205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5DB38C03-75FF-4D2B-92C7-7D444403198A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50</xdr:col>
      <xdr:colOff>176181</xdr:colOff>
      <xdr:row>75</xdr:row>
      <xdr:rowOff>149224</xdr:rowOff>
    </xdr:from>
    <xdr:ext cx="628570" cy="280205"/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EFB478F1-1267-4AF8-874B-0A0BED9C8E53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56</xdr:col>
      <xdr:colOff>155399</xdr:colOff>
      <xdr:row>75</xdr:row>
      <xdr:rowOff>153182</xdr:rowOff>
    </xdr:from>
    <xdr:ext cx="628570" cy="280205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32CFD464-BDDA-40CE-910B-1FEF17813010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2</xdr:col>
      <xdr:colOff>98576</xdr:colOff>
      <xdr:row>81</xdr:row>
      <xdr:rowOff>145843</xdr:rowOff>
    </xdr:from>
    <xdr:ext cx="706540" cy="280205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B1479740-E04F-4ED2-8AE4-0859BABD86C3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44</xdr:col>
      <xdr:colOff>185208</xdr:colOff>
      <xdr:row>81</xdr:row>
      <xdr:rowOff>149801</xdr:rowOff>
    </xdr:from>
    <xdr:ext cx="628570" cy="280205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80F68FDF-1057-4B8B-B981-5D51095258AE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14</xdr:col>
      <xdr:colOff>118863</xdr:colOff>
      <xdr:row>81</xdr:row>
      <xdr:rowOff>141390</xdr:rowOff>
    </xdr:from>
    <xdr:ext cx="706540" cy="280205"/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3076EEB8-541F-450E-BBEE-15C6F688A89B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8</xdr:col>
      <xdr:colOff>159931</xdr:colOff>
      <xdr:row>81</xdr:row>
      <xdr:rowOff>130400</xdr:rowOff>
    </xdr:from>
    <xdr:ext cx="706540" cy="280205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F26A5C81-2D12-4D92-92EE-97557D63A285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20</xdr:col>
      <xdr:colOff>175333</xdr:colOff>
      <xdr:row>81</xdr:row>
      <xdr:rowOff>145802</xdr:rowOff>
    </xdr:from>
    <xdr:ext cx="706540" cy="280205"/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79324DD7-2C6E-45FF-A775-8A9EC68A827B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32</xdr:col>
      <xdr:colOff>180218</xdr:colOff>
      <xdr:row>81</xdr:row>
      <xdr:rowOff>140895</xdr:rowOff>
    </xdr:from>
    <xdr:ext cx="628570" cy="280205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D702D450-F5F8-43A4-938F-38A9C3BC985B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26</xdr:col>
      <xdr:colOff>192629</xdr:colOff>
      <xdr:row>81</xdr:row>
      <xdr:rowOff>144853</xdr:rowOff>
    </xdr:from>
    <xdr:ext cx="706540" cy="280205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8E5C5653-59CA-4935-89FF-8CB53DC0A955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38</xdr:col>
      <xdr:colOff>178342</xdr:colOff>
      <xdr:row>81</xdr:row>
      <xdr:rowOff>153243</xdr:rowOff>
    </xdr:from>
    <xdr:ext cx="628570" cy="280205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E5D90304-0789-4B5E-92B5-C106D6353CED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50</xdr:col>
      <xdr:colOff>169831</xdr:colOff>
      <xdr:row>81</xdr:row>
      <xdr:rowOff>142874</xdr:rowOff>
    </xdr:from>
    <xdr:ext cx="628570" cy="28020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3F90AE65-0CAE-4743-986D-98CF0B3B74BA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56</xdr:col>
      <xdr:colOff>149049</xdr:colOff>
      <xdr:row>81</xdr:row>
      <xdr:rowOff>146832</xdr:rowOff>
    </xdr:from>
    <xdr:ext cx="628570" cy="280205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A274E7E8-5711-4D4B-9CDD-5B1BE03B7AC9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twoCellAnchor>
    <xdr:from>
      <xdr:col>0</xdr:col>
      <xdr:colOff>171450</xdr:colOff>
      <xdr:row>86</xdr:row>
      <xdr:rowOff>9525</xdr:rowOff>
    </xdr:from>
    <xdr:to>
      <xdr:col>75</xdr:col>
      <xdr:colOff>14226</xdr:colOff>
      <xdr:row>86</xdr:row>
      <xdr:rowOff>12370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47E3272E-6030-4810-921D-DB28E18EE578}"/>
            </a:ext>
          </a:extLst>
        </xdr:cNvPr>
        <xdr:cNvCxnSpPr/>
      </xdr:nvCxnSpPr>
      <xdr:spPr>
        <a:xfrm>
          <a:off x="171450" y="16440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87</xdr:row>
      <xdr:rowOff>145843</xdr:rowOff>
    </xdr:from>
    <xdr:ext cx="706540" cy="280205"/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C4EE44B4-453B-4EF9-8EB2-34AE833EB5B6}"/>
            </a:ext>
          </a:extLst>
        </xdr:cNvPr>
        <xdr:cNvSpPr txBox="1"/>
      </xdr:nvSpPr>
      <xdr:spPr>
        <a:xfrm>
          <a:off x="517676" y="16766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6N-14W</a:t>
          </a:r>
        </a:p>
      </xdr:txBody>
    </xdr:sp>
    <xdr:clientData/>
  </xdr:oneCellAnchor>
  <xdr:oneCellAnchor>
    <xdr:from>
      <xdr:col>44</xdr:col>
      <xdr:colOff>185208</xdr:colOff>
      <xdr:row>87</xdr:row>
      <xdr:rowOff>149801</xdr:rowOff>
    </xdr:from>
    <xdr:ext cx="628570" cy="28020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2A1FB0E4-E564-47A4-B702-F9313E0AC29B}"/>
            </a:ext>
          </a:extLst>
        </xdr:cNvPr>
        <xdr:cNvSpPr txBox="1"/>
      </xdr:nvSpPr>
      <xdr:spPr>
        <a:xfrm>
          <a:off x="9405408" y="16770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6N-7W</a:t>
          </a:r>
        </a:p>
      </xdr:txBody>
    </xdr:sp>
    <xdr:clientData/>
  </xdr:oneCellAnchor>
  <xdr:oneCellAnchor>
    <xdr:from>
      <xdr:col>14</xdr:col>
      <xdr:colOff>118863</xdr:colOff>
      <xdr:row>87</xdr:row>
      <xdr:rowOff>141390</xdr:rowOff>
    </xdr:from>
    <xdr:ext cx="706540" cy="280205"/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5ACA4DB4-1AD9-46B6-A70C-09791616303A}"/>
            </a:ext>
          </a:extLst>
        </xdr:cNvPr>
        <xdr:cNvSpPr txBox="1"/>
      </xdr:nvSpPr>
      <xdr:spPr>
        <a:xfrm>
          <a:off x="3052563" y="16762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6N-12W</a:t>
          </a:r>
        </a:p>
      </xdr:txBody>
    </xdr:sp>
    <xdr:clientData/>
  </xdr:oneCellAnchor>
  <xdr:oneCellAnchor>
    <xdr:from>
      <xdr:col>8</xdr:col>
      <xdr:colOff>159931</xdr:colOff>
      <xdr:row>87</xdr:row>
      <xdr:rowOff>130400</xdr:rowOff>
    </xdr:from>
    <xdr:ext cx="706540" cy="280205"/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3AC9DC04-E6DD-46E7-A390-2C7FB2FF6FDB}"/>
            </a:ext>
          </a:extLst>
        </xdr:cNvPr>
        <xdr:cNvSpPr txBox="1"/>
      </xdr:nvSpPr>
      <xdr:spPr>
        <a:xfrm>
          <a:off x="1836331" y="16751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6N-13W</a:t>
          </a:r>
        </a:p>
      </xdr:txBody>
    </xdr:sp>
    <xdr:clientData/>
  </xdr:oneCellAnchor>
  <xdr:oneCellAnchor>
    <xdr:from>
      <xdr:col>20</xdr:col>
      <xdr:colOff>175333</xdr:colOff>
      <xdr:row>87</xdr:row>
      <xdr:rowOff>145802</xdr:rowOff>
    </xdr:from>
    <xdr:ext cx="706540" cy="280205"/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40600B3E-913A-4492-99BC-D94E56667561}"/>
            </a:ext>
          </a:extLst>
        </xdr:cNvPr>
        <xdr:cNvSpPr txBox="1"/>
      </xdr:nvSpPr>
      <xdr:spPr>
        <a:xfrm>
          <a:off x="4366333" y="16766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6N-11W</a:t>
          </a:r>
        </a:p>
      </xdr:txBody>
    </xdr:sp>
    <xdr:clientData/>
  </xdr:oneCellAnchor>
  <xdr:oneCellAnchor>
    <xdr:from>
      <xdr:col>32</xdr:col>
      <xdr:colOff>180218</xdr:colOff>
      <xdr:row>87</xdr:row>
      <xdr:rowOff>140895</xdr:rowOff>
    </xdr:from>
    <xdr:ext cx="628570" cy="280205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5D7B6288-D98E-47DC-B5BE-5A9F77B7FFB1}"/>
            </a:ext>
          </a:extLst>
        </xdr:cNvPr>
        <xdr:cNvSpPr txBox="1"/>
      </xdr:nvSpPr>
      <xdr:spPr>
        <a:xfrm>
          <a:off x="6885818" y="16762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6N-9W</a:t>
          </a:r>
        </a:p>
      </xdr:txBody>
    </xdr:sp>
    <xdr:clientData/>
  </xdr:oneCellAnchor>
  <xdr:oneCellAnchor>
    <xdr:from>
      <xdr:col>26</xdr:col>
      <xdr:colOff>192629</xdr:colOff>
      <xdr:row>87</xdr:row>
      <xdr:rowOff>144853</xdr:rowOff>
    </xdr:from>
    <xdr:ext cx="706540" cy="280205"/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5A1CFEE2-25C3-4682-8F96-7F9FDDF9906A}"/>
            </a:ext>
          </a:extLst>
        </xdr:cNvPr>
        <xdr:cNvSpPr txBox="1"/>
      </xdr:nvSpPr>
      <xdr:spPr>
        <a:xfrm>
          <a:off x="5640929" y="16765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6N-10W</a:t>
          </a:r>
        </a:p>
      </xdr:txBody>
    </xdr:sp>
    <xdr:clientData/>
  </xdr:oneCellAnchor>
  <xdr:oneCellAnchor>
    <xdr:from>
      <xdr:col>38</xdr:col>
      <xdr:colOff>178342</xdr:colOff>
      <xdr:row>87</xdr:row>
      <xdr:rowOff>153243</xdr:rowOff>
    </xdr:from>
    <xdr:ext cx="628570" cy="280205"/>
    <xdr:sp macro="" textlink="">
      <xdr:nvSpPr>
        <xdr:cNvPr id="181" name="TextBox 180">
          <a:extLst>
            <a:ext uri="{FF2B5EF4-FFF2-40B4-BE49-F238E27FC236}">
              <a16:creationId xmlns:a16="http://schemas.microsoft.com/office/drawing/2014/main" id="{33D08867-98AF-4B23-8A35-3994AF0D6714}"/>
            </a:ext>
          </a:extLst>
        </xdr:cNvPr>
        <xdr:cNvSpPr txBox="1"/>
      </xdr:nvSpPr>
      <xdr:spPr>
        <a:xfrm>
          <a:off x="8141242" y="16774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6N-8W</a:t>
          </a:r>
        </a:p>
      </xdr:txBody>
    </xdr:sp>
    <xdr:clientData/>
  </xdr:oneCellAnchor>
  <xdr:oneCellAnchor>
    <xdr:from>
      <xdr:col>50</xdr:col>
      <xdr:colOff>169831</xdr:colOff>
      <xdr:row>87</xdr:row>
      <xdr:rowOff>142874</xdr:rowOff>
    </xdr:from>
    <xdr:ext cx="628570" cy="280205"/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6B984D59-265C-4FF6-9A26-A7FAFB3680DB}"/>
            </a:ext>
          </a:extLst>
        </xdr:cNvPr>
        <xdr:cNvSpPr txBox="1"/>
      </xdr:nvSpPr>
      <xdr:spPr>
        <a:xfrm>
          <a:off x="10647331" y="16763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6N-6W</a:t>
          </a:r>
        </a:p>
      </xdr:txBody>
    </xdr:sp>
    <xdr:clientData/>
  </xdr:oneCellAnchor>
  <xdr:oneCellAnchor>
    <xdr:from>
      <xdr:col>56</xdr:col>
      <xdr:colOff>149049</xdr:colOff>
      <xdr:row>87</xdr:row>
      <xdr:rowOff>146832</xdr:rowOff>
    </xdr:from>
    <xdr:ext cx="628570" cy="280205"/>
    <xdr:sp macro="" textlink="">
      <xdr:nvSpPr>
        <xdr:cNvPr id="183" name="TextBox 182">
          <a:extLst>
            <a:ext uri="{FF2B5EF4-FFF2-40B4-BE49-F238E27FC236}">
              <a16:creationId xmlns:a16="http://schemas.microsoft.com/office/drawing/2014/main" id="{178915F8-F457-4CC6-B823-8E91C6B64D5D}"/>
            </a:ext>
          </a:extLst>
        </xdr:cNvPr>
        <xdr:cNvSpPr txBox="1"/>
      </xdr:nvSpPr>
      <xdr:spPr>
        <a:xfrm>
          <a:off x="11883849" y="16767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6N-5W</a:t>
          </a:r>
        </a:p>
      </xdr:txBody>
    </xdr:sp>
    <xdr:clientData/>
  </xdr:oneCellAnchor>
  <xdr:twoCellAnchor>
    <xdr:from>
      <xdr:col>0</xdr:col>
      <xdr:colOff>9525</xdr:colOff>
      <xdr:row>92</xdr:row>
      <xdr:rowOff>9525</xdr:rowOff>
    </xdr:from>
    <xdr:to>
      <xdr:col>74</xdr:col>
      <xdr:colOff>61851</xdr:colOff>
      <xdr:row>92</xdr:row>
      <xdr:rowOff>12370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01B5A8DB-7C2C-49AF-B4C7-CD2B5BE4FC0D}"/>
            </a:ext>
          </a:extLst>
        </xdr:cNvPr>
        <xdr:cNvCxnSpPr/>
      </xdr:nvCxnSpPr>
      <xdr:spPr>
        <a:xfrm>
          <a:off x="9525" y="17583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93</xdr:row>
      <xdr:rowOff>145843</xdr:rowOff>
    </xdr:from>
    <xdr:ext cx="706540" cy="280205"/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id="{1F05E0C8-FA92-403B-A519-3AEDF2AB5A39}"/>
            </a:ext>
          </a:extLst>
        </xdr:cNvPr>
        <xdr:cNvSpPr txBox="1"/>
      </xdr:nvSpPr>
      <xdr:spPr>
        <a:xfrm>
          <a:off x="517676" y="17909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5N-14W</a:t>
          </a:r>
        </a:p>
      </xdr:txBody>
    </xdr:sp>
    <xdr:clientData/>
  </xdr:oneCellAnchor>
  <xdr:oneCellAnchor>
    <xdr:from>
      <xdr:col>44</xdr:col>
      <xdr:colOff>185208</xdr:colOff>
      <xdr:row>93</xdr:row>
      <xdr:rowOff>149801</xdr:rowOff>
    </xdr:from>
    <xdr:ext cx="628570" cy="280205"/>
    <xdr:sp macro="" textlink="">
      <xdr:nvSpPr>
        <xdr:cNvPr id="186" name="TextBox 185">
          <a:extLst>
            <a:ext uri="{FF2B5EF4-FFF2-40B4-BE49-F238E27FC236}">
              <a16:creationId xmlns:a16="http://schemas.microsoft.com/office/drawing/2014/main" id="{32803DE3-E6E3-453B-A794-905610F37185}"/>
            </a:ext>
          </a:extLst>
        </xdr:cNvPr>
        <xdr:cNvSpPr txBox="1"/>
      </xdr:nvSpPr>
      <xdr:spPr>
        <a:xfrm>
          <a:off x="9405408" y="17913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5N-7W</a:t>
          </a:r>
        </a:p>
      </xdr:txBody>
    </xdr:sp>
    <xdr:clientData/>
  </xdr:oneCellAnchor>
  <xdr:oneCellAnchor>
    <xdr:from>
      <xdr:col>14</xdr:col>
      <xdr:colOff>118863</xdr:colOff>
      <xdr:row>93</xdr:row>
      <xdr:rowOff>141390</xdr:rowOff>
    </xdr:from>
    <xdr:ext cx="706540" cy="280205"/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0722B436-AC10-4632-8833-ED3BE39AB737}"/>
            </a:ext>
          </a:extLst>
        </xdr:cNvPr>
        <xdr:cNvSpPr txBox="1"/>
      </xdr:nvSpPr>
      <xdr:spPr>
        <a:xfrm>
          <a:off x="3052563" y="17905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5N-12W</a:t>
          </a:r>
        </a:p>
      </xdr:txBody>
    </xdr:sp>
    <xdr:clientData/>
  </xdr:oneCellAnchor>
  <xdr:oneCellAnchor>
    <xdr:from>
      <xdr:col>8</xdr:col>
      <xdr:colOff>159931</xdr:colOff>
      <xdr:row>93</xdr:row>
      <xdr:rowOff>130400</xdr:rowOff>
    </xdr:from>
    <xdr:ext cx="706540" cy="280205"/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13E143B4-B964-456F-987E-346E013D3698}"/>
            </a:ext>
          </a:extLst>
        </xdr:cNvPr>
        <xdr:cNvSpPr txBox="1"/>
      </xdr:nvSpPr>
      <xdr:spPr>
        <a:xfrm>
          <a:off x="1836331" y="17894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5N-13W</a:t>
          </a:r>
        </a:p>
      </xdr:txBody>
    </xdr:sp>
    <xdr:clientData/>
  </xdr:oneCellAnchor>
  <xdr:oneCellAnchor>
    <xdr:from>
      <xdr:col>20</xdr:col>
      <xdr:colOff>175333</xdr:colOff>
      <xdr:row>93</xdr:row>
      <xdr:rowOff>145802</xdr:rowOff>
    </xdr:from>
    <xdr:ext cx="706540" cy="280205"/>
    <xdr:sp macro="" textlink="">
      <xdr:nvSpPr>
        <xdr:cNvPr id="189" name="TextBox 188">
          <a:extLst>
            <a:ext uri="{FF2B5EF4-FFF2-40B4-BE49-F238E27FC236}">
              <a16:creationId xmlns:a16="http://schemas.microsoft.com/office/drawing/2014/main" id="{4798AE2C-18F5-43F5-BCC3-1501B04C7508}"/>
            </a:ext>
          </a:extLst>
        </xdr:cNvPr>
        <xdr:cNvSpPr txBox="1"/>
      </xdr:nvSpPr>
      <xdr:spPr>
        <a:xfrm>
          <a:off x="4366333" y="17909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5N-11W</a:t>
          </a:r>
        </a:p>
      </xdr:txBody>
    </xdr:sp>
    <xdr:clientData/>
  </xdr:oneCellAnchor>
  <xdr:oneCellAnchor>
    <xdr:from>
      <xdr:col>32</xdr:col>
      <xdr:colOff>180218</xdr:colOff>
      <xdr:row>93</xdr:row>
      <xdr:rowOff>140895</xdr:rowOff>
    </xdr:from>
    <xdr:ext cx="628570" cy="280205"/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id="{56315F43-E1AF-4DD9-9EA1-D13D4B2C180F}"/>
            </a:ext>
          </a:extLst>
        </xdr:cNvPr>
        <xdr:cNvSpPr txBox="1"/>
      </xdr:nvSpPr>
      <xdr:spPr>
        <a:xfrm>
          <a:off x="6885818" y="17905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5N-9W</a:t>
          </a:r>
        </a:p>
      </xdr:txBody>
    </xdr:sp>
    <xdr:clientData/>
  </xdr:oneCellAnchor>
  <xdr:oneCellAnchor>
    <xdr:from>
      <xdr:col>26</xdr:col>
      <xdr:colOff>192629</xdr:colOff>
      <xdr:row>93</xdr:row>
      <xdr:rowOff>144853</xdr:rowOff>
    </xdr:from>
    <xdr:ext cx="706540" cy="280205"/>
    <xdr:sp macro="" textlink="">
      <xdr:nvSpPr>
        <xdr:cNvPr id="191" name="TextBox 190">
          <a:extLst>
            <a:ext uri="{FF2B5EF4-FFF2-40B4-BE49-F238E27FC236}">
              <a16:creationId xmlns:a16="http://schemas.microsoft.com/office/drawing/2014/main" id="{D18DC15D-77EE-4F08-A238-3646031DC5F0}"/>
            </a:ext>
          </a:extLst>
        </xdr:cNvPr>
        <xdr:cNvSpPr txBox="1"/>
      </xdr:nvSpPr>
      <xdr:spPr>
        <a:xfrm>
          <a:off x="5640929" y="17908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5N-10W</a:t>
          </a:r>
        </a:p>
      </xdr:txBody>
    </xdr:sp>
    <xdr:clientData/>
  </xdr:oneCellAnchor>
  <xdr:oneCellAnchor>
    <xdr:from>
      <xdr:col>38</xdr:col>
      <xdr:colOff>178342</xdr:colOff>
      <xdr:row>93</xdr:row>
      <xdr:rowOff>153243</xdr:rowOff>
    </xdr:from>
    <xdr:ext cx="628570" cy="280205"/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4445D916-728E-4CFC-947F-8C000AF6D679}"/>
            </a:ext>
          </a:extLst>
        </xdr:cNvPr>
        <xdr:cNvSpPr txBox="1"/>
      </xdr:nvSpPr>
      <xdr:spPr>
        <a:xfrm>
          <a:off x="8141242" y="17917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5N-8W</a:t>
          </a:r>
        </a:p>
      </xdr:txBody>
    </xdr:sp>
    <xdr:clientData/>
  </xdr:oneCellAnchor>
  <xdr:oneCellAnchor>
    <xdr:from>
      <xdr:col>50</xdr:col>
      <xdr:colOff>169831</xdr:colOff>
      <xdr:row>93</xdr:row>
      <xdr:rowOff>142874</xdr:rowOff>
    </xdr:from>
    <xdr:ext cx="628570" cy="280205"/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51F0C302-D311-49F1-8636-46CEA568E5FB}"/>
            </a:ext>
          </a:extLst>
        </xdr:cNvPr>
        <xdr:cNvSpPr txBox="1"/>
      </xdr:nvSpPr>
      <xdr:spPr>
        <a:xfrm>
          <a:off x="10647331" y="17906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5N-6W</a:t>
          </a:r>
        </a:p>
      </xdr:txBody>
    </xdr:sp>
    <xdr:clientData/>
  </xdr:oneCellAnchor>
  <xdr:oneCellAnchor>
    <xdr:from>
      <xdr:col>56</xdr:col>
      <xdr:colOff>149049</xdr:colOff>
      <xdr:row>93</xdr:row>
      <xdr:rowOff>146832</xdr:rowOff>
    </xdr:from>
    <xdr:ext cx="628570" cy="280205"/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21015DD4-D426-4106-9071-54C9AFE3F5F0}"/>
            </a:ext>
          </a:extLst>
        </xdr:cNvPr>
        <xdr:cNvSpPr txBox="1"/>
      </xdr:nvSpPr>
      <xdr:spPr>
        <a:xfrm>
          <a:off x="11883849" y="17910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5N-5W</a:t>
          </a:r>
        </a:p>
      </xdr:txBody>
    </xdr:sp>
    <xdr:clientData/>
  </xdr:oneCellAnchor>
  <xdr:twoCellAnchor>
    <xdr:from>
      <xdr:col>0</xdr:col>
      <xdr:colOff>9525</xdr:colOff>
      <xdr:row>98</xdr:row>
      <xdr:rowOff>9525</xdr:rowOff>
    </xdr:from>
    <xdr:to>
      <xdr:col>74</xdr:col>
      <xdr:colOff>61851</xdr:colOff>
      <xdr:row>98</xdr:row>
      <xdr:rowOff>12370</xdr:rowOff>
    </xdr:to>
    <xdr:cxnSp macro="">
      <xdr:nvCxnSpPr>
        <xdr:cNvPr id="195" name="Straight Connector 194">
          <a:extLst>
            <a:ext uri="{FF2B5EF4-FFF2-40B4-BE49-F238E27FC236}">
              <a16:creationId xmlns:a16="http://schemas.microsoft.com/office/drawing/2014/main" id="{66BFF6F8-DD28-444C-AD2E-C2D3134BC685}"/>
            </a:ext>
          </a:extLst>
        </xdr:cNvPr>
        <xdr:cNvCxnSpPr/>
      </xdr:nvCxnSpPr>
      <xdr:spPr>
        <a:xfrm>
          <a:off x="9525" y="18726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99</xdr:row>
      <xdr:rowOff>145843</xdr:rowOff>
    </xdr:from>
    <xdr:ext cx="706540" cy="280205"/>
    <xdr:sp macro="" textlink="">
      <xdr:nvSpPr>
        <xdr:cNvPr id="196" name="TextBox 195">
          <a:extLst>
            <a:ext uri="{FF2B5EF4-FFF2-40B4-BE49-F238E27FC236}">
              <a16:creationId xmlns:a16="http://schemas.microsoft.com/office/drawing/2014/main" id="{31211DDE-AF8B-4D9F-A2CB-248153101F54}"/>
            </a:ext>
          </a:extLst>
        </xdr:cNvPr>
        <xdr:cNvSpPr txBox="1"/>
      </xdr:nvSpPr>
      <xdr:spPr>
        <a:xfrm>
          <a:off x="517676" y="19052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4N-14W</a:t>
          </a:r>
        </a:p>
      </xdr:txBody>
    </xdr:sp>
    <xdr:clientData/>
  </xdr:oneCellAnchor>
  <xdr:oneCellAnchor>
    <xdr:from>
      <xdr:col>44</xdr:col>
      <xdr:colOff>185208</xdr:colOff>
      <xdr:row>99</xdr:row>
      <xdr:rowOff>149801</xdr:rowOff>
    </xdr:from>
    <xdr:ext cx="628570" cy="280205"/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id="{B3A79C56-39F5-495B-B172-D60BAA5915FC}"/>
            </a:ext>
          </a:extLst>
        </xdr:cNvPr>
        <xdr:cNvSpPr txBox="1"/>
      </xdr:nvSpPr>
      <xdr:spPr>
        <a:xfrm>
          <a:off x="9405408" y="19056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4N-7W</a:t>
          </a:r>
        </a:p>
      </xdr:txBody>
    </xdr:sp>
    <xdr:clientData/>
  </xdr:oneCellAnchor>
  <xdr:oneCellAnchor>
    <xdr:from>
      <xdr:col>14</xdr:col>
      <xdr:colOff>118863</xdr:colOff>
      <xdr:row>99</xdr:row>
      <xdr:rowOff>141390</xdr:rowOff>
    </xdr:from>
    <xdr:ext cx="706540" cy="280205"/>
    <xdr:sp macro="" textlink="">
      <xdr:nvSpPr>
        <xdr:cNvPr id="198" name="TextBox 197">
          <a:extLst>
            <a:ext uri="{FF2B5EF4-FFF2-40B4-BE49-F238E27FC236}">
              <a16:creationId xmlns:a16="http://schemas.microsoft.com/office/drawing/2014/main" id="{D92339DE-D6E3-4044-A091-0BA7CE26B076}"/>
            </a:ext>
          </a:extLst>
        </xdr:cNvPr>
        <xdr:cNvSpPr txBox="1"/>
      </xdr:nvSpPr>
      <xdr:spPr>
        <a:xfrm>
          <a:off x="3052563" y="19048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4N-12W</a:t>
          </a:r>
        </a:p>
      </xdr:txBody>
    </xdr:sp>
    <xdr:clientData/>
  </xdr:oneCellAnchor>
  <xdr:oneCellAnchor>
    <xdr:from>
      <xdr:col>8</xdr:col>
      <xdr:colOff>159931</xdr:colOff>
      <xdr:row>99</xdr:row>
      <xdr:rowOff>130400</xdr:rowOff>
    </xdr:from>
    <xdr:ext cx="706540" cy="280205"/>
    <xdr:sp macro="" textlink="">
      <xdr:nvSpPr>
        <xdr:cNvPr id="199" name="TextBox 198">
          <a:extLst>
            <a:ext uri="{FF2B5EF4-FFF2-40B4-BE49-F238E27FC236}">
              <a16:creationId xmlns:a16="http://schemas.microsoft.com/office/drawing/2014/main" id="{C7BC2129-972E-45A7-A5AD-5C04B4B6AB15}"/>
            </a:ext>
          </a:extLst>
        </xdr:cNvPr>
        <xdr:cNvSpPr txBox="1"/>
      </xdr:nvSpPr>
      <xdr:spPr>
        <a:xfrm>
          <a:off x="1836331" y="19037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4N-13W</a:t>
          </a:r>
        </a:p>
      </xdr:txBody>
    </xdr:sp>
    <xdr:clientData/>
  </xdr:oneCellAnchor>
  <xdr:oneCellAnchor>
    <xdr:from>
      <xdr:col>20</xdr:col>
      <xdr:colOff>175333</xdr:colOff>
      <xdr:row>99</xdr:row>
      <xdr:rowOff>145802</xdr:rowOff>
    </xdr:from>
    <xdr:ext cx="706540" cy="280205"/>
    <xdr:sp macro="" textlink="">
      <xdr:nvSpPr>
        <xdr:cNvPr id="200" name="TextBox 199">
          <a:extLst>
            <a:ext uri="{FF2B5EF4-FFF2-40B4-BE49-F238E27FC236}">
              <a16:creationId xmlns:a16="http://schemas.microsoft.com/office/drawing/2014/main" id="{FDB5FF9E-6D5D-43D2-B224-83251D4EAC64}"/>
            </a:ext>
          </a:extLst>
        </xdr:cNvPr>
        <xdr:cNvSpPr txBox="1"/>
      </xdr:nvSpPr>
      <xdr:spPr>
        <a:xfrm>
          <a:off x="4366333" y="19052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4N-11W</a:t>
          </a:r>
        </a:p>
      </xdr:txBody>
    </xdr:sp>
    <xdr:clientData/>
  </xdr:oneCellAnchor>
  <xdr:oneCellAnchor>
    <xdr:from>
      <xdr:col>32</xdr:col>
      <xdr:colOff>180218</xdr:colOff>
      <xdr:row>99</xdr:row>
      <xdr:rowOff>140895</xdr:rowOff>
    </xdr:from>
    <xdr:ext cx="628570" cy="280205"/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5EA32BED-08BF-42B5-A4ED-EC29E8AE6D33}"/>
            </a:ext>
          </a:extLst>
        </xdr:cNvPr>
        <xdr:cNvSpPr txBox="1"/>
      </xdr:nvSpPr>
      <xdr:spPr>
        <a:xfrm>
          <a:off x="6885818" y="19048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4N-9W</a:t>
          </a:r>
        </a:p>
      </xdr:txBody>
    </xdr:sp>
    <xdr:clientData/>
  </xdr:oneCellAnchor>
  <xdr:oneCellAnchor>
    <xdr:from>
      <xdr:col>26</xdr:col>
      <xdr:colOff>192629</xdr:colOff>
      <xdr:row>99</xdr:row>
      <xdr:rowOff>144853</xdr:rowOff>
    </xdr:from>
    <xdr:ext cx="706540" cy="280205"/>
    <xdr:sp macro="" textlink="">
      <xdr:nvSpPr>
        <xdr:cNvPr id="202" name="TextBox 201">
          <a:extLst>
            <a:ext uri="{FF2B5EF4-FFF2-40B4-BE49-F238E27FC236}">
              <a16:creationId xmlns:a16="http://schemas.microsoft.com/office/drawing/2014/main" id="{373DD395-40F9-4FF0-8E08-68B1CEE55A5C}"/>
            </a:ext>
          </a:extLst>
        </xdr:cNvPr>
        <xdr:cNvSpPr txBox="1"/>
      </xdr:nvSpPr>
      <xdr:spPr>
        <a:xfrm>
          <a:off x="5640929" y="19051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4N-10W</a:t>
          </a:r>
        </a:p>
      </xdr:txBody>
    </xdr:sp>
    <xdr:clientData/>
  </xdr:oneCellAnchor>
  <xdr:oneCellAnchor>
    <xdr:from>
      <xdr:col>38</xdr:col>
      <xdr:colOff>178342</xdr:colOff>
      <xdr:row>99</xdr:row>
      <xdr:rowOff>153243</xdr:rowOff>
    </xdr:from>
    <xdr:ext cx="628570" cy="280205"/>
    <xdr:sp macro="" textlink="">
      <xdr:nvSpPr>
        <xdr:cNvPr id="203" name="TextBox 202">
          <a:extLst>
            <a:ext uri="{FF2B5EF4-FFF2-40B4-BE49-F238E27FC236}">
              <a16:creationId xmlns:a16="http://schemas.microsoft.com/office/drawing/2014/main" id="{00CDA35E-CFE6-43E7-A4C1-6419CA2ABC77}"/>
            </a:ext>
          </a:extLst>
        </xdr:cNvPr>
        <xdr:cNvSpPr txBox="1"/>
      </xdr:nvSpPr>
      <xdr:spPr>
        <a:xfrm>
          <a:off x="8141242" y="19060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4N-8W</a:t>
          </a:r>
        </a:p>
      </xdr:txBody>
    </xdr:sp>
    <xdr:clientData/>
  </xdr:oneCellAnchor>
  <xdr:oneCellAnchor>
    <xdr:from>
      <xdr:col>50</xdr:col>
      <xdr:colOff>169831</xdr:colOff>
      <xdr:row>99</xdr:row>
      <xdr:rowOff>142874</xdr:rowOff>
    </xdr:from>
    <xdr:ext cx="628570" cy="280205"/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E5678D39-60C2-4A6E-8429-89218200AFB0}"/>
            </a:ext>
          </a:extLst>
        </xdr:cNvPr>
        <xdr:cNvSpPr txBox="1"/>
      </xdr:nvSpPr>
      <xdr:spPr>
        <a:xfrm>
          <a:off x="10647331" y="19049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4N-6W</a:t>
          </a:r>
        </a:p>
      </xdr:txBody>
    </xdr:sp>
    <xdr:clientData/>
  </xdr:oneCellAnchor>
  <xdr:oneCellAnchor>
    <xdr:from>
      <xdr:col>56</xdr:col>
      <xdr:colOff>149049</xdr:colOff>
      <xdr:row>99</xdr:row>
      <xdr:rowOff>146832</xdr:rowOff>
    </xdr:from>
    <xdr:ext cx="628570" cy="280205"/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id="{3F007691-EDE8-4B75-92A4-470ACDB25E58}"/>
            </a:ext>
          </a:extLst>
        </xdr:cNvPr>
        <xdr:cNvSpPr txBox="1"/>
      </xdr:nvSpPr>
      <xdr:spPr>
        <a:xfrm>
          <a:off x="11883849" y="19053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4N-5W</a:t>
          </a:r>
        </a:p>
      </xdr:txBody>
    </xdr:sp>
    <xdr:clientData/>
  </xdr:oneCellAnchor>
  <xdr:oneCellAnchor>
    <xdr:from>
      <xdr:col>63</xdr:col>
      <xdr:colOff>147788</xdr:colOff>
      <xdr:row>78</xdr:row>
      <xdr:rowOff>47232</xdr:rowOff>
    </xdr:from>
    <xdr:ext cx="2121606" cy="718466"/>
    <xdr:sp macro="" textlink="">
      <xdr:nvSpPr>
        <xdr:cNvPr id="206" name="TextBox 205">
          <a:extLst>
            <a:ext uri="{FF2B5EF4-FFF2-40B4-BE49-F238E27FC236}">
              <a16:creationId xmlns:a16="http://schemas.microsoft.com/office/drawing/2014/main" id="{A8C8ABD1-CC49-4ADD-BFBD-0F5930045BC7}"/>
            </a:ext>
          </a:extLst>
        </xdr:cNvPr>
        <xdr:cNvSpPr txBox="1"/>
      </xdr:nvSpPr>
      <xdr:spPr>
        <a:xfrm>
          <a:off x="13349438" y="14953857"/>
          <a:ext cx="21216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McCLAIN</a:t>
          </a:r>
        </a:p>
      </xdr:txBody>
    </xdr:sp>
    <xdr:clientData/>
  </xdr:oneCellAnchor>
  <xdr:oneCellAnchor>
    <xdr:from>
      <xdr:col>63</xdr:col>
      <xdr:colOff>77611</xdr:colOff>
      <xdr:row>69</xdr:row>
      <xdr:rowOff>148419</xdr:rowOff>
    </xdr:from>
    <xdr:ext cx="628570" cy="280205"/>
    <xdr:sp macro="" textlink="">
      <xdr:nvSpPr>
        <xdr:cNvPr id="207" name="TextBox 206">
          <a:extLst>
            <a:ext uri="{FF2B5EF4-FFF2-40B4-BE49-F238E27FC236}">
              <a16:creationId xmlns:a16="http://schemas.microsoft.com/office/drawing/2014/main" id="{83BA5038-2699-4DD2-ABDB-1A9450FC5B10}"/>
            </a:ext>
          </a:extLst>
        </xdr:cNvPr>
        <xdr:cNvSpPr txBox="1"/>
      </xdr:nvSpPr>
      <xdr:spPr>
        <a:xfrm>
          <a:off x="13279261" y="1334054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9N-4W</a:t>
          </a:r>
        </a:p>
      </xdr:txBody>
    </xdr:sp>
    <xdr:clientData/>
  </xdr:oneCellAnchor>
  <xdr:oneCellAnchor>
    <xdr:from>
      <xdr:col>63</xdr:col>
      <xdr:colOff>66675</xdr:colOff>
      <xdr:row>75</xdr:row>
      <xdr:rowOff>161925</xdr:rowOff>
    </xdr:from>
    <xdr:ext cx="628570" cy="280205"/>
    <xdr:sp macro="" textlink="">
      <xdr:nvSpPr>
        <xdr:cNvPr id="208" name="TextBox 207">
          <a:extLst>
            <a:ext uri="{FF2B5EF4-FFF2-40B4-BE49-F238E27FC236}">
              <a16:creationId xmlns:a16="http://schemas.microsoft.com/office/drawing/2014/main" id="{406A8EA2-1916-4738-804C-39AA9CB1C88A}"/>
            </a:ext>
          </a:extLst>
        </xdr:cNvPr>
        <xdr:cNvSpPr txBox="1"/>
      </xdr:nvSpPr>
      <xdr:spPr>
        <a:xfrm>
          <a:off x="13268325" y="14497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8N-4W</a:t>
          </a:r>
        </a:p>
      </xdr:txBody>
    </xdr:sp>
    <xdr:clientData/>
  </xdr:oneCellAnchor>
  <xdr:oneCellAnchor>
    <xdr:from>
      <xdr:col>68</xdr:col>
      <xdr:colOff>180975</xdr:colOff>
      <xdr:row>70</xdr:row>
      <xdr:rowOff>161925</xdr:rowOff>
    </xdr:from>
    <xdr:ext cx="628570" cy="468077"/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C9AEBF52-7637-47A9-9FD7-370AA4BEACDB}"/>
            </a:ext>
          </a:extLst>
        </xdr:cNvPr>
        <xdr:cNvSpPr txBox="1"/>
      </xdr:nvSpPr>
      <xdr:spPr>
        <a:xfrm>
          <a:off x="14430375" y="13544550"/>
          <a:ext cx="62857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9N-3W</a:t>
          </a:r>
        </a:p>
        <a:p>
          <a:endParaRPr lang="en-US" sz="1200" b="1"/>
        </a:p>
      </xdr:txBody>
    </xdr:sp>
    <xdr:clientData/>
  </xdr:oneCellAnchor>
  <xdr:oneCellAnchor>
    <xdr:from>
      <xdr:col>69</xdr:col>
      <xdr:colOff>19050</xdr:colOff>
      <xdr:row>76</xdr:row>
      <xdr:rowOff>0</xdr:rowOff>
    </xdr:from>
    <xdr:ext cx="628570" cy="280205"/>
    <xdr:sp macro="" textlink="">
      <xdr:nvSpPr>
        <xdr:cNvPr id="210" name="TextBox 209">
          <a:extLst>
            <a:ext uri="{FF2B5EF4-FFF2-40B4-BE49-F238E27FC236}">
              <a16:creationId xmlns:a16="http://schemas.microsoft.com/office/drawing/2014/main" id="{BE46440A-AF82-46E7-992D-19644D8E7368}"/>
            </a:ext>
          </a:extLst>
        </xdr:cNvPr>
        <xdr:cNvSpPr txBox="1"/>
      </xdr:nvSpPr>
      <xdr:spPr>
        <a:xfrm>
          <a:off x="14478000" y="14525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8N-3W</a:t>
          </a:r>
        </a:p>
      </xdr:txBody>
    </xdr:sp>
    <xdr:clientData/>
  </xdr:oneCellAnchor>
  <xdr:oneCellAnchor>
    <xdr:from>
      <xdr:col>62</xdr:col>
      <xdr:colOff>171450</xdr:colOff>
      <xdr:row>81</xdr:row>
      <xdr:rowOff>152400</xdr:rowOff>
    </xdr:from>
    <xdr:ext cx="628570" cy="280205"/>
    <xdr:sp macro="" textlink="">
      <xdr:nvSpPr>
        <xdr:cNvPr id="211" name="TextBox 210">
          <a:extLst>
            <a:ext uri="{FF2B5EF4-FFF2-40B4-BE49-F238E27FC236}">
              <a16:creationId xmlns:a16="http://schemas.microsoft.com/office/drawing/2014/main" id="{1B02E349-4958-424A-927F-DD55975FA75F}"/>
            </a:ext>
          </a:extLst>
        </xdr:cNvPr>
        <xdr:cNvSpPr txBox="1"/>
      </xdr:nvSpPr>
      <xdr:spPr>
        <a:xfrm>
          <a:off x="13163550" y="156305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7N-4W</a:t>
          </a:r>
        </a:p>
      </xdr:txBody>
    </xdr:sp>
    <xdr:clientData/>
  </xdr:oneCellAnchor>
  <xdr:oneCellAnchor>
    <xdr:from>
      <xdr:col>68</xdr:col>
      <xdr:colOff>85725</xdr:colOff>
      <xdr:row>81</xdr:row>
      <xdr:rowOff>161925</xdr:rowOff>
    </xdr:from>
    <xdr:ext cx="628570" cy="280205"/>
    <xdr:sp macro="" textlink="">
      <xdr:nvSpPr>
        <xdr:cNvPr id="212" name="TextBox 211">
          <a:extLst>
            <a:ext uri="{FF2B5EF4-FFF2-40B4-BE49-F238E27FC236}">
              <a16:creationId xmlns:a16="http://schemas.microsoft.com/office/drawing/2014/main" id="{969CE0B9-F416-4AB1-88A7-B86D9419B941}"/>
            </a:ext>
          </a:extLst>
        </xdr:cNvPr>
        <xdr:cNvSpPr txBox="1"/>
      </xdr:nvSpPr>
      <xdr:spPr>
        <a:xfrm>
          <a:off x="14335125" y="15640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7N-3W</a:t>
          </a:r>
        </a:p>
      </xdr:txBody>
    </xdr:sp>
    <xdr:clientData/>
  </xdr:oneCellAnchor>
  <xdr:oneCellAnchor>
    <xdr:from>
      <xdr:col>62</xdr:col>
      <xdr:colOff>171450</xdr:colOff>
      <xdr:row>87</xdr:row>
      <xdr:rowOff>161925</xdr:rowOff>
    </xdr:from>
    <xdr:ext cx="628570" cy="280205"/>
    <xdr:sp macro="" textlink="">
      <xdr:nvSpPr>
        <xdr:cNvPr id="213" name="TextBox 212">
          <a:extLst>
            <a:ext uri="{FF2B5EF4-FFF2-40B4-BE49-F238E27FC236}">
              <a16:creationId xmlns:a16="http://schemas.microsoft.com/office/drawing/2014/main" id="{E450BA6A-6F8C-4BDE-96AC-D6021E079745}"/>
            </a:ext>
          </a:extLst>
        </xdr:cNvPr>
        <xdr:cNvSpPr txBox="1"/>
      </xdr:nvSpPr>
      <xdr:spPr>
        <a:xfrm>
          <a:off x="13163550" y="16783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6N-4W</a:t>
          </a:r>
        </a:p>
      </xdr:txBody>
    </xdr:sp>
    <xdr:clientData/>
  </xdr:oneCellAnchor>
  <xdr:oneCellAnchor>
    <xdr:from>
      <xdr:col>68</xdr:col>
      <xdr:colOff>123825</xdr:colOff>
      <xdr:row>88</xdr:row>
      <xdr:rowOff>0</xdr:rowOff>
    </xdr:from>
    <xdr:ext cx="628570" cy="280205"/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35B214D2-C057-4DBB-8D07-187F803A2F7C}"/>
            </a:ext>
          </a:extLst>
        </xdr:cNvPr>
        <xdr:cNvSpPr txBox="1"/>
      </xdr:nvSpPr>
      <xdr:spPr>
        <a:xfrm>
          <a:off x="14373225" y="16811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6N-3W</a:t>
          </a:r>
        </a:p>
      </xdr:txBody>
    </xdr:sp>
    <xdr:clientData/>
  </xdr:oneCellAnchor>
  <xdr:oneCellAnchor>
    <xdr:from>
      <xdr:col>62</xdr:col>
      <xdr:colOff>190500</xdr:colOff>
      <xdr:row>93</xdr:row>
      <xdr:rowOff>142875</xdr:rowOff>
    </xdr:from>
    <xdr:ext cx="628570" cy="280205"/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DE2584AC-F3AD-4E2D-A088-E4434A644CB2}"/>
            </a:ext>
          </a:extLst>
        </xdr:cNvPr>
        <xdr:cNvSpPr txBox="1"/>
      </xdr:nvSpPr>
      <xdr:spPr>
        <a:xfrm>
          <a:off x="13182600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5N-4W</a:t>
          </a:r>
        </a:p>
      </xdr:txBody>
    </xdr:sp>
    <xdr:clientData/>
  </xdr:oneCellAnchor>
  <xdr:oneCellAnchor>
    <xdr:from>
      <xdr:col>69</xdr:col>
      <xdr:colOff>9525</xdr:colOff>
      <xdr:row>93</xdr:row>
      <xdr:rowOff>142875</xdr:rowOff>
    </xdr:from>
    <xdr:ext cx="628570" cy="280205"/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D1EA1E17-C752-4DE7-B24D-AD54E5D8919E}"/>
            </a:ext>
          </a:extLst>
        </xdr:cNvPr>
        <xdr:cNvSpPr txBox="1"/>
      </xdr:nvSpPr>
      <xdr:spPr>
        <a:xfrm>
          <a:off x="14468475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5N-3W</a:t>
          </a:r>
        </a:p>
      </xdr:txBody>
    </xdr:sp>
    <xdr:clientData/>
  </xdr:oneCellAnchor>
  <xdr:twoCellAnchor>
    <xdr:from>
      <xdr:col>68</xdr:col>
      <xdr:colOff>47625</xdr:colOff>
      <xdr:row>68</xdr:row>
      <xdr:rowOff>142337</xdr:rowOff>
    </xdr:from>
    <xdr:to>
      <xdr:col>74</xdr:col>
      <xdr:colOff>76200</xdr:colOff>
      <xdr:row>75</xdr:row>
      <xdr:rowOff>161925</xdr:rowOff>
    </xdr:to>
    <xdr:sp macro="" textlink="">
      <xdr:nvSpPr>
        <xdr:cNvPr id="217" name="Freeform: Shape 216">
          <a:extLst>
            <a:ext uri="{FF2B5EF4-FFF2-40B4-BE49-F238E27FC236}">
              <a16:creationId xmlns:a16="http://schemas.microsoft.com/office/drawing/2014/main" id="{0C4F2134-EAAD-404C-A565-7AF684E7B4AA}"/>
            </a:ext>
          </a:extLst>
        </xdr:cNvPr>
        <xdr:cNvSpPr/>
      </xdr:nvSpPr>
      <xdr:spPr>
        <a:xfrm>
          <a:off x="14297025" y="13143962"/>
          <a:ext cx="1285875" cy="1353088"/>
        </a:xfrm>
        <a:custGeom>
          <a:avLst/>
          <a:gdLst>
            <a:gd name="connsiteX0" fmla="*/ 0 w 1285875"/>
            <a:gd name="connsiteY0" fmla="*/ 10063 h 1353088"/>
            <a:gd name="connsiteX1" fmla="*/ 57150 w 1285875"/>
            <a:gd name="connsiteY1" fmla="*/ 48163 h 1353088"/>
            <a:gd name="connsiteX2" fmla="*/ 38100 w 1285875"/>
            <a:gd name="connsiteY2" fmla="*/ 391063 h 1353088"/>
            <a:gd name="connsiteX3" fmla="*/ 47625 w 1285875"/>
            <a:gd name="connsiteY3" fmla="*/ 486313 h 1353088"/>
            <a:gd name="connsiteX4" fmla="*/ 66675 w 1285875"/>
            <a:gd name="connsiteY4" fmla="*/ 514888 h 1353088"/>
            <a:gd name="connsiteX5" fmla="*/ 76200 w 1285875"/>
            <a:gd name="connsiteY5" fmla="*/ 638713 h 1353088"/>
            <a:gd name="connsiteX6" fmla="*/ 85725 w 1285875"/>
            <a:gd name="connsiteY6" fmla="*/ 667288 h 1353088"/>
            <a:gd name="connsiteX7" fmla="*/ 114300 w 1285875"/>
            <a:gd name="connsiteY7" fmla="*/ 676813 h 1353088"/>
            <a:gd name="connsiteX8" fmla="*/ 161925 w 1285875"/>
            <a:gd name="connsiteY8" fmla="*/ 705388 h 1353088"/>
            <a:gd name="connsiteX9" fmla="*/ 219075 w 1285875"/>
            <a:gd name="connsiteY9" fmla="*/ 743488 h 1353088"/>
            <a:gd name="connsiteX10" fmla="*/ 285750 w 1285875"/>
            <a:gd name="connsiteY10" fmla="*/ 781588 h 1353088"/>
            <a:gd name="connsiteX11" fmla="*/ 304800 w 1285875"/>
            <a:gd name="connsiteY11" fmla="*/ 857788 h 1353088"/>
            <a:gd name="connsiteX12" fmla="*/ 314325 w 1285875"/>
            <a:gd name="connsiteY12" fmla="*/ 886363 h 1353088"/>
            <a:gd name="connsiteX13" fmla="*/ 342900 w 1285875"/>
            <a:gd name="connsiteY13" fmla="*/ 905413 h 1353088"/>
            <a:gd name="connsiteX14" fmla="*/ 390525 w 1285875"/>
            <a:gd name="connsiteY14" fmla="*/ 972088 h 1353088"/>
            <a:gd name="connsiteX15" fmla="*/ 409575 w 1285875"/>
            <a:gd name="connsiteY15" fmla="*/ 1000663 h 1353088"/>
            <a:gd name="connsiteX16" fmla="*/ 504825 w 1285875"/>
            <a:gd name="connsiteY16" fmla="*/ 1048288 h 1353088"/>
            <a:gd name="connsiteX17" fmla="*/ 609600 w 1285875"/>
            <a:gd name="connsiteY17" fmla="*/ 1067338 h 1353088"/>
            <a:gd name="connsiteX18" fmla="*/ 847725 w 1285875"/>
            <a:gd name="connsiteY18" fmla="*/ 1076863 h 1353088"/>
            <a:gd name="connsiteX19" fmla="*/ 971550 w 1285875"/>
            <a:gd name="connsiteY19" fmla="*/ 1134013 h 1353088"/>
            <a:gd name="connsiteX20" fmla="*/ 1009650 w 1285875"/>
            <a:gd name="connsiteY20" fmla="*/ 1153063 h 1353088"/>
            <a:gd name="connsiteX21" fmla="*/ 1038225 w 1285875"/>
            <a:gd name="connsiteY21" fmla="*/ 1162588 h 1353088"/>
            <a:gd name="connsiteX22" fmla="*/ 1085850 w 1285875"/>
            <a:gd name="connsiteY22" fmla="*/ 1181638 h 1353088"/>
            <a:gd name="connsiteX23" fmla="*/ 1123950 w 1285875"/>
            <a:gd name="connsiteY23" fmla="*/ 1191163 h 1353088"/>
            <a:gd name="connsiteX24" fmla="*/ 1143000 w 1285875"/>
            <a:gd name="connsiteY24" fmla="*/ 1229263 h 1353088"/>
            <a:gd name="connsiteX25" fmla="*/ 1200150 w 1285875"/>
            <a:gd name="connsiteY25" fmla="*/ 1276888 h 1353088"/>
            <a:gd name="connsiteX26" fmla="*/ 1247775 w 1285875"/>
            <a:gd name="connsiteY26" fmla="*/ 1324513 h 1353088"/>
            <a:gd name="connsiteX27" fmla="*/ 1285875 w 1285875"/>
            <a:gd name="connsiteY27" fmla="*/ 1353088 h 13530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285875" h="1353088">
              <a:moveTo>
                <a:pt x="0" y="10063"/>
              </a:moveTo>
              <a:cubicBezTo>
                <a:pt x="50800" y="-97"/>
                <a:pt x="57150" y="-17877"/>
                <a:pt x="57150" y="48163"/>
              </a:cubicBezTo>
              <a:cubicBezTo>
                <a:pt x="57150" y="292205"/>
                <a:pt x="61232" y="252270"/>
                <a:pt x="38100" y="391063"/>
              </a:cubicBezTo>
              <a:cubicBezTo>
                <a:pt x="41275" y="422813"/>
                <a:pt x="40450" y="455222"/>
                <a:pt x="47625" y="486313"/>
              </a:cubicBezTo>
              <a:cubicBezTo>
                <a:pt x="50199" y="497467"/>
                <a:pt x="64565" y="503636"/>
                <a:pt x="66675" y="514888"/>
              </a:cubicBezTo>
              <a:cubicBezTo>
                <a:pt x="74304" y="555576"/>
                <a:pt x="71065" y="597636"/>
                <a:pt x="76200" y="638713"/>
              </a:cubicBezTo>
              <a:cubicBezTo>
                <a:pt x="77445" y="648676"/>
                <a:pt x="78625" y="660188"/>
                <a:pt x="85725" y="667288"/>
              </a:cubicBezTo>
              <a:cubicBezTo>
                <a:pt x="92825" y="674388"/>
                <a:pt x="105320" y="672323"/>
                <a:pt x="114300" y="676813"/>
              </a:cubicBezTo>
              <a:cubicBezTo>
                <a:pt x="130859" y="685092"/>
                <a:pt x="146306" y="695449"/>
                <a:pt x="161925" y="705388"/>
              </a:cubicBezTo>
              <a:cubicBezTo>
                <a:pt x="181241" y="717680"/>
                <a:pt x="198597" y="733249"/>
                <a:pt x="219075" y="743488"/>
              </a:cubicBezTo>
              <a:cubicBezTo>
                <a:pt x="267414" y="767658"/>
                <a:pt x="245361" y="754662"/>
                <a:pt x="285750" y="781588"/>
              </a:cubicBezTo>
              <a:cubicBezTo>
                <a:pt x="292100" y="806988"/>
                <a:pt x="297911" y="832529"/>
                <a:pt x="304800" y="857788"/>
              </a:cubicBezTo>
              <a:cubicBezTo>
                <a:pt x="307442" y="867474"/>
                <a:pt x="308053" y="878523"/>
                <a:pt x="314325" y="886363"/>
              </a:cubicBezTo>
              <a:cubicBezTo>
                <a:pt x="321476" y="895302"/>
                <a:pt x="333375" y="899063"/>
                <a:pt x="342900" y="905413"/>
              </a:cubicBezTo>
              <a:cubicBezTo>
                <a:pt x="360402" y="957918"/>
                <a:pt x="341216" y="914561"/>
                <a:pt x="390525" y="972088"/>
              </a:cubicBezTo>
              <a:cubicBezTo>
                <a:pt x="397975" y="980780"/>
                <a:pt x="400960" y="993125"/>
                <a:pt x="409575" y="1000663"/>
              </a:cubicBezTo>
              <a:cubicBezTo>
                <a:pt x="459955" y="1044745"/>
                <a:pt x="454612" y="1033942"/>
                <a:pt x="504825" y="1048288"/>
              </a:cubicBezTo>
              <a:cubicBezTo>
                <a:pt x="559198" y="1063823"/>
                <a:pt x="519577" y="1061882"/>
                <a:pt x="609600" y="1067338"/>
              </a:cubicBezTo>
              <a:cubicBezTo>
                <a:pt x="688893" y="1072144"/>
                <a:pt x="768350" y="1073688"/>
                <a:pt x="847725" y="1076863"/>
              </a:cubicBezTo>
              <a:cubicBezTo>
                <a:pt x="909976" y="1097613"/>
                <a:pt x="867320" y="1081898"/>
                <a:pt x="971550" y="1134013"/>
              </a:cubicBezTo>
              <a:cubicBezTo>
                <a:pt x="984250" y="1140363"/>
                <a:pt x="996180" y="1148573"/>
                <a:pt x="1009650" y="1153063"/>
              </a:cubicBezTo>
              <a:cubicBezTo>
                <a:pt x="1019175" y="1156238"/>
                <a:pt x="1028824" y="1159063"/>
                <a:pt x="1038225" y="1162588"/>
              </a:cubicBezTo>
              <a:cubicBezTo>
                <a:pt x="1054234" y="1168591"/>
                <a:pt x="1069630" y="1176231"/>
                <a:pt x="1085850" y="1181638"/>
              </a:cubicBezTo>
              <a:cubicBezTo>
                <a:pt x="1098269" y="1185778"/>
                <a:pt x="1111250" y="1187988"/>
                <a:pt x="1123950" y="1191163"/>
              </a:cubicBezTo>
              <a:cubicBezTo>
                <a:pt x="1130300" y="1203863"/>
                <a:pt x="1134747" y="1217709"/>
                <a:pt x="1143000" y="1229263"/>
              </a:cubicBezTo>
              <a:cubicBezTo>
                <a:pt x="1159668" y="1252598"/>
                <a:pt x="1177365" y="1261698"/>
                <a:pt x="1200150" y="1276888"/>
              </a:cubicBezTo>
              <a:cubicBezTo>
                <a:pt x="1227859" y="1318452"/>
                <a:pt x="1207366" y="1295649"/>
                <a:pt x="1247775" y="1324513"/>
              </a:cubicBezTo>
              <a:cubicBezTo>
                <a:pt x="1260693" y="1333740"/>
                <a:pt x="1285875" y="1353088"/>
                <a:pt x="1285875" y="1353088"/>
              </a:cubicBezTo>
            </a:path>
          </a:pathLst>
        </a:custGeom>
        <a:ln w="1111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62</xdr:col>
      <xdr:colOff>207635</xdr:colOff>
      <xdr:row>63</xdr:row>
      <xdr:rowOff>147224</xdr:rowOff>
    </xdr:from>
    <xdr:ext cx="706540" cy="280205"/>
    <xdr:sp macro="" textlink="">
      <xdr:nvSpPr>
        <xdr:cNvPr id="218" name="TextBox 217">
          <a:extLst>
            <a:ext uri="{FF2B5EF4-FFF2-40B4-BE49-F238E27FC236}">
              <a16:creationId xmlns:a16="http://schemas.microsoft.com/office/drawing/2014/main" id="{46DE947D-A64B-4341-969F-17003AFE9462}"/>
            </a:ext>
          </a:extLst>
        </xdr:cNvPr>
        <xdr:cNvSpPr txBox="1"/>
      </xdr:nvSpPr>
      <xdr:spPr>
        <a:xfrm>
          <a:off x="13199735" y="121963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10N-4W</a:t>
          </a:r>
        </a:p>
      </xdr:txBody>
    </xdr:sp>
    <xdr:clientData/>
  </xdr:oneCellAnchor>
  <xdr:twoCellAnchor>
    <xdr:from>
      <xdr:col>62</xdr:col>
      <xdr:colOff>20783</xdr:colOff>
      <xdr:row>61</xdr:row>
      <xdr:rowOff>173182</xdr:rowOff>
    </xdr:from>
    <xdr:to>
      <xdr:col>80</xdr:col>
      <xdr:colOff>85725</xdr:colOff>
      <xdr:row>62</xdr:row>
      <xdr:rowOff>19050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A60600F7-828F-4EA0-AB81-B0CC1179052E}"/>
            </a:ext>
          </a:extLst>
        </xdr:cNvPr>
        <xdr:cNvCxnSpPr/>
      </xdr:nvCxnSpPr>
      <xdr:spPr>
        <a:xfrm flipH="1" flipV="1">
          <a:off x="13012883" y="11841307"/>
          <a:ext cx="3836842" cy="3636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69</xdr:col>
      <xdr:colOff>128738</xdr:colOff>
      <xdr:row>63</xdr:row>
      <xdr:rowOff>152007</xdr:rowOff>
    </xdr:from>
    <xdr:ext cx="2271006" cy="718466"/>
    <xdr:sp macro="" textlink="">
      <xdr:nvSpPr>
        <xdr:cNvPr id="220" name="TextBox 219">
          <a:extLst>
            <a:ext uri="{FF2B5EF4-FFF2-40B4-BE49-F238E27FC236}">
              <a16:creationId xmlns:a16="http://schemas.microsoft.com/office/drawing/2014/main" id="{DC0A5DDF-CBB7-431F-9F9F-8F30E6AE6B9F}"/>
            </a:ext>
          </a:extLst>
        </xdr:cNvPr>
        <xdr:cNvSpPr txBox="1"/>
      </xdr:nvSpPr>
      <xdr:spPr>
        <a:xfrm>
          <a:off x="14587688" y="12201132"/>
          <a:ext cx="22710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Cleveland</a:t>
          </a:r>
        </a:p>
      </xdr:txBody>
    </xdr:sp>
    <xdr:clientData/>
  </xdr:oneCellAnchor>
  <xdr:oneCellAnchor>
    <xdr:from>
      <xdr:col>0</xdr:col>
      <xdr:colOff>0</xdr:colOff>
      <xdr:row>41</xdr:row>
      <xdr:rowOff>137666</xdr:rowOff>
    </xdr:from>
    <xdr:ext cx="718466" cy="2749792"/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A924C8F9-322D-45A2-8F72-D81192D32099}"/>
            </a:ext>
          </a:extLst>
        </xdr:cNvPr>
        <xdr:cNvSpPr txBox="1"/>
      </xdr:nvSpPr>
      <xdr:spPr>
        <a:xfrm rot="16200000">
          <a:off x="-1015663" y="9011454"/>
          <a:ext cx="2749792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	CUSTER</a:t>
          </a:r>
        </a:p>
      </xdr:txBody>
    </xdr:sp>
    <xdr:clientData/>
  </xdr:oneCellAnchor>
  <xdr:twoCellAnchor>
    <xdr:from>
      <xdr:col>0</xdr:col>
      <xdr:colOff>0</xdr:colOff>
      <xdr:row>103</xdr:row>
      <xdr:rowOff>184697</xdr:rowOff>
    </xdr:from>
    <xdr:to>
      <xdr:col>77</xdr:col>
      <xdr:colOff>43793</xdr:colOff>
      <xdr:row>103</xdr:row>
      <xdr:rowOff>184698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7D3AEF7D-1C5A-419E-A887-71F2D6C6985C}"/>
            </a:ext>
          </a:extLst>
        </xdr:cNvPr>
        <xdr:cNvCxnSpPr/>
      </xdr:nvCxnSpPr>
      <xdr:spPr>
        <a:xfrm>
          <a:off x="0" y="19853822"/>
          <a:ext cx="16179143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e1" displayName="Table1" ref="A1:I214" totalsRowShown="0" headerRowDxfId="10" dataDxfId="9">
  <autoFilter ref="A1:I214"/>
  <sortState ref="A2:I214">
    <sortCondition ref="E1:E214"/>
  </sortState>
  <tableColumns count="9">
    <tableColumn id="1" name="Section" dataDxfId="8"/>
    <tableColumn id="2" name="Township " dataDxfId="7"/>
    <tableColumn id="3" name="Range " dataDxfId="6"/>
    <tableColumn id="4" name="Acreage" dataDxfId="5" dataCellStyle="Comma"/>
    <tableColumn id="5" name="Pooling " dataDxfId="4"/>
    <tableColumn id="6" name="Operators" dataDxfId="3"/>
    <tableColumn id="9" name="Date of App/Order " dataDxfId="2"/>
    <tableColumn id="7" name="Well Name " dataDxfId="1"/>
    <tableColumn id="8" name="Well API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Z104"/>
  <sheetViews>
    <sheetView zoomScale="73" zoomScaleNormal="73" workbookViewId="0">
      <selection activeCell="BU29" sqref="BU29"/>
    </sheetView>
    <sheetView tabSelected="1" topLeftCell="A19" zoomScale="50" zoomScaleNormal="50" workbookViewId="1">
      <selection activeCell="BS30" sqref="BS30"/>
    </sheetView>
    <sheetView workbookViewId="2"/>
  </sheetViews>
  <sheetFormatPr defaultColWidth="3.140625" defaultRowHeight="15" customHeight="1" x14ac:dyDescent="0.25"/>
  <cols>
    <col min="47" max="47" width="3.140625" customWidth="1"/>
    <col min="57" max="57" width="3.28515625" customWidth="1"/>
    <col min="93" max="93" width="6.28515625" bestFit="1" customWidth="1"/>
    <col min="104" max="104" width="6.28515625" bestFit="1" customWidth="1"/>
  </cols>
  <sheetData>
    <row r="1" spans="1:104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4"/>
      <c r="CA1" s="4"/>
      <c r="CB1" s="4"/>
    </row>
    <row r="2" spans="1:104" ht="15" customHeight="1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4"/>
      <c r="CA2" s="4"/>
      <c r="CB2" s="4"/>
    </row>
    <row r="3" spans="1:104" ht="15" customHeight="1" x14ac:dyDescent="0.25">
      <c r="A3" s="3"/>
      <c r="B3" s="3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3"/>
      <c r="BX3" s="3"/>
      <c r="BY3" s="3"/>
      <c r="BZ3" s="4"/>
      <c r="CA3" s="4"/>
      <c r="CB3" s="4"/>
    </row>
    <row r="4" spans="1:104" ht="15" customHeight="1" x14ac:dyDescent="0.25">
      <c r="A4" s="3"/>
      <c r="B4" s="3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3"/>
      <c r="BX4" s="3"/>
      <c r="BY4" s="3"/>
      <c r="BZ4" s="4"/>
      <c r="CA4" s="4"/>
      <c r="CB4" s="4"/>
    </row>
    <row r="5" spans="1:104" ht="15" customHeight="1" x14ac:dyDescent="0.3">
      <c r="A5" s="3"/>
      <c r="B5" s="3"/>
      <c r="C5" s="5"/>
      <c r="D5" s="5"/>
      <c r="E5" s="5"/>
      <c r="F5" s="6" t="s">
        <v>18</v>
      </c>
      <c r="G5" s="6"/>
      <c r="H5" s="6"/>
      <c r="I5" s="14"/>
      <c r="J5" s="6" t="s">
        <v>17</v>
      </c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3"/>
      <c r="BX5" s="3"/>
      <c r="BY5" s="3"/>
      <c r="BZ5" s="4"/>
      <c r="CA5" s="4"/>
      <c r="CB5" s="4"/>
    </row>
    <row r="6" spans="1:104" ht="15" customHeight="1" x14ac:dyDescent="0.3">
      <c r="A6" s="3"/>
      <c r="B6" s="3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3"/>
      <c r="BX6" s="3"/>
      <c r="BY6" s="3"/>
      <c r="BZ6" s="4"/>
      <c r="CA6" s="4"/>
      <c r="CB6" s="4"/>
      <c r="CD6" s="6" t="s">
        <v>19</v>
      </c>
      <c r="CE6" s="7"/>
      <c r="CF6" s="7"/>
      <c r="CG6" s="7"/>
      <c r="CH6" s="7"/>
      <c r="CI6" s="7"/>
      <c r="CJ6" s="7"/>
      <c r="CK6" s="7"/>
      <c r="CL6" s="7"/>
      <c r="CM6" s="7"/>
      <c r="CN6" s="7"/>
      <c r="CO6" s="7">
        <f>ColorFunction(AN21,AG9:BJ38,FALSE)</f>
        <v>568</v>
      </c>
      <c r="CP6" s="6" t="s">
        <v>20</v>
      </c>
      <c r="CQ6" s="6"/>
      <c r="CR6" s="7"/>
      <c r="CS6" s="7"/>
      <c r="CT6" s="7"/>
      <c r="CU6" s="7"/>
      <c r="CV6" s="7"/>
      <c r="CW6" s="7"/>
      <c r="CX6" s="7"/>
      <c r="CY6" s="7"/>
      <c r="CZ6" s="7">
        <f>(900-CO6)</f>
        <v>332</v>
      </c>
    </row>
    <row r="7" spans="1:104" ht="15" customHeight="1" x14ac:dyDescent="0.3">
      <c r="A7" s="3"/>
      <c r="B7" s="3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3"/>
      <c r="BX7" s="3"/>
      <c r="BY7" s="3"/>
      <c r="BZ7" s="4"/>
      <c r="CA7" s="4"/>
      <c r="CB7" s="4"/>
      <c r="CD7" s="6" t="s">
        <v>21</v>
      </c>
      <c r="CE7" s="7"/>
      <c r="CF7" s="7"/>
      <c r="CG7" s="7"/>
      <c r="CH7" s="7"/>
      <c r="CI7" s="7"/>
      <c r="CJ7" s="7"/>
      <c r="CK7" s="7"/>
      <c r="CL7" s="7"/>
      <c r="CM7" s="7"/>
      <c r="CN7" s="7"/>
      <c r="CO7" s="7">
        <f>SUM(CO17:CO18)</f>
        <v>264</v>
      </c>
      <c r="CP7" s="6" t="s">
        <v>20</v>
      </c>
      <c r="CQ7" s="7"/>
      <c r="CR7" s="7"/>
      <c r="CS7" s="7"/>
      <c r="CT7" s="7"/>
      <c r="CU7" s="7"/>
      <c r="CV7" s="7"/>
      <c r="CW7" s="7"/>
      <c r="CX7" s="7"/>
      <c r="CY7" s="7"/>
      <c r="CZ7" s="7">
        <f>((36*26)-CO7)</f>
        <v>672</v>
      </c>
    </row>
    <row r="8" spans="1:104" ht="15" customHeight="1" x14ac:dyDescent="0.3">
      <c r="A8" s="3"/>
      <c r="B8" s="3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3"/>
      <c r="BX8" s="3"/>
      <c r="BY8" s="3"/>
      <c r="BZ8" s="4"/>
      <c r="CA8" s="4"/>
      <c r="CB8" s="4"/>
      <c r="CD8" s="6" t="s">
        <v>23</v>
      </c>
      <c r="CE8" s="7"/>
      <c r="CF8" s="7"/>
      <c r="CG8" s="7"/>
      <c r="CH8" s="7"/>
      <c r="CI8" s="7"/>
      <c r="CJ8" s="7"/>
      <c r="CK8" s="7"/>
      <c r="CL8" s="7"/>
      <c r="CM8" s="7"/>
      <c r="CN8" s="7"/>
      <c r="CO8" s="7">
        <f>SUM(CO20:CO21)</f>
        <v>223</v>
      </c>
      <c r="CP8" s="6" t="s">
        <v>20</v>
      </c>
      <c r="CQ8" s="7"/>
      <c r="CR8" s="7"/>
      <c r="CS8" s="7"/>
      <c r="CT8" s="7"/>
      <c r="CU8" s="7"/>
      <c r="CV8" s="7"/>
      <c r="CW8" s="7"/>
      <c r="CX8" s="7"/>
      <c r="CY8" s="7"/>
      <c r="CZ8" s="7">
        <f>((24*36)+49-CO8)</f>
        <v>690</v>
      </c>
    </row>
    <row r="9" spans="1:104" ht="15" customHeight="1" x14ac:dyDescent="0.25">
      <c r="A9" s="3"/>
      <c r="B9" s="3"/>
      <c r="C9" s="5"/>
      <c r="D9" s="5"/>
      <c r="E9" s="5"/>
      <c r="F9" s="5"/>
      <c r="G9" s="5"/>
      <c r="H9" s="5"/>
      <c r="I9" s="5"/>
      <c r="J9" s="5"/>
      <c r="K9" s="5"/>
      <c r="L9" s="5"/>
      <c r="M9" s="1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14"/>
      <c r="AD9" s="5"/>
      <c r="AE9" s="5"/>
      <c r="AF9" s="5"/>
      <c r="AG9" s="5"/>
      <c r="AH9" s="5"/>
      <c r="AI9" s="5"/>
      <c r="AJ9" s="14"/>
      <c r="AK9" s="5"/>
      <c r="AL9" s="14"/>
      <c r="AM9" s="5"/>
      <c r="AN9" s="5"/>
      <c r="AO9" s="14"/>
      <c r="AP9" s="14"/>
      <c r="AQ9" s="14"/>
      <c r="AR9" s="5"/>
      <c r="AS9" s="5"/>
      <c r="AT9" s="14"/>
      <c r="AU9" s="5"/>
      <c r="AV9" s="5"/>
      <c r="AW9" s="5"/>
      <c r="AX9" s="5"/>
      <c r="AY9" s="14"/>
      <c r="AZ9" s="5"/>
      <c r="BA9" s="5"/>
      <c r="BB9" s="5"/>
      <c r="BC9" s="5"/>
      <c r="BD9" s="14"/>
      <c r="BE9" s="14"/>
      <c r="BF9" s="14"/>
      <c r="BG9" s="5"/>
      <c r="BH9" s="14"/>
      <c r="BI9" s="14"/>
      <c r="BJ9" s="14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3"/>
      <c r="BX9" s="3"/>
      <c r="BY9" s="3"/>
      <c r="BZ9" s="4"/>
      <c r="CA9" s="4"/>
      <c r="CB9" s="4"/>
    </row>
    <row r="10" spans="1:104" ht="15" customHeight="1" x14ac:dyDescent="0.25">
      <c r="A10" s="3"/>
      <c r="B10" s="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4"/>
      <c r="AJ10" s="14"/>
      <c r="AK10" s="14"/>
      <c r="AL10" s="14"/>
      <c r="AM10" s="14"/>
      <c r="AN10" s="5"/>
      <c r="AO10" s="5"/>
      <c r="AP10" s="5"/>
      <c r="AQ10" s="14"/>
      <c r="AR10" s="14"/>
      <c r="AS10" s="14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14"/>
      <c r="BE10" s="14"/>
      <c r="BF10" s="5"/>
      <c r="BG10" s="5"/>
      <c r="BH10" s="5"/>
      <c r="BI10" s="5"/>
      <c r="BJ10" s="14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3"/>
      <c r="BX10" s="3"/>
      <c r="BY10" s="3"/>
      <c r="BZ10" s="4"/>
      <c r="CA10" s="4"/>
      <c r="CB10" s="4"/>
    </row>
    <row r="11" spans="1:104" ht="15" customHeight="1" x14ac:dyDescent="0.25">
      <c r="A11" s="3"/>
      <c r="B11" s="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14"/>
      <c r="R11" s="5"/>
      <c r="S11" s="5"/>
      <c r="T11" s="5"/>
      <c r="U11" s="5"/>
      <c r="V11" s="13"/>
      <c r="W11" s="13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14"/>
      <c r="AK11" s="14"/>
      <c r="AL11" s="14"/>
      <c r="AM11" s="5"/>
      <c r="AN11" s="5"/>
      <c r="AO11" s="14"/>
      <c r="AP11" s="5"/>
      <c r="AQ11" s="14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14"/>
      <c r="BE11" s="5"/>
      <c r="BF11" s="14"/>
      <c r="BG11" s="14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3"/>
      <c r="BX11" s="3"/>
      <c r="BY11" s="3"/>
      <c r="BZ11" s="4"/>
      <c r="CA11" s="4"/>
      <c r="CB11" s="4"/>
    </row>
    <row r="12" spans="1:104" ht="15" customHeight="1" x14ac:dyDescent="0.25">
      <c r="A12" s="3"/>
      <c r="B12" s="3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4"/>
      <c r="Q12" s="14"/>
      <c r="R12" s="5"/>
      <c r="S12" s="5"/>
      <c r="T12" s="5"/>
      <c r="U12" s="5"/>
      <c r="V12" s="13"/>
      <c r="W12" s="13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4"/>
      <c r="AK12" s="14"/>
      <c r="AL12" s="5"/>
      <c r="AM12" s="14"/>
      <c r="AN12" s="14"/>
      <c r="AO12" s="14"/>
      <c r="AP12" s="5"/>
      <c r="AQ12" s="14"/>
      <c r="AR12" s="5"/>
      <c r="AS12" s="5"/>
      <c r="AT12" s="14"/>
      <c r="AU12" s="5"/>
      <c r="AV12" s="5"/>
      <c r="AW12" s="5"/>
      <c r="AX12" s="5"/>
      <c r="AY12" s="5"/>
      <c r="AZ12" s="5"/>
      <c r="BA12" s="5"/>
      <c r="BB12" s="5"/>
      <c r="BC12" s="5"/>
      <c r="BD12" s="14"/>
      <c r="BE12" s="5"/>
      <c r="BF12" s="14"/>
      <c r="BG12" s="14"/>
      <c r="BH12" s="14"/>
      <c r="BI12" s="5"/>
      <c r="BJ12" s="14"/>
      <c r="BK12" s="5"/>
      <c r="BL12" s="5"/>
      <c r="BM12" s="5"/>
      <c r="BN12" s="5"/>
      <c r="BO12" s="5"/>
      <c r="BP12" s="5"/>
      <c r="BQ12" s="5"/>
      <c r="BR12" s="15"/>
      <c r="BS12" s="5"/>
      <c r="BT12" s="5"/>
      <c r="BU12" s="5"/>
      <c r="BV12" s="5"/>
      <c r="BW12" s="3"/>
      <c r="BX12" s="3"/>
      <c r="BY12" s="3"/>
      <c r="BZ12" s="4"/>
      <c r="CA12" s="4"/>
      <c r="CB12" s="4"/>
    </row>
    <row r="13" spans="1:104" ht="15" customHeight="1" x14ac:dyDescent="0.25">
      <c r="A13" s="3"/>
      <c r="B13" s="3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14"/>
      <c r="AL13" s="5"/>
      <c r="AM13" s="14"/>
      <c r="AN13" s="14"/>
      <c r="AO13" s="14"/>
      <c r="AP13" s="5"/>
      <c r="AQ13" s="5"/>
      <c r="AR13" s="5"/>
      <c r="AS13" s="14"/>
      <c r="AT13" s="14"/>
      <c r="AU13" s="14"/>
      <c r="AV13" s="14"/>
      <c r="AW13" s="5"/>
      <c r="AX13" s="5"/>
      <c r="AY13" s="5"/>
      <c r="AZ13" s="5"/>
      <c r="BA13" s="5"/>
      <c r="BB13" s="14"/>
      <c r="BC13" s="5"/>
      <c r="BD13" s="14"/>
      <c r="BE13" s="14"/>
      <c r="BF13" s="5"/>
      <c r="BG13" s="14"/>
      <c r="BH13" s="14"/>
      <c r="BI13" s="14"/>
      <c r="BJ13" s="14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3"/>
      <c r="BX13" s="3"/>
      <c r="BY13" s="3"/>
      <c r="BZ13" s="4"/>
      <c r="CA13" s="4"/>
      <c r="CB13" s="4"/>
    </row>
    <row r="14" spans="1:104" ht="15" customHeight="1" x14ac:dyDescent="0.25">
      <c r="A14" s="3"/>
      <c r="B14" s="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14"/>
      <c r="AN14" s="5"/>
      <c r="AO14" s="5"/>
      <c r="AP14" s="14"/>
      <c r="AQ14" s="5"/>
      <c r="AR14" s="14"/>
      <c r="AS14" s="14"/>
      <c r="AT14" s="5"/>
      <c r="AU14" s="5"/>
      <c r="AV14" s="5"/>
      <c r="AW14" s="14"/>
      <c r="AX14" s="5"/>
      <c r="AY14" s="5"/>
      <c r="AZ14" s="14"/>
      <c r="BA14" s="5"/>
      <c r="BB14" s="8"/>
      <c r="BC14" s="14"/>
      <c r="BD14" s="14"/>
      <c r="BE14" s="14"/>
      <c r="BF14" s="5"/>
      <c r="BG14" s="14"/>
      <c r="BH14" s="14"/>
      <c r="BI14" s="14"/>
      <c r="BJ14" s="14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3"/>
      <c r="BX14" s="3"/>
      <c r="BY14" s="3"/>
      <c r="BZ14" s="4"/>
      <c r="CA14" s="4"/>
      <c r="CB14" s="4"/>
    </row>
    <row r="15" spans="1:104" ht="15" customHeight="1" x14ac:dyDescent="0.25">
      <c r="A15" s="3"/>
      <c r="B15" s="3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14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14"/>
      <c r="AN15" s="5"/>
      <c r="AO15" s="5"/>
      <c r="AP15" s="14"/>
      <c r="AQ15" s="14"/>
      <c r="AR15" s="14"/>
      <c r="AS15" s="14"/>
      <c r="AT15" s="5"/>
      <c r="AU15" s="14"/>
      <c r="AV15" s="5"/>
      <c r="AW15" s="5"/>
      <c r="AX15" s="5"/>
      <c r="AY15" s="8"/>
      <c r="AZ15" s="8"/>
      <c r="BA15" s="14"/>
      <c r="BB15" s="14"/>
      <c r="BC15" s="14"/>
      <c r="BD15" s="14"/>
      <c r="BE15" s="14"/>
      <c r="BF15" s="14"/>
      <c r="BG15" s="14"/>
      <c r="BH15" s="5"/>
      <c r="BI15" s="14"/>
      <c r="BJ15" s="14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3"/>
      <c r="BX15" s="3"/>
      <c r="BY15" s="3"/>
      <c r="BZ15" s="4"/>
      <c r="CA15" s="4"/>
      <c r="CB15" s="4"/>
    </row>
    <row r="16" spans="1:104" ht="15" customHeight="1" x14ac:dyDescent="0.25">
      <c r="A16" s="3"/>
      <c r="B16" s="3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14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14"/>
      <c r="AH16" s="5"/>
      <c r="AI16" s="5"/>
      <c r="AJ16" s="5"/>
      <c r="AK16" s="5"/>
      <c r="AL16" s="5"/>
      <c r="AM16" s="5"/>
      <c r="AN16" s="5"/>
      <c r="AO16" s="5"/>
      <c r="AP16" s="14"/>
      <c r="AQ16" s="5"/>
      <c r="AR16" s="14"/>
      <c r="AS16" s="14"/>
      <c r="AT16" s="5"/>
      <c r="AU16" s="5"/>
      <c r="AV16" s="5"/>
      <c r="AW16" s="5"/>
      <c r="AX16" s="5"/>
      <c r="AY16" s="8"/>
      <c r="AZ16" s="14"/>
      <c r="BA16" s="8"/>
      <c r="BB16" s="14"/>
      <c r="BC16" s="14"/>
      <c r="BD16" s="14"/>
      <c r="BE16" s="14"/>
      <c r="BF16" s="14"/>
      <c r="BG16" s="14"/>
      <c r="BH16" s="14"/>
      <c r="BI16" s="14"/>
      <c r="BJ16" s="14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3"/>
      <c r="BX16" s="3"/>
      <c r="BY16" s="3"/>
      <c r="BZ16" s="4"/>
      <c r="CA16" s="4"/>
      <c r="CB16" s="4"/>
    </row>
    <row r="17" spans="1:93" ht="15" customHeight="1" x14ac:dyDescent="0.25">
      <c r="A17" s="3"/>
      <c r="B17" s="3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4"/>
      <c r="R17" s="5"/>
      <c r="S17" s="5"/>
      <c r="T17" s="14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14"/>
      <c r="AH17" s="14"/>
      <c r="AI17" s="5"/>
      <c r="AJ17" s="5"/>
      <c r="AK17" s="5"/>
      <c r="AL17" s="14"/>
      <c r="AM17" s="5"/>
      <c r="AN17" s="5"/>
      <c r="AO17" s="5"/>
      <c r="AP17" s="5"/>
      <c r="AQ17" s="5"/>
      <c r="AR17" s="5"/>
      <c r="AS17" s="14"/>
      <c r="AT17" s="14"/>
      <c r="AU17" s="5"/>
      <c r="AV17" s="8"/>
      <c r="AW17" s="8"/>
      <c r="AX17" s="8"/>
      <c r="AY17" s="8"/>
      <c r="AZ17" s="14"/>
      <c r="BA17" s="14"/>
      <c r="BB17" s="8"/>
      <c r="BC17" s="14"/>
      <c r="BD17" s="14"/>
      <c r="BE17" s="14"/>
      <c r="BF17" s="8"/>
      <c r="BG17" s="8"/>
      <c r="BH17" s="14"/>
      <c r="BI17" s="14"/>
      <c r="BJ17" s="8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3"/>
      <c r="BX17" s="3"/>
      <c r="BY17" s="3"/>
      <c r="BZ17" s="4"/>
      <c r="CA17" s="4"/>
      <c r="CB17" s="4"/>
      <c r="CE17" s="2" t="s">
        <v>22</v>
      </c>
      <c r="CO17" s="7">
        <f>ColorFunction(AN32,I9:AF38,FALSE)</f>
        <v>218</v>
      </c>
    </row>
    <row r="18" spans="1:93" ht="15" customHeight="1" x14ac:dyDescent="0.25">
      <c r="A18" s="3"/>
      <c r="B18" s="3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14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14"/>
      <c r="AL18" s="5"/>
      <c r="AM18" s="5"/>
      <c r="AN18" s="5"/>
      <c r="AO18" s="5"/>
      <c r="AP18" s="5"/>
      <c r="AQ18" s="5"/>
      <c r="AR18" s="5"/>
      <c r="AS18" s="14"/>
      <c r="AT18" s="14"/>
      <c r="AU18" s="14"/>
      <c r="AV18" s="8"/>
      <c r="AW18" s="8"/>
      <c r="AX18" s="8"/>
      <c r="AY18" s="14"/>
      <c r="AZ18" s="14"/>
      <c r="BA18" s="14"/>
      <c r="BB18" s="14"/>
      <c r="BC18" s="8"/>
      <c r="BD18" s="8"/>
      <c r="BE18" s="8"/>
      <c r="BF18" s="14"/>
      <c r="BG18" s="14"/>
      <c r="BH18" s="14"/>
      <c r="BI18" s="14"/>
      <c r="BJ18" s="8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3"/>
      <c r="BX18" s="3"/>
      <c r="BY18" s="3"/>
      <c r="BZ18" s="4"/>
      <c r="CA18" s="4"/>
      <c r="CB18" s="4"/>
      <c r="CO18" s="7">
        <f>ColorFunction(AN33,I39:Z50,FALSE)</f>
        <v>46</v>
      </c>
    </row>
    <row r="19" spans="1:93" ht="15" customHeight="1" x14ac:dyDescent="0.25">
      <c r="A19" s="3"/>
      <c r="B19" s="3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14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8"/>
      <c r="AI19" s="8"/>
      <c r="AJ19" s="8"/>
      <c r="AK19" s="14"/>
      <c r="AL19" s="14"/>
      <c r="AM19" s="14"/>
      <c r="AN19" s="14"/>
      <c r="AO19" s="14"/>
      <c r="AP19" s="14"/>
      <c r="AQ19" s="8"/>
      <c r="AR19" s="8"/>
      <c r="AS19" s="8"/>
      <c r="AT19" s="14"/>
      <c r="AU19" s="14"/>
      <c r="AV19" s="8"/>
      <c r="AW19" s="8"/>
      <c r="AX19" s="14"/>
      <c r="AY19" s="14"/>
      <c r="AZ19" s="14"/>
      <c r="BA19" s="14"/>
      <c r="BB19" s="14"/>
      <c r="BC19" s="9"/>
      <c r="BD19" s="8"/>
      <c r="BE19" s="8"/>
      <c r="BF19" s="8"/>
      <c r="BG19" s="8"/>
      <c r="BH19" s="5"/>
      <c r="BI19" s="14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3"/>
      <c r="BX19" s="3"/>
      <c r="BY19" s="3"/>
      <c r="BZ19" s="4"/>
      <c r="CA19" s="4"/>
      <c r="CB19" s="4"/>
    </row>
    <row r="20" spans="1:93" ht="15" customHeight="1" x14ac:dyDescent="0.25">
      <c r="A20" s="3"/>
      <c r="B20" s="3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4"/>
      <c r="P20" s="5"/>
      <c r="Q20" s="5"/>
      <c r="R20" s="5"/>
      <c r="S20" s="5"/>
      <c r="T20" s="5"/>
      <c r="U20" s="5"/>
      <c r="V20" s="5"/>
      <c r="W20" s="5"/>
      <c r="X20" s="5"/>
      <c r="Y20" s="5"/>
      <c r="Z20" s="14"/>
      <c r="AA20" s="5"/>
      <c r="AB20" s="5"/>
      <c r="AC20" s="5"/>
      <c r="AD20" s="14"/>
      <c r="AE20" s="8"/>
      <c r="AF20" s="8"/>
      <c r="AG20" s="8"/>
      <c r="AH20" s="8"/>
      <c r="AI20" s="14"/>
      <c r="AJ20" s="14"/>
      <c r="AK20" s="14"/>
      <c r="AL20" s="14"/>
      <c r="AM20" s="14"/>
      <c r="AN20" s="14"/>
      <c r="AO20" s="14"/>
      <c r="AP20" s="14"/>
      <c r="AQ20" s="8"/>
      <c r="AR20" s="8"/>
      <c r="AS20" s="8"/>
      <c r="AT20" s="14"/>
      <c r="AU20" s="14"/>
      <c r="AV20" s="8"/>
      <c r="AW20" s="8"/>
      <c r="AX20" s="14"/>
      <c r="AY20" s="14"/>
      <c r="AZ20" s="14"/>
      <c r="BA20" s="14"/>
      <c r="BB20" s="14"/>
      <c r="BC20" s="14"/>
      <c r="BD20" s="14"/>
      <c r="BE20" s="8"/>
      <c r="BF20" s="8"/>
      <c r="BG20" s="8"/>
      <c r="BH20" s="5"/>
      <c r="BI20" s="14"/>
      <c r="BJ20" s="14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3"/>
      <c r="BX20" s="3"/>
      <c r="BY20" s="3"/>
      <c r="BZ20" s="4"/>
      <c r="CA20" s="4"/>
      <c r="CB20" s="4"/>
      <c r="CO20" s="7">
        <f>ColorFunction(AP32,AA39:BJ62,FALSE)</f>
        <v>201</v>
      </c>
    </row>
    <row r="21" spans="1:93" ht="15" customHeight="1" x14ac:dyDescent="0.25">
      <c r="A21" s="3"/>
      <c r="B21" s="3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4"/>
      <c r="P21" s="14"/>
      <c r="Q21" s="14"/>
      <c r="R21" s="5"/>
      <c r="S21" s="5"/>
      <c r="T21" s="5"/>
      <c r="U21" s="5"/>
      <c r="V21" s="5"/>
      <c r="W21" s="5"/>
      <c r="X21" s="14"/>
      <c r="Y21" s="5"/>
      <c r="Z21" s="5"/>
      <c r="AA21" s="5"/>
      <c r="AB21" s="14"/>
      <c r="AC21" s="5"/>
      <c r="AD21" s="8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8"/>
      <c r="AU21" s="8"/>
      <c r="AV21" s="9"/>
      <c r="AW21" s="14"/>
      <c r="AX21" s="9"/>
      <c r="AY21" s="14"/>
      <c r="AZ21" s="14"/>
      <c r="BA21" s="14"/>
      <c r="BB21" s="9"/>
      <c r="BC21" s="9"/>
      <c r="BD21" s="14"/>
      <c r="BE21" s="14"/>
      <c r="BF21" s="14"/>
      <c r="BG21" s="14"/>
      <c r="BH21" s="5"/>
      <c r="BI21" s="14"/>
      <c r="BJ21" s="14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3"/>
      <c r="BX21" s="3"/>
      <c r="BY21" s="3"/>
      <c r="BZ21" s="4"/>
      <c r="CA21" s="4"/>
      <c r="CB21" s="4"/>
      <c r="CO21" s="7">
        <v>22</v>
      </c>
    </row>
    <row r="22" spans="1:93" ht="15" customHeight="1" x14ac:dyDescent="0.25">
      <c r="A22" s="3"/>
      <c r="B22" s="3"/>
      <c r="C22" s="5"/>
      <c r="D22" s="5"/>
      <c r="E22" s="5"/>
      <c r="F22" s="5"/>
      <c r="G22" s="5"/>
      <c r="H22" s="5"/>
      <c r="I22" s="14"/>
      <c r="J22" s="14"/>
      <c r="K22" s="5"/>
      <c r="L22" s="14"/>
      <c r="M22" s="14"/>
      <c r="N22" s="5"/>
      <c r="O22" s="5"/>
      <c r="P22" s="14"/>
      <c r="Q22" s="5"/>
      <c r="R22" s="5"/>
      <c r="S22" s="5"/>
      <c r="T22" s="14"/>
      <c r="U22" s="14"/>
      <c r="V22" s="5"/>
      <c r="W22" s="5"/>
      <c r="X22" s="5"/>
      <c r="Y22" s="14"/>
      <c r="Z22" s="5"/>
      <c r="AA22" s="5"/>
      <c r="AB22" s="14"/>
      <c r="AC22" s="14"/>
      <c r="AD22" s="8"/>
      <c r="AE22" s="14"/>
      <c r="AF22" s="14"/>
      <c r="AG22" s="14"/>
      <c r="AH22" s="14"/>
      <c r="AI22" s="14"/>
      <c r="AJ22" s="8"/>
      <c r="AK22" s="14"/>
      <c r="AL22" s="14"/>
      <c r="AM22" s="14"/>
      <c r="AN22" s="14"/>
      <c r="AO22" s="14"/>
      <c r="AP22" s="14"/>
      <c r="AQ22" s="14"/>
      <c r="AR22" s="8"/>
      <c r="AS22" s="14"/>
      <c r="AT22" s="8"/>
      <c r="AU22" s="8"/>
      <c r="AV22" s="9"/>
      <c r="AW22" s="14"/>
      <c r="AX22" s="14"/>
      <c r="AY22" s="14"/>
      <c r="AZ22" s="14"/>
      <c r="BA22" s="14"/>
      <c r="BB22" s="14"/>
      <c r="BC22" s="14"/>
      <c r="BD22" s="9"/>
      <c r="BE22" s="8"/>
      <c r="BF22" s="14"/>
      <c r="BG22" s="14"/>
      <c r="BH22" s="14"/>
      <c r="BI22" s="14"/>
      <c r="BJ22" s="14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3"/>
      <c r="BX22" s="3"/>
      <c r="BY22" s="3"/>
      <c r="BZ22" s="4"/>
      <c r="CA22" s="4"/>
      <c r="CB22" s="4"/>
    </row>
    <row r="23" spans="1:93" ht="15" customHeight="1" x14ac:dyDescent="0.25">
      <c r="A23" s="3"/>
      <c r="B23" s="3"/>
      <c r="C23" s="5"/>
      <c r="D23" s="5"/>
      <c r="E23" s="5"/>
      <c r="F23" s="5"/>
      <c r="G23" s="5"/>
      <c r="H23" s="5"/>
      <c r="I23" s="5"/>
      <c r="J23" s="14"/>
      <c r="K23" s="5"/>
      <c r="L23" s="14"/>
      <c r="M23" s="5"/>
      <c r="N23" s="5"/>
      <c r="O23" s="5"/>
      <c r="P23" s="5"/>
      <c r="Q23" s="14"/>
      <c r="R23" s="5"/>
      <c r="S23" s="5"/>
      <c r="T23" s="14"/>
      <c r="U23" s="14"/>
      <c r="V23" s="5"/>
      <c r="W23" s="5"/>
      <c r="X23" s="5"/>
      <c r="Y23" s="5"/>
      <c r="Z23" s="5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9"/>
      <c r="AW23" s="9"/>
      <c r="AX23" s="14"/>
      <c r="AY23" s="14"/>
      <c r="AZ23" s="14"/>
      <c r="BA23" s="14"/>
      <c r="BB23" s="14"/>
      <c r="BC23" s="14"/>
      <c r="BD23" s="14"/>
      <c r="BE23" s="8"/>
      <c r="BF23" s="14"/>
      <c r="BG23" s="14"/>
      <c r="BH23" s="8"/>
      <c r="BI23" s="14"/>
      <c r="BJ23" s="14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3"/>
      <c r="BX23" s="3"/>
      <c r="BY23" s="3"/>
      <c r="BZ23" s="4"/>
      <c r="CA23" s="4"/>
      <c r="CB23" s="4"/>
    </row>
    <row r="24" spans="1:93" ht="15" customHeight="1" x14ac:dyDescent="0.25">
      <c r="A24" s="3"/>
      <c r="B24" s="3"/>
      <c r="C24" s="5"/>
      <c r="D24" s="5"/>
      <c r="E24" s="5"/>
      <c r="F24" s="5"/>
      <c r="G24" s="5"/>
      <c r="H24" s="5"/>
      <c r="I24" s="5"/>
      <c r="J24" s="14"/>
      <c r="K24" s="5"/>
      <c r="L24" s="5"/>
      <c r="M24" s="14"/>
      <c r="N24" s="5"/>
      <c r="O24" s="5"/>
      <c r="P24" s="14"/>
      <c r="Q24" s="14"/>
      <c r="R24" s="5"/>
      <c r="S24" s="5"/>
      <c r="T24" s="14"/>
      <c r="U24" s="14"/>
      <c r="V24" s="14"/>
      <c r="W24" s="14"/>
      <c r="X24" s="9"/>
      <c r="Y24" s="9"/>
      <c r="Z24" s="14"/>
      <c r="AA24" s="14"/>
      <c r="AB24" s="14"/>
      <c r="AC24" s="9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9"/>
      <c r="AX24" s="14"/>
      <c r="AY24" s="14"/>
      <c r="AZ24" s="14"/>
      <c r="BA24" s="14"/>
      <c r="BB24" s="14"/>
      <c r="BC24" s="9"/>
      <c r="BD24" s="14"/>
      <c r="BE24" s="8"/>
      <c r="BF24" s="14"/>
      <c r="BG24" s="14"/>
      <c r="BH24" s="14"/>
      <c r="BI24" s="8"/>
      <c r="BJ24" s="14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3"/>
      <c r="BX24" s="3"/>
      <c r="BY24" s="3"/>
      <c r="BZ24" s="4"/>
      <c r="CA24" s="4"/>
      <c r="CB24" s="4"/>
    </row>
    <row r="25" spans="1:93" ht="15" customHeight="1" x14ac:dyDescent="0.25">
      <c r="A25" s="3"/>
      <c r="B25" s="3"/>
      <c r="C25" s="5"/>
      <c r="D25" s="5"/>
      <c r="E25" s="5"/>
      <c r="F25" s="5"/>
      <c r="G25" s="5"/>
      <c r="H25" s="5"/>
      <c r="I25" s="5"/>
      <c r="J25" s="5"/>
      <c r="K25" s="5"/>
      <c r="L25" s="14"/>
      <c r="M25" s="5"/>
      <c r="N25" s="14"/>
      <c r="O25" s="5"/>
      <c r="P25" s="14"/>
      <c r="Q25" s="14"/>
      <c r="R25" s="14"/>
      <c r="S25" s="9"/>
      <c r="T25" s="9"/>
      <c r="U25" s="9"/>
      <c r="V25" s="14"/>
      <c r="W25" s="14"/>
      <c r="X25" s="9"/>
      <c r="Y25" s="14"/>
      <c r="Z25" s="14"/>
      <c r="AA25" s="9"/>
      <c r="AB25" s="9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9"/>
      <c r="AU25" s="14"/>
      <c r="AV25" s="14"/>
      <c r="AW25" s="14"/>
      <c r="AX25" s="9"/>
      <c r="AY25" s="14"/>
      <c r="AZ25" s="14"/>
      <c r="BA25" s="14"/>
      <c r="BB25" s="14"/>
      <c r="BC25" s="14"/>
      <c r="BD25" s="14"/>
      <c r="BE25" s="8"/>
      <c r="BF25" s="8"/>
      <c r="BG25" s="14"/>
      <c r="BH25" s="14"/>
      <c r="BI25" s="14"/>
      <c r="BJ25" s="14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3"/>
      <c r="BX25" s="3"/>
      <c r="BY25" s="3"/>
      <c r="BZ25" s="4"/>
      <c r="CA25" s="4"/>
      <c r="CB25" s="4"/>
    </row>
    <row r="26" spans="1:93" ht="15" customHeight="1" x14ac:dyDescent="0.25">
      <c r="A26" s="3"/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9"/>
      <c r="P26" s="14"/>
      <c r="Q26" s="9"/>
      <c r="R26" s="14"/>
      <c r="S26" s="9"/>
      <c r="T26" s="14"/>
      <c r="U26" s="10"/>
      <c r="V26" s="14"/>
      <c r="W26" s="14"/>
      <c r="X26" s="10"/>
      <c r="Y26" s="14"/>
      <c r="Z26" s="14"/>
      <c r="AA26" s="14"/>
      <c r="AB26" s="14"/>
      <c r="AC26" s="14"/>
      <c r="AD26" s="10"/>
      <c r="AE26" s="10"/>
      <c r="AF26" s="14"/>
      <c r="AG26" s="14"/>
      <c r="AH26" s="14"/>
      <c r="AI26" s="14"/>
      <c r="AJ26" s="14"/>
      <c r="AK26" s="10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9"/>
      <c r="AW26" s="14"/>
      <c r="AX26" s="14"/>
      <c r="AY26" s="14"/>
      <c r="AZ26" s="9"/>
      <c r="BA26" s="14"/>
      <c r="BB26" s="14"/>
      <c r="BC26" s="9"/>
      <c r="BD26" s="9"/>
      <c r="BE26" s="14"/>
      <c r="BF26" s="14"/>
      <c r="BG26" s="14"/>
      <c r="BH26" s="8"/>
      <c r="BI26" s="14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3"/>
      <c r="BX26" s="3"/>
      <c r="BY26" s="3"/>
      <c r="BZ26" s="4"/>
      <c r="CA26" s="4"/>
      <c r="CB26" s="4"/>
    </row>
    <row r="27" spans="1:93" ht="15" customHeight="1" x14ac:dyDescent="0.25">
      <c r="A27" s="3"/>
      <c r="B27" s="3"/>
      <c r="C27" s="5"/>
      <c r="D27" s="5"/>
      <c r="E27" s="5"/>
      <c r="F27" s="5"/>
      <c r="G27" s="5"/>
      <c r="H27" s="5"/>
      <c r="I27" s="5"/>
      <c r="J27" s="5"/>
      <c r="K27" s="5"/>
      <c r="L27" s="14"/>
      <c r="M27" s="5"/>
      <c r="N27" s="14"/>
      <c r="O27" s="9"/>
      <c r="P27" s="14"/>
      <c r="Q27" s="14"/>
      <c r="R27" s="9"/>
      <c r="S27" s="9"/>
      <c r="T27" s="14"/>
      <c r="U27" s="10"/>
      <c r="V27" s="14"/>
      <c r="W27" s="14"/>
      <c r="X27" s="10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0"/>
      <c r="AT27" s="14"/>
      <c r="AU27" s="14"/>
      <c r="AV27" s="14"/>
      <c r="AW27" s="14"/>
      <c r="AX27" s="14"/>
      <c r="AY27" s="14"/>
      <c r="AZ27" s="14"/>
      <c r="BA27" s="14"/>
      <c r="BB27" s="14"/>
      <c r="BC27" s="8"/>
      <c r="BD27" s="8"/>
      <c r="BE27" s="14"/>
      <c r="BF27" s="14"/>
      <c r="BG27" s="14"/>
      <c r="BH27" s="14"/>
      <c r="BI27" s="14"/>
      <c r="BJ27" s="14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3"/>
      <c r="BX27" s="3"/>
      <c r="BY27" s="3"/>
      <c r="BZ27" s="4"/>
      <c r="CA27" s="4"/>
      <c r="CB27" s="4"/>
    </row>
    <row r="28" spans="1:93" ht="15" customHeight="1" x14ac:dyDescent="0.25">
      <c r="A28" s="3"/>
      <c r="B28" s="3"/>
      <c r="C28" s="5"/>
      <c r="D28" s="5"/>
      <c r="E28" s="5"/>
      <c r="F28" s="5"/>
      <c r="G28" s="5"/>
      <c r="H28" s="5"/>
      <c r="I28" s="14"/>
      <c r="J28" s="5"/>
      <c r="K28" s="5"/>
      <c r="L28" s="14"/>
      <c r="M28" s="9"/>
      <c r="N28" s="9"/>
      <c r="O28" s="14"/>
      <c r="P28" s="14"/>
      <c r="Q28" s="14"/>
      <c r="R28" s="10"/>
      <c r="S28" s="10"/>
      <c r="T28" s="14"/>
      <c r="U28" s="14"/>
      <c r="V28" s="14"/>
      <c r="W28" s="14"/>
      <c r="X28" s="14"/>
      <c r="Y28" s="14"/>
      <c r="Z28" s="14"/>
      <c r="AA28" s="14"/>
      <c r="AB28" s="10"/>
      <c r="AC28" s="14"/>
      <c r="AD28" s="14"/>
      <c r="AE28" s="14"/>
      <c r="AF28" s="14"/>
      <c r="AG28" s="14"/>
      <c r="AH28" s="14"/>
      <c r="AI28" s="10"/>
      <c r="AJ28" s="10"/>
      <c r="AK28" s="14"/>
      <c r="AL28" s="14"/>
      <c r="AM28" s="14"/>
      <c r="AN28" s="14"/>
      <c r="AO28" s="14"/>
      <c r="AP28" s="14"/>
      <c r="AQ28" s="14"/>
      <c r="AR28" s="14"/>
      <c r="AS28" s="10"/>
      <c r="AT28" s="14"/>
      <c r="AU28" s="14"/>
      <c r="AV28" s="14"/>
      <c r="AW28" s="14"/>
      <c r="AX28" s="14"/>
      <c r="AY28" s="14"/>
      <c r="AZ28" s="14"/>
      <c r="BA28" s="14"/>
      <c r="BB28" s="8"/>
      <c r="BC28" s="14"/>
      <c r="BD28" s="14"/>
      <c r="BE28" s="14"/>
      <c r="BF28" s="8"/>
      <c r="BG28" s="14"/>
      <c r="BH28" s="14"/>
      <c r="BI28" s="14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3"/>
      <c r="BX28" s="3"/>
      <c r="BY28" s="3"/>
      <c r="BZ28" s="4"/>
      <c r="CA28" s="4"/>
      <c r="CB28" s="4"/>
    </row>
    <row r="29" spans="1:93" ht="15" customHeight="1" x14ac:dyDescent="0.25">
      <c r="A29" s="3"/>
      <c r="B29" s="3"/>
      <c r="C29" s="5"/>
      <c r="D29" s="5"/>
      <c r="E29" s="5"/>
      <c r="F29" s="5"/>
      <c r="G29" s="5"/>
      <c r="H29" s="5"/>
      <c r="I29" s="5"/>
      <c r="J29" s="5"/>
      <c r="K29" s="5"/>
      <c r="L29" s="14"/>
      <c r="M29" s="9"/>
      <c r="N29" s="9"/>
      <c r="O29" s="14"/>
      <c r="P29" s="14"/>
      <c r="Q29" s="14"/>
      <c r="R29" s="14"/>
      <c r="S29" s="14"/>
      <c r="T29" s="14"/>
      <c r="U29" s="14"/>
      <c r="V29" s="11"/>
      <c r="W29" s="11"/>
      <c r="X29" s="11"/>
      <c r="Y29" s="11"/>
      <c r="Z29" s="14"/>
      <c r="AA29" s="14"/>
      <c r="AB29" s="11"/>
      <c r="AC29" s="14"/>
      <c r="AD29" s="14"/>
      <c r="AE29" s="14"/>
      <c r="AF29" s="14"/>
      <c r="AG29" s="14"/>
      <c r="AH29" s="11"/>
      <c r="AI29" s="11"/>
      <c r="AJ29" s="14"/>
      <c r="AK29" s="11"/>
      <c r="AL29" s="14"/>
      <c r="AM29" s="14"/>
      <c r="AN29" s="14"/>
      <c r="AO29" s="14"/>
      <c r="AP29" s="14"/>
      <c r="AQ29" s="14"/>
      <c r="AR29" s="10"/>
      <c r="AS29" s="14"/>
      <c r="AT29" s="14"/>
      <c r="AU29" s="14"/>
      <c r="AV29" s="9"/>
      <c r="AW29" s="14"/>
      <c r="AX29" s="14"/>
      <c r="AY29" s="14"/>
      <c r="AZ29" s="14"/>
      <c r="BA29" s="14"/>
      <c r="BB29" s="14"/>
      <c r="BC29" s="14"/>
      <c r="BD29" s="8"/>
      <c r="BE29" s="14"/>
      <c r="BF29" s="14"/>
      <c r="BG29" s="14"/>
      <c r="BH29" s="14"/>
      <c r="BI29" s="14"/>
      <c r="BJ29" s="14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3"/>
      <c r="BX29" s="3"/>
      <c r="BY29" s="3"/>
      <c r="BZ29" s="4"/>
      <c r="CA29" s="4"/>
      <c r="CB29" s="4"/>
    </row>
    <row r="30" spans="1:93" ht="15" customHeight="1" x14ac:dyDescent="0.25">
      <c r="A30" s="3"/>
      <c r="B30" s="3"/>
      <c r="C30" s="5"/>
      <c r="D30" s="5"/>
      <c r="E30" s="5"/>
      <c r="F30" s="5"/>
      <c r="G30" s="5"/>
      <c r="H30" s="5"/>
      <c r="I30" s="5"/>
      <c r="J30" s="9"/>
      <c r="K30" s="9"/>
      <c r="L30" s="14"/>
      <c r="M30" s="14"/>
      <c r="N30" s="9"/>
      <c r="O30" s="14"/>
      <c r="P30" s="14"/>
      <c r="Q30" s="14"/>
      <c r="R30" s="14"/>
      <c r="S30" s="10"/>
      <c r="T30" s="14"/>
      <c r="U30" s="11"/>
      <c r="V30" s="11"/>
      <c r="W30" s="11"/>
      <c r="X30" s="11"/>
      <c r="Y30" s="11"/>
      <c r="Z30" s="14"/>
      <c r="AA30" s="14"/>
      <c r="AB30" s="11"/>
      <c r="AC30" s="11"/>
      <c r="AD30" s="14"/>
      <c r="AE30" s="14"/>
      <c r="AF30" s="14"/>
      <c r="AG30" s="14"/>
      <c r="AH30" s="14"/>
      <c r="AI30" s="14"/>
      <c r="AJ30" s="11"/>
      <c r="AK30" s="11"/>
      <c r="AL30" s="14"/>
      <c r="AM30" s="14"/>
      <c r="AN30" s="14"/>
      <c r="AO30" s="14"/>
      <c r="AP30" s="14"/>
      <c r="AQ30" s="14"/>
      <c r="AR30" s="14"/>
      <c r="AS30" s="10"/>
      <c r="AT30" s="14"/>
      <c r="AU30" s="14"/>
      <c r="AV30" s="9"/>
      <c r="AW30" s="14"/>
      <c r="AX30" s="14"/>
      <c r="AY30" s="14"/>
      <c r="AZ30" s="9"/>
      <c r="BA30" s="14"/>
      <c r="BB30" s="14"/>
      <c r="BC30" s="8"/>
      <c r="BD30" s="8"/>
      <c r="BE30" s="14"/>
      <c r="BF30" s="8"/>
      <c r="BG30" s="8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3"/>
      <c r="BX30" s="3"/>
      <c r="BY30" s="3"/>
      <c r="BZ30" s="4"/>
      <c r="CA30" s="4"/>
      <c r="CB30" s="4"/>
    </row>
    <row r="31" spans="1:93" ht="15" customHeight="1" x14ac:dyDescent="0.25">
      <c r="A31" s="3"/>
      <c r="B31" s="3"/>
      <c r="C31" s="5"/>
      <c r="D31" s="5"/>
      <c r="E31" s="5"/>
      <c r="F31" s="5"/>
      <c r="G31" s="5"/>
      <c r="H31" s="8"/>
      <c r="I31" s="9"/>
      <c r="J31" s="9"/>
      <c r="K31" s="14"/>
      <c r="L31" s="9"/>
      <c r="M31" s="14"/>
      <c r="N31" s="9"/>
      <c r="O31" s="14"/>
      <c r="P31" s="10"/>
      <c r="Q31" s="14"/>
      <c r="R31" s="10"/>
      <c r="S31" s="10"/>
      <c r="T31" s="10"/>
      <c r="U31" s="14"/>
      <c r="V31" s="11"/>
      <c r="W31" s="11"/>
      <c r="X31" s="14"/>
      <c r="Y31" s="14"/>
      <c r="Z31" s="14"/>
      <c r="AA31" s="14"/>
      <c r="AB31" s="11"/>
      <c r="AC31" s="11"/>
      <c r="AD31" s="11"/>
      <c r="AE31" s="14"/>
      <c r="AF31" s="14"/>
      <c r="AG31" s="14"/>
      <c r="AH31" s="14"/>
      <c r="AI31" s="14"/>
      <c r="AJ31" s="14"/>
      <c r="AK31" s="14"/>
      <c r="AL31" s="11"/>
      <c r="AM31" s="14"/>
      <c r="AN31" s="14"/>
      <c r="AO31" s="14"/>
      <c r="AP31" s="14"/>
      <c r="AQ31" s="14"/>
      <c r="AR31" s="10"/>
      <c r="AS31" s="14"/>
      <c r="AT31" s="10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8"/>
      <c r="BG31" s="14"/>
      <c r="BH31" s="14"/>
      <c r="BI31" s="14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3"/>
      <c r="BX31" s="3"/>
      <c r="BY31" s="3"/>
      <c r="BZ31" s="4"/>
      <c r="CA31" s="4"/>
      <c r="CB31" s="4"/>
    </row>
    <row r="32" spans="1:93" ht="15" customHeight="1" x14ac:dyDescent="0.25">
      <c r="A32" s="3"/>
      <c r="B32" s="3"/>
      <c r="C32" s="5"/>
      <c r="D32" s="5"/>
      <c r="E32" s="5"/>
      <c r="F32" s="8"/>
      <c r="G32" s="8"/>
      <c r="H32" s="8"/>
      <c r="I32" s="9"/>
      <c r="J32" s="9"/>
      <c r="K32" s="9"/>
      <c r="L32" s="9"/>
      <c r="M32" s="14"/>
      <c r="N32" s="9"/>
      <c r="O32" s="14"/>
      <c r="P32" s="14"/>
      <c r="Q32" s="14"/>
      <c r="R32" s="10"/>
      <c r="S32" s="10"/>
      <c r="T32" s="10"/>
      <c r="U32" s="14"/>
      <c r="V32" s="14"/>
      <c r="W32" s="14"/>
      <c r="X32" s="14"/>
      <c r="Y32" s="11"/>
      <c r="Z32" s="14"/>
      <c r="AA32" s="14"/>
      <c r="AB32" s="14"/>
      <c r="AC32" s="14"/>
      <c r="AD32" s="11"/>
      <c r="AE32" s="14"/>
      <c r="AF32" s="11"/>
      <c r="AG32" s="14"/>
      <c r="AH32" s="11"/>
      <c r="AI32" s="11"/>
      <c r="AJ32" s="14"/>
      <c r="AK32" s="11"/>
      <c r="AL32" s="14"/>
      <c r="AM32" s="11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8"/>
      <c r="BC32" s="8"/>
      <c r="BD32" s="8"/>
      <c r="BE32" s="14"/>
      <c r="BF32" s="8"/>
      <c r="BG32" s="8"/>
      <c r="BH32" s="14"/>
      <c r="BI32" s="14"/>
      <c r="BJ32" s="14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3"/>
      <c r="BX32" s="3"/>
      <c r="BY32" s="3"/>
      <c r="BZ32" s="4"/>
      <c r="CA32" s="4"/>
      <c r="CB32" s="4"/>
    </row>
    <row r="33" spans="1:80" ht="15" customHeight="1" x14ac:dyDescent="0.25">
      <c r="A33" s="3"/>
      <c r="B33" s="3"/>
      <c r="C33" s="5"/>
      <c r="D33" s="5"/>
      <c r="E33" s="8"/>
      <c r="F33" s="8"/>
      <c r="G33" s="8"/>
      <c r="H33" s="8"/>
      <c r="I33" s="9"/>
      <c r="J33" s="9"/>
      <c r="K33" s="9"/>
      <c r="L33" s="9"/>
      <c r="M33" s="9"/>
      <c r="N33" s="14"/>
      <c r="O33" s="14"/>
      <c r="P33" s="10"/>
      <c r="Q33" s="14"/>
      <c r="R33" s="10"/>
      <c r="S33" s="10"/>
      <c r="T33" s="10"/>
      <c r="U33" s="11"/>
      <c r="V33" s="11"/>
      <c r="W33" s="14"/>
      <c r="X33" s="14"/>
      <c r="Y33" s="11"/>
      <c r="Z33" s="11"/>
      <c r="AA33" s="11"/>
      <c r="AB33" s="14"/>
      <c r="AC33" s="14"/>
      <c r="AD33" s="14"/>
      <c r="AE33" s="11"/>
      <c r="AF33" s="11"/>
      <c r="AG33" s="14"/>
      <c r="AH33" s="11"/>
      <c r="AI33" s="11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9"/>
      <c r="AV33" s="14"/>
      <c r="AW33" s="14"/>
      <c r="AX33" s="14"/>
      <c r="AY33" s="14"/>
      <c r="AZ33" s="14"/>
      <c r="BA33" s="14"/>
      <c r="BB33" s="14"/>
      <c r="BC33" s="14"/>
      <c r="BD33" s="14"/>
      <c r="BE33" s="8"/>
      <c r="BF33" s="14"/>
      <c r="BG33" s="14"/>
      <c r="BH33" s="14"/>
      <c r="BI33" s="8"/>
      <c r="BJ33" s="8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3"/>
      <c r="BX33" s="3"/>
      <c r="BY33" s="3"/>
      <c r="BZ33" s="4"/>
      <c r="CA33" s="4"/>
      <c r="CB33" s="4"/>
    </row>
    <row r="34" spans="1:80" ht="15" customHeight="1" x14ac:dyDescent="0.25">
      <c r="A34" s="3"/>
      <c r="B34" s="3"/>
      <c r="C34" s="5"/>
      <c r="D34" s="5"/>
      <c r="E34" s="8"/>
      <c r="F34" s="8"/>
      <c r="G34" s="8"/>
      <c r="H34" s="8"/>
      <c r="I34" s="9"/>
      <c r="J34" s="9"/>
      <c r="K34" s="14"/>
      <c r="L34" s="9"/>
      <c r="M34" s="9"/>
      <c r="N34" s="9"/>
      <c r="O34" s="9"/>
      <c r="P34" s="10"/>
      <c r="Q34" s="10"/>
      <c r="R34" s="10"/>
      <c r="S34" s="14"/>
      <c r="T34" s="10"/>
      <c r="U34" s="11"/>
      <c r="V34" s="11"/>
      <c r="W34" s="14"/>
      <c r="X34" s="14"/>
      <c r="Y34" s="14"/>
      <c r="Z34" s="14"/>
      <c r="AA34" s="11"/>
      <c r="AB34" s="14"/>
      <c r="AC34" s="14"/>
      <c r="AD34" s="11"/>
      <c r="AE34" s="14"/>
      <c r="AF34" s="14"/>
      <c r="AG34" s="14"/>
      <c r="AH34" s="14"/>
      <c r="AI34" s="14"/>
      <c r="AJ34" s="14"/>
      <c r="AK34" s="11"/>
      <c r="AL34" s="14"/>
      <c r="AM34" s="14"/>
      <c r="AN34" s="14"/>
      <c r="AO34" s="14"/>
      <c r="AP34" s="14"/>
      <c r="AQ34" s="14"/>
      <c r="AR34" s="14"/>
      <c r="AS34" s="14"/>
      <c r="AT34" s="14"/>
      <c r="AU34" s="9"/>
      <c r="AV34" s="14"/>
      <c r="AW34" s="14"/>
      <c r="AX34" s="14"/>
      <c r="AY34" s="14"/>
      <c r="AZ34" s="14"/>
      <c r="BA34" s="9"/>
      <c r="BB34" s="14"/>
      <c r="BC34" s="8"/>
      <c r="BD34" s="14"/>
      <c r="BE34" s="14"/>
      <c r="BF34" s="14"/>
      <c r="BG34" s="14"/>
      <c r="BH34" s="8"/>
      <c r="BI34" s="8"/>
      <c r="BJ34" s="8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3"/>
      <c r="BX34" s="3"/>
      <c r="BY34" s="3"/>
      <c r="BZ34" s="4"/>
      <c r="CA34" s="4"/>
      <c r="CB34" s="4"/>
    </row>
    <row r="35" spans="1:80" ht="15" customHeight="1" x14ac:dyDescent="0.25">
      <c r="A35" s="3"/>
      <c r="B35" s="3"/>
      <c r="C35" s="5"/>
      <c r="D35" s="5"/>
      <c r="E35" s="8"/>
      <c r="F35" s="8"/>
      <c r="G35" s="8"/>
      <c r="H35" s="8"/>
      <c r="I35" s="9"/>
      <c r="J35" s="14"/>
      <c r="K35" s="9"/>
      <c r="L35" s="9"/>
      <c r="M35" s="14"/>
      <c r="N35" s="14"/>
      <c r="O35" s="9"/>
      <c r="P35" s="10"/>
      <c r="Q35" s="10"/>
      <c r="R35" s="10"/>
      <c r="S35" s="10"/>
      <c r="T35" s="10"/>
      <c r="U35" s="14"/>
      <c r="V35" s="11"/>
      <c r="W35" s="14"/>
      <c r="X35" s="14"/>
      <c r="Y35" s="14"/>
      <c r="Z35" s="11"/>
      <c r="AA35" s="11"/>
      <c r="AB35" s="11"/>
      <c r="AC35" s="14"/>
      <c r="AD35" s="14"/>
      <c r="AE35" s="11"/>
      <c r="AF35" s="14"/>
      <c r="AG35" s="14"/>
      <c r="AH35" s="14"/>
      <c r="AI35" s="14"/>
      <c r="AJ35" s="14"/>
      <c r="AK35" s="11"/>
      <c r="AL35" s="14"/>
      <c r="AM35" s="14"/>
      <c r="AN35" s="11"/>
      <c r="AO35" s="10"/>
      <c r="AP35" s="14"/>
      <c r="AQ35" s="14"/>
      <c r="AR35" s="14"/>
      <c r="AS35" s="10"/>
      <c r="AT35" s="14"/>
      <c r="AU35" s="14"/>
      <c r="AV35" s="9"/>
      <c r="AW35" s="14"/>
      <c r="AX35" s="14"/>
      <c r="AY35" s="14"/>
      <c r="AZ35" s="14"/>
      <c r="BA35" s="14"/>
      <c r="BB35" s="14"/>
      <c r="BC35" s="14"/>
      <c r="BD35" s="14"/>
      <c r="BE35" s="8"/>
      <c r="BF35" s="14"/>
      <c r="BG35" s="14"/>
      <c r="BH35" s="14"/>
      <c r="BI35" s="14"/>
      <c r="BJ35" s="8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3"/>
      <c r="BX35" s="3"/>
      <c r="BY35" s="3"/>
      <c r="BZ35" s="4"/>
      <c r="CA35" s="4"/>
      <c r="CB35" s="4"/>
    </row>
    <row r="36" spans="1:80" ht="15" customHeight="1" x14ac:dyDescent="0.25">
      <c r="A36" s="3"/>
      <c r="B36" s="3"/>
      <c r="C36" s="5"/>
      <c r="D36" s="5"/>
      <c r="E36" s="8"/>
      <c r="F36" s="8"/>
      <c r="G36" s="8"/>
      <c r="H36" s="8"/>
      <c r="I36" s="9"/>
      <c r="J36" s="14"/>
      <c r="K36" s="14"/>
      <c r="L36" s="9"/>
      <c r="M36" s="14"/>
      <c r="N36" s="9"/>
      <c r="O36" s="9"/>
      <c r="P36" s="10"/>
      <c r="Q36" s="10"/>
      <c r="R36" s="10"/>
      <c r="S36" s="10"/>
      <c r="T36" s="10"/>
      <c r="U36" s="14"/>
      <c r="V36" s="14"/>
      <c r="W36" s="14"/>
      <c r="X36" s="11"/>
      <c r="Y36" s="14"/>
      <c r="Z36" s="14"/>
      <c r="AA36" s="11"/>
      <c r="AB36" s="11"/>
      <c r="AC36" s="14"/>
      <c r="AD36" s="14"/>
      <c r="AE36" s="11"/>
      <c r="AF36" s="14"/>
      <c r="AG36" s="11"/>
      <c r="AH36" s="11"/>
      <c r="AI36" s="11"/>
      <c r="AJ36" s="11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8"/>
      <c r="BF36" s="8"/>
      <c r="BG36" s="8"/>
      <c r="BH36" s="8"/>
      <c r="BI36" s="8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3"/>
      <c r="BX36" s="3"/>
      <c r="BY36" s="3"/>
      <c r="BZ36" s="4"/>
      <c r="CA36" s="4"/>
      <c r="CB36" s="4"/>
    </row>
    <row r="37" spans="1:80" ht="15" customHeight="1" x14ac:dyDescent="0.25">
      <c r="A37" s="3"/>
      <c r="B37" s="3"/>
      <c r="C37" s="5"/>
      <c r="D37" s="5"/>
      <c r="E37" s="8"/>
      <c r="F37" s="8"/>
      <c r="G37" s="8"/>
      <c r="H37" s="8"/>
      <c r="I37" s="9"/>
      <c r="J37" s="9"/>
      <c r="K37" s="14"/>
      <c r="L37" s="9"/>
      <c r="M37" s="14"/>
      <c r="N37" s="14"/>
      <c r="O37" s="9"/>
      <c r="P37" s="10"/>
      <c r="Q37" s="10"/>
      <c r="R37" s="10"/>
      <c r="S37" s="14"/>
      <c r="T37" s="10"/>
      <c r="U37" s="11"/>
      <c r="V37" s="11"/>
      <c r="W37" s="14"/>
      <c r="X37" s="11"/>
      <c r="Y37" s="14"/>
      <c r="Z37" s="14"/>
      <c r="AA37" s="11"/>
      <c r="AB37" s="11"/>
      <c r="AC37" s="11"/>
      <c r="AD37" s="14"/>
      <c r="AE37" s="11"/>
      <c r="AF37" s="11"/>
      <c r="AG37" s="14"/>
      <c r="AH37" s="11"/>
      <c r="AI37" s="11"/>
      <c r="AJ37" s="14"/>
      <c r="AK37" s="11"/>
      <c r="AL37" s="11"/>
      <c r="AM37" s="11"/>
      <c r="AN37" s="14"/>
      <c r="AO37" s="14"/>
      <c r="AP37" s="10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8"/>
      <c r="BE37" s="8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3"/>
      <c r="BX37" s="3"/>
      <c r="BY37" s="3"/>
      <c r="BZ37" s="4"/>
      <c r="CA37" s="4"/>
      <c r="CB37" s="4"/>
    </row>
    <row r="38" spans="1:80" ht="15" customHeight="1" x14ac:dyDescent="0.25">
      <c r="A38" s="3"/>
      <c r="B38" s="3"/>
      <c r="C38" s="5"/>
      <c r="D38" s="5"/>
      <c r="E38" s="8"/>
      <c r="F38" s="8"/>
      <c r="G38" s="8"/>
      <c r="H38" s="8"/>
      <c r="I38" s="9"/>
      <c r="J38" s="9"/>
      <c r="K38" s="14"/>
      <c r="L38" s="9"/>
      <c r="M38" s="9"/>
      <c r="N38" s="14"/>
      <c r="O38" s="9"/>
      <c r="P38" s="10"/>
      <c r="Q38" s="10"/>
      <c r="R38" s="10"/>
      <c r="S38" s="14"/>
      <c r="T38" s="10"/>
      <c r="U38" s="14"/>
      <c r="V38" s="11"/>
      <c r="W38" s="11"/>
      <c r="X38" s="14"/>
      <c r="Y38" s="14"/>
      <c r="Z38" s="11"/>
      <c r="AA38" s="11"/>
      <c r="AB38" s="11"/>
      <c r="AC38" s="11"/>
      <c r="AD38" s="14"/>
      <c r="AE38" s="11"/>
      <c r="AF38" s="11"/>
      <c r="AG38" s="14"/>
      <c r="AH38" s="14"/>
      <c r="AI38" s="11"/>
      <c r="AJ38" s="14"/>
      <c r="AK38" s="11"/>
      <c r="AL38" s="11"/>
      <c r="AM38" s="14"/>
      <c r="AN38" s="11"/>
      <c r="AO38" s="10"/>
      <c r="AP38" s="14"/>
      <c r="AQ38" s="14"/>
      <c r="AR38" s="10"/>
      <c r="AS38" s="14"/>
      <c r="AT38" s="10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8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3"/>
      <c r="BX38" s="3"/>
      <c r="BY38" s="3"/>
      <c r="BZ38" s="4"/>
      <c r="CA38" s="4"/>
      <c r="CB38" s="4"/>
    </row>
    <row r="39" spans="1:80" ht="15" customHeight="1" x14ac:dyDescent="0.25">
      <c r="A39" s="3"/>
      <c r="B39" s="3"/>
      <c r="C39" s="5"/>
      <c r="D39" s="5"/>
      <c r="E39" s="8"/>
      <c r="F39" s="8"/>
      <c r="G39" s="8"/>
      <c r="H39" s="8"/>
      <c r="I39" s="9"/>
      <c r="J39" s="9"/>
      <c r="K39" s="14"/>
      <c r="L39" s="9"/>
      <c r="M39" s="9"/>
      <c r="N39" s="9"/>
      <c r="O39" s="9"/>
      <c r="P39" s="10"/>
      <c r="Q39" s="10"/>
      <c r="R39" s="10"/>
      <c r="S39" s="14"/>
      <c r="T39" s="10"/>
      <c r="U39" s="11"/>
      <c r="V39" s="11"/>
      <c r="W39" s="11"/>
      <c r="X39" s="11"/>
      <c r="Y39" s="11"/>
      <c r="Z39" s="11"/>
      <c r="AA39" s="11"/>
      <c r="AB39" s="14"/>
      <c r="AC39" s="14"/>
      <c r="AD39" s="11"/>
      <c r="AE39" s="11"/>
      <c r="AF39" s="14"/>
      <c r="AG39" s="14"/>
      <c r="AH39" s="14"/>
      <c r="AI39" s="11"/>
      <c r="AJ39" s="11"/>
      <c r="AK39" s="11"/>
      <c r="AL39" s="11"/>
      <c r="AM39" s="11"/>
      <c r="AN39" s="11"/>
      <c r="AO39" s="14"/>
      <c r="AP39" s="14"/>
      <c r="AQ39" s="14"/>
      <c r="AR39" s="10"/>
      <c r="AS39" s="9"/>
      <c r="AT39" s="14"/>
      <c r="AU39" s="9"/>
      <c r="AV39" s="9"/>
      <c r="AW39" s="14"/>
      <c r="AX39" s="9"/>
      <c r="AY39" s="14"/>
      <c r="AZ39" s="14"/>
      <c r="BA39" s="14"/>
      <c r="BB39" s="8"/>
      <c r="BC39" s="14"/>
      <c r="BD39" s="8"/>
      <c r="BE39" s="8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3"/>
      <c r="BX39" s="3"/>
      <c r="BY39" s="3"/>
      <c r="BZ39" s="4"/>
      <c r="CA39" s="4"/>
      <c r="CB39" s="4"/>
    </row>
    <row r="40" spans="1:80" ht="15" customHeight="1" x14ac:dyDescent="0.25">
      <c r="A40" s="3"/>
      <c r="B40" s="3"/>
      <c r="C40" s="5"/>
      <c r="D40" s="5"/>
      <c r="E40" s="8"/>
      <c r="F40" s="8"/>
      <c r="G40" s="8"/>
      <c r="H40" s="8"/>
      <c r="I40" s="9"/>
      <c r="J40" s="9"/>
      <c r="K40" s="9"/>
      <c r="L40" s="9"/>
      <c r="M40" s="9"/>
      <c r="N40" s="9"/>
      <c r="O40" s="9"/>
      <c r="P40" s="14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4"/>
      <c r="AI40" s="10"/>
      <c r="AJ40" s="14"/>
      <c r="AK40" s="10"/>
      <c r="AL40" s="10"/>
      <c r="AM40" s="10"/>
      <c r="AN40" s="14"/>
      <c r="AO40" s="14"/>
      <c r="AP40" s="10"/>
      <c r="AQ40" s="10"/>
      <c r="AR40" s="14"/>
      <c r="AS40" s="9"/>
      <c r="AT40" s="14"/>
      <c r="AU40" s="14"/>
      <c r="AV40" s="14"/>
      <c r="AW40" s="14"/>
      <c r="AX40" s="14"/>
      <c r="AY40" s="14"/>
      <c r="AZ40" s="14"/>
      <c r="BA40" s="14"/>
      <c r="BB40" s="14"/>
      <c r="BC40" s="8"/>
      <c r="BD40" s="8"/>
      <c r="BE40" s="8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3"/>
      <c r="BX40" s="3"/>
      <c r="BY40" s="3"/>
      <c r="BZ40" s="4"/>
      <c r="CA40" s="4"/>
      <c r="CB40" s="4"/>
    </row>
    <row r="41" spans="1:80" ht="15" customHeight="1" x14ac:dyDescent="0.25">
      <c r="A41" s="3"/>
      <c r="B41" s="3"/>
      <c r="C41" s="5"/>
      <c r="D41" s="5"/>
      <c r="E41" s="8"/>
      <c r="F41" s="8"/>
      <c r="G41" s="8"/>
      <c r="H41" s="8"/>
      <c r="I41" s="9"/>
      <c r="J41" s="9"/>
      <c r="K41" s="9"/>
      <c r="L41" s="9"/>
      <c r="M41" s="9"/>
      <c r="N41" s="9"/>
      <c r="O41" s="9"/>
      <c r="P41" s="10"/>
      <c r="Q41" s="10"/>
      <c r="R41" s="14"/>
      <c r="S41" s="10"/>
      <c r="T41" s="14"/>
      <c r="U41" s="14"/>
      <c r="V41" s="10"/>
      <c r="W41" s="10"/>
      <c r="X41" s="10"/>
      <c r="Y41" s="10"/>
      <c r="Z41" s="10"/>
      <c r="AA41" s="10"/>
      <c r="AB41" s="14"/>
      <c r="AC41" s="10"/>
      <c r="AD41" s="10"/>
      <c r="AE41" s="14"/>
      <c r="AF41" s="10"/>
      <c r="AG41" s="10"/>
      <c r="AH41" s="14"/>
      <c r="AI41" s="14"/>
      <c r="AJ41" s="14"/>
      <c r="AK41" s="10"/>
      <c r="AL41" s="14"/>
      <c r="AM41" s="10"/>
      <c r="AN41" s="14"/>
      <c r="AO41" s="14"/>
      <c r="AP41" s="14"/>
      <c r="AQ41" s="14"/>
      <c r="AR41" s="14"/>
      <c r="AS41" s="14"/>
      <c r="AT41" s="14"/>
      <c r="AU41" s="14"/>
      <c r="AV41" s="14"/>
      <c r="AW41" s="9"/>
      <c r="AX41" s="14"/>
      <c r="AY41" s="14"/>
      <c r="AZ41" s="14"/>
      <c r="BA41" s="14"/>
      <c r="BB41" s="14"/>
      <c r="BC41" s="14"/>
      <c r="BD41" s="8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3"/>
      <c r="BX41" s="3"/>
      <c r="BY41" s="3"/>
      <c r="BZ41" s="4"/>
      <c r="CA41" s="4"/>
      <c r="CB41" s="4"/>
    </row>
    <row r="42" spans="1:80" ht="15" customHeight="1" x14ac:dyDescent="0.25">
      <c r="A42" s="3"/>
      <c r="B42" s="3"/>
      <c r="C42" s="5"/>
      <c r="D42" s="5"/>
      <c r="E42" s="5"/>
      <c r="F42" s="8"/>
      <c r="G42" s="8"/>
      <c r="H42" s="8"/>
      <c r="I42" s="9"/>
      <c r="J42" s="14"/>
      <c r="K42" s="9"/>
      <c r="L42" s="9"/>
      <c r="M42" s="9"/>
      <c r="N42" s="9"/>
      <c r="O42" s="9"/>
      <c r="P42" s="10"/>
      <c r="Q42" s="10"/>
      <c r="R42" s="14"/>
      <c r="S42" s="10"/>
      <c r="T42" s="10"/>
      <c r="U42" s="10"/>
      <c r="V42" s="10"/>
      <c r="W42" s="10"/>
      <c r="X42" s="10"/>
      <c r="Y42" s="10"/>
      <c r="Z42" s="10"/>
      <c r="AA42" s="10"/>
      <c r="AB42" s="14"/>
      <c r="AC42" s="10"/>
      <c r="AD42" s="10"/>
      <c r="AE42" s="10"/>
      <c r="AF42" s="10"/>
      <c r="AG42" s="10"/>
      <c r="AH42" s="10"/>
      <c r="AI42" s="14"/>
      <c r="AJ42" s="14"/>
      <c r="AK42" s="10"/>
      <c r="AL42" s="10"/>
      <c r="AM42" s="10"/>
      <c r="AN42" s="10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8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3"/>
      <c r="BX42" s="3"/>
      <c r="BY42" s="3"/>
      <c r="BZ42" s="4"/>
      <c r="CA42" s="4"/>
      <c r="CB42" s="4"/>
    </row>
    <row r="43" spans="1:80" ht="15" customHeight="1" x14ac:dyDescent="0.25">
      <c r="A43" s="3"/>
      <c r="B43" s="3"/>
      <c r="C43" s="5"/>
      <c r="D43" s="5"/>
      <c r="E43" s="5"/>
      <c r="F43" s="5"/>
      <c r="G43" s="8"/>
      <c r="H43" s="8"/>
      <c r="I43" s="14"/>
      <c r="J43" s="14"/>
      <c r="K43" s="9"/>
      <c r="L43" s="9"/>
      <c r="M43" s="14"/>
      <c r="N43" s="9"/>
      <c r="O43" s="9"/>
      <c r="P43" s="10"/>
      <c r="Q43" s="10"/>
      <c r="R43" s="14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4"/>
      <c r="AM43" s="10"/>
      <c r="AN43" s="14"/>
      <c r="AO43" s="10"/>
      <c r="AP43" s="10"/>
      <c r="AQ43" s="14"/>
      <c r="AR43" s="14"/>
      <c r="AS43" s="14"/>
      <c r="AT43" s="14"/>
      <c r="AU43" s="14"/>
      <c r="AV43" s="9"/>
      <c r="AW43" s="14"/>
      <c r="AX43" s="14"/>
      <c r="AY43" s="14"/>
      <c r="AZ43" s="14"/>
      <c r="BA43" s="14"/>
      <c r="BB43" s="14"/>
      <c r="BC43" s="8"/>
      <c r="BD43" s="8"/>
      <c r="BE43" s="5"/>
      <c r="BF43" s="5"/>
      <c r="BG43" s="5"/>
      <c r="BH43" s="14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3"/>
      <c r="BX43" s="3"/>
      <c r="BY43" s="3"/>
      <c r="BZ43" s="4"/>
      <c r="CA43" s="4"/>
      <c r="CB43" s="4"/>
    </row>
    <row r="44" spans="1:80" ht="15" customHeight="1" x14ac:dyDescent="0.25">
      <c r="A44" s="3"/>
      <c r="B44" s="3"/>
      <c r="C44" s="5"/>
      <c r="D44" s="5"/>
      <c r="E44" s="5"/>
      <c r="F44" s="5"/>
      <c r="G44" s="5"/>
      <c r="H44" s="8"/>
      <c r="I44" s="9"/>
      <c r="J44" s="14"/>
      <c r="K44" s="9"/>
      <c r="L44" s="9"/>
      <c r="M44" s="9"/>
      <c r="N44" s="9"/>
      <c r="O44" s="9"/>
      <c r="P44" s="9"/>
      <c r="Q44" s="14"/>
      <c r="R44" s="9"/>
      <c r="S44" s="14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14"/>
      <c r="AO44" s="9"/>
      <c r="AP44" s="9"/>
      <c r="AQ44" s="14"/>
      <c r="AR44" s="14"/>
      <c r="AS44" s="14"/>
      <c r="AT44" s="14"/>
      <c r="AU44" s="14"/>
      <c r="AV44" s="14"/>
      <c r="AW44" s="14"/>
      <c r="AX44" s="14"/>
      <c r="AY44" s="8"/>
      <c r="AZ44" s="8"/>
      <c r="BA44" s="5"/>
      <c r="BB44" s="14"/>
      <c r="BC44" s="5"/>
      <c r="BD44" s="5"/>
      <c r="BE44" s="5"/>
      <c r="BF44" s="5"/>
      <c r="BG44" s="5"/>
      <c r="BH44" s="14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3"/>
      <c r="BX44" s="3"/>
      <c r="BY44" s="3"/>
      <c r="BZ44" s="4"/>
      <c r="CA44" s="4"/>
      <c r="CB44" s="4"/>
    </row>
    <row r="45" spans="1:80" ht="15" customHeight="1" x14ac:dyDescent="0.25">
      <c r="A45" s="3"/>
      <c r="B45" s="3"/>
      <c r="C45" s="5"/>
      <c r="D45" s="5"/>
      <c r="E45" s="5"/>
      <c r="F45" s="5"/>
      <c r="G45" s="5"/>
      <c r="H45" s="5"/>
      <c r="I45" s="14"/>
      <c r="J45" s="14"/>
      <c r="K45" s="14"/>
      <c r="L45" s="9"/>
      <c r="M45" s="9"/>
      <c r="N45" s="9"/>
      <c r="O45" s="9"/>
      <c r="P45" s="14"/>
      <c r="Q45" s="14"/>
      <c r="R45" s="9"/>
      <c r="S45" s="9"/>
      <c r="T45" s="9"/>
      <c r="U45" s="9"/>
      <c r="V45" s="9"/>
      <c r="W45" s="14"/>
      <c r="X45" s="14"/>
      <c r="Y45" s="9"/>
      <c r="Z45" s="14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14"/>
      <c r="AO45" s="14"/>
      <c r="AP45" s="9"/>
      <c r="AQ45" s="14"/>
      <c r="AR45" s="14"/>
      <c r="AS45" s="9"/>
      <c r="AT45" s="9"/>
      <c r="AU45" s="14"/>
      <c r="AV45" s="14"/>
      <c r="AW45" s="14"/>
      <c r="AX45" s="14"/>
      <c r="AY45" s="8"/>
      <c r="AZ45" s="8"/>
      <c r="BA45" s="5"/>
      <c r="BB45" s="5"/>
      <c r="BC45" s="14"/>
      <c r="BD45" s="14"/>
      <c r="BE45" s="5"/>
      <c r="BF45" s="5"/>
      <c r="BG45" s="5"/>
      <c r="BH45" s="14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3"/>
      <c r="BX45" s="3"/>
      <c r="BY45" s="3"/>
      <c r="BZ45" s="4"/>
      <c r="CA45" s="4"/>
      <c r="CB45" s="4"/>
    </row>
    <row r="46" spans="1:80" ht="15" customHeight="1" x14ac:dyDescent="0.25">
      <c r="A46" s="3"/>
      <c r="B46" s="3"/>
      <c r="C46" s="5"/>
      <c r="D46" s="5"/>
      <c r="E46" s="5"/>
      <c r="F46" s="5"/>
      <c r="G46" s="5"/>
      <c r="H46" s="5"/>
      <c r="I46" s="14"/>
      <c r="J46" s="14"/>
      <c r="K46" s="14"/>
      <c r="L46" s="5"/>
      <c r="M46" s="5"/>
      <c r="N46" s="5"/>
      <c r="O46" s="5"/>
      <c r="P46" s="14"/>
      <c r="Q46" s="14"/>
      <c r="R46" s="5"/>
      <c r="S46" s="5"/>
      <c r="T46" s="14"/>
      <c r="U46" s="5"/>
      <c r="V46" s="5"/>
      <c r="W46" s="5"/>
      <c r="X46" s="5"/>
      <c r="Y46" s="5"/>
      <c r="Z46" s="14"/>
      <c r="AA46" s="5"/>
      <c r="AB46" s="9"/>
      <c r="AC46" s="9"/>
      <c r="AD46" s="9"/>
      <c r="AE46" s="9"/>
      <c r="AF46" s="9"/>
      <c r="AG46" s="9"/>
      <c r="AH46" s="9"/>
      <c r="AI46" s="14"/>
      <c r="AJ46" s="9"/>
      <c r="AK46" s="9"/>
      <c r="AL46" s="9"/>
      <c r="AM46" s="14"/>
      <c r="AN46" s="9"/>
      <c r="AO46" s="9"/>
      <c r="AP46" s="9"/>
      <c r="AQ46" s="9"/>
      <c r="AR46" s="9"/>
      <c r="AS46" s="9"/>
      <c r="AT46" s="9"/>
      <c r="AU46" s="14"/>
      <c r="AV46" s="14"/>
      <c r="AW46" s="14"/>
      <c r="AX46" s="14"/>
      <c r="AY46" s="8"/>
      <c r="AZ46" s="8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3"/>
      <c r="BX46" s="3"/>
      <c r="BY46" s="3"/>
      <c r="BZ46" s="4"/>
      <c r="CA46" s="4"/>
      <c r="CB46" s="4"/>
    </row>
    <row r="47" spans="1:80" ht="15" customHeight="1" x14ac:dyDescent="0.25">
      <c r="A47" s="3"/>
      <c r="B47" s="3"/>
      <c r="C47" s="5"/>
      <c r="D47" s="5"/>
      <c r="E47" s="5"/>
      <c r="F47" s="5"/>
      <c r="G47" s="5"/>
      <c r="H47" s="5"/>
      <c r="I47" s="14"/>
      <c r="J47" s="5"/>
      <c r="K47" s="5"/>
      <c r="L47" s="5"/>
      <c r="M47" s="14"/>
      <c r="N47" s="5"/>
      <c r="O47" s="14"/>
      <c r="P47" s="5"/>
      <c r="Q47" s="5"/>
      <c r="R47" s="5"/>
      <c r="S47" s="5"/>
      <c r="T47" s="14"/>
      <c r="U47" s="5"/>
      <c r="V47" s="5"/>
      <c r="W47" s="5"/>
      <c r="X47" s="5"/>
      <c r="Y47" s="5"/>
      <c r="Z47" s="5"/>
      <c r="AA47" s="5"/>
      <c r="AB47" s="5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14"/>
      <c r="AO47" s="9"/>
      <c r="AP47" s="9"/>
      <c r="AQ47" s="14"/>
      <c r="AR47" s="9"/>
      <c r="AS47" s="9"/>
      <c r="AT47" s="9"/>
      <c r="AU47" s="9"/>
      <c r="AV47" s="9"/>
      <c r="AW47" s="14"/>
      <c r="AX47" s="14"/>
      <c r="AY47" s="14"/>
      <c r="AZ47" s="14"/>
      <c r="BA47" s="5"/>
      <c r="BB47" s="14"/>
      <c r="BC47" s="5"/>
      <c r="BD47" s="14"/>
      <c r="BE47" s="14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3"/>
      <c r="BX47" s="3"/>
      <c r="BY47" s="3"/>
      <c r="BZ47" s="4"/>
      <c r="CA47" s="4"/>
      <c r="CB47" s="4"/>
    </row>
    <row r="48" spans="1:80" ht="15" customHeight="1" x14ac:dyDescent="0.25">
      <c r="A48" s="3"/>
      <c r="B48" s="3"/>
      <c r="C48" s="5"/>
      <c r="D48" s="5"/>
      <c r="E48" s="5"/>
      <c r="F48" s="5"/>
      <c r="G48" s="5"/>
      <c r="H48" s="5"/>
      <c r="I48" s="14"/>
      <c r="J48" s="14"/>
      <c r="K48" s="14"/>
      <c r="L48" s="5"/>
      <c r="M48" s="14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14"/>
      <c r="AN48" s="9"/>
      <c r="AO48" s="9"/>
      <c r="AP48" s="9"/>
      <c r="AQ48" s="9"/>
      <c r="AR48" s="9"/>
      <c r="AS48" s="14"/>
      <c r="AT48" s="14"/>
      <c r="AU48" s="14"/>
      <c r="AV48" s="14"/>
      <c r="AW48" s="14"/>
      <c r="AX48" s="14"/>
      <c r="AY48" s="8"/>
      <c r="AZ48" s="14"/>
      <c r="BA48" s="5"/>
      <c r="BB48" s="14"/>
      <c r="BC48" s="5"/>
      <c r="BD48" s="5"/>
      <c r="BE48" s="14"/>
      <c r="BF48" s="5"/>
      <c r="BG48" s="5"/>
      <c r="BH48" s="5"/>
      <c r="BI48" s="14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3"/>
      <c r="BX48" s="3"/>
      <c r="BY48" s="3"/>
      <c r="BZ48" s="4"/>
      <c r="CA48" s="4"/>
      <c r="CB48" s="4"/>
    </row>
    <row r="49" spans="1:80" ht="15" customHeight="1" x14ac:dyDescent="0.25">
      <c r="A49" s="3"/>
      <c r="B49" s="3"/>
      <c r="C49" s="5"/>
      <c r="D49" s="5"/>
      <c r="E49" s="5"/>
      <c r="F49" s="5"/>
      <c r="G49" s="5"/>
      <c r="H49" s="5"/>
      <c r="I49" s="14"/>
      <c r="J49" s="14"/>
      <c r="K49" s="5"/>
      <c r="L49" s="14"/>
      <c r="M49" s="5"/>
      <c r="N49" s="5"/>
      <c r="O49" s="5"/>
      <c r="P49" s="14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9"/>
      <c r="AF49" s="9"/>
      <c r="AG49" s="9"/>
      <c r="AH49" s="9"/>
      <c r="AI49" s="9"/>
      <c r="AJ49" s="9"/>
      <c r="AK49" s="9"/>
      <c r="AL49" s="9"/>
      <c r="AM49" s="14"/>
      <c r="AN49" s="14"/>
      <c r="AO49" s="9"/>
      <c r="AP49" s="9"/>
      <c r="AQ49" s="9"/>
      <c r="AR49" s="9"/>
      <c r="AS49" s="9"/>
      <c r="AT49" s="14"/>
      <c r="AU49" s="14"/>
      <c r="AV49" s="14"/>
      <c r="AW49" s="14"/>
      <c r="AX49" s="9"/>
      <c r="AY49" s="8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3"/>
      <c r="BX49" s="3"/>
      <c r="BY49" s="3"/>
      <c r="BZ49" s="4"/>
      <c r="CA49" s="4"/>
      <c r="CB49" s="4"/>
    </row>
    <row r="50" spans="1:80" ht="15" customHeight="1" x14ac:dyDescent="0.25">
      <c r="A50" s="3"/>
      <c r="B50" s="3"/>
      <c r="C50" s="5"/>
      <c r="D50" s="5"/>
      <c r="E50" s="5"/>
      <c r="F50" s="5"/>
      <c r="G50" s="5"/>
      <c r="H50" s="5"/>
      <c r="I50" s="5"/>
      <c r="J50" s="5"/>
      <c r="K50" s="14"/>
      <c r="L50" s="14"/>
      <c r="M50" s="5"/>
      <c r="N50" s="14"/>
      <c r="O50" s="5"/>
      <c r="P50" s="14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9"/>
      <c r="AF50" s="14"/>
      <c r="AG50" s="9"/>
      <c r="AH50" s="9"/>
      <c r="AI50" s="14"/>
      <c r="AJ50" s="9"/>
      <c r="AK50" s="9"/>
      <c r="AL50" s="9"/>
      <c r="AM50" s="9"/>
      <c r="AN50" s="14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8"/>
      <c r="AZ50" s="5"/>
      <c r="BA50" s="14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3"/>
      <c r="BX50" s="3"/>
      <c r="BY50" s="3"/>
      <c r="BZ50" s="4"/>
      <c r="CA50" s="4"/>
      <c r="CB50" s="4"/>
    </row>
    <row r="51" spans="1:80" ht="15" customHeight="1" x14ac:dyDescent="0.25">
      <c r="A51" s="3"/>
      <c r="B51" s="3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12"/>
      <c r="AF51" s="12"/>
      <c r="AG51" s="12"/>
      <c r="AH51" s="12"/>
      <c r="AI51" s="14"/>
      <c r="AJ51" s="12"/>
      <c r="AK51" s="14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5"/>
      <c r="BA51" s="14"/>
      <c r="BB51" s="14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3"/>
      <c r="BX51" s="3"/>
      <c r="BY51" s="3"/>
      <c r="BZ51" s="4"/>
      <c r="CA51" s="4"/>
      <c r="CB51" s="4"/>
    </row>
    <row r="52" spans="1:80" ht="15" customHeight="1" x14ac:dyDescent="0.25">
      <c r="A52" s="3"/>
      <c r="B52" s="3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3"/>
      <c r="BX52" s="3"/>
      <c r="BY52" s="3"/>
      <c r="BZ52" s="4"/>
      <c r="CA52" s="4"/>
      <c r="CB52" s="4"/>
    </row>
    <row r="53" spans="1:80" ht="15" customHeight="1" x14ac:dyDescent="0.25">
      <c r="A53" s="3"/>
      <c r="B53" s="3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12"/>
      <c r="AI53" s="12"/>
      <c r="AJ53" s="12"/>
      <c r="AK53" s="12"/>
      <c r="AL53" s="12"/>
      <c r="AM53" s="12"/>
      <c r="AN53" s="12"/>
      <c r="AO53" s="12"/>
      <c r="AP53" s="14"/>
      <c r="AQ53" s="12"/>
      <c r="AR53" s="12"/>
      <c r="AS53" s="12"/>
      <c r="AT53" s="12"/>
      <c r="AU53" s="14"/>
      <c r="AV53" s="12"/>
      <c r="AW53" s="12"/>
      <c r="AX53" s="12"/>
      <c r="AY53" s="12"/>
      <c r="AZ53" s="12"/>
      <c r="BA53" s="14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3"/>
      <c r="BX53" s="3"/>
      <c r="BY53" s="3"/>
      <c r="BZ53" s="4"/>
      <c r="CA53" s="4"/>
      <c r="CB53" s="4"/>
    </row>
    <row r="54" spans="1:80" ht="15" customHeight="1" x14ac:dyDescent="0.25">
      <c r="A54" s="3"/>
      <c r="B54" s="3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14"/>
      <c r="AC54" s="5"/>
      <c r="AD54" s="14"/>
      <c r="AE54" s="5"/>
      <c r="AF54" s="5"/>
      <c r="AG54" s="5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4"/>
      <c r="AS54" s="12"/>
      <c r="AT54" s="14"/>
      <c r="AU54" s="12"/>
      <c r="AV54" s="12"/>
      <c r="AW54" s="12"/>
      <c r="AX54" s="12"/>
      <c r="AY54" s="12"/>
      <c r="AZ54" s="12"/>
      <c r="BA54" s="5"/>
      <c r="BB54" s="5"/>
      <c r="BC54" s="5"/>
      <c r="BD54" s="14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3"/>
      <c r="BX54" s="3"/>
      <c r="BY54" s="3"/>
      <c r="BZ54" s="4"/>
      <c r="CA54" s="4"/>
      <c r="CB54" s="4"/>
    </row>
    <row r="55" spans="1:80" ht="15" customHeight="1" x14ac:dyDescent="0.25">
      <c r="A55" s="3"/>
      <c r="B55" s="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2"/>
      <c r="AJ55" s="12"/>
      <c r="AK55" s="14"/>
      <c r="AL55" s="12"/>
      <c r="AM55" s="12"/>
      <c r="AN55" s="14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3"/>
      <c r="BX55" s="3"/>
      <c r="BY55" s="3"/>
      <c r="BZ55" s="4"/>
      <c r="CA55" s="4"/>
      <c r="CB55" s="4"/>
    </row>
    <row r="56" spans="1:80" ht="15" customHeight="1" x14ac:dyDescent="0.25">
      <c r="A56" s="3"/>
      <c r="B56" s="3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14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4"/>
      <c r="AX56" s="14"/>
      <c r="AY56" s="12"/>
      <c r="AZ56" s="12"/>
      <c r="BA56" s="14"/>
      <c r="BB56" s="12"/>
      <c r="BC56" s="5"/>
      <c r="BD56" s="5"/>
      <c r="BE56" s="14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3"/>
      <c r="BX56" s="3"/>
      <c r="BY56" s="3"/>
      <c r="BZ56" s="4"/>
      <c r="CA56" s="4"/>
      <c r="CB56" s="4"/>
    </row>
    <row r="57" spans="1:80" ht="15" customHeight="1" x14ac:dyDescent="0.25">
      <c r="A57" s="3"/>
      <c r="B57" s="3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3"/>
      <c r="BX57" s="3"/>
      <c r="BY57" s="3"/>
      <c r="BZ57" s="4"/>
      <c r="CA57" s="4"/>
      <c r="CB57" s="4"/>
    </row>
    <row r="58" spans="1:80" ht="15" customHeight="1" x14ac:dyDescent="0.25">
      <c r="A58" s="3"/>
      <c r="B58" s="3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14"/>
      <c r="AL58" s="14"/>
      <c r="AM58" s="12"/>
      <c r="AN58" s="12"/>
      <c r="AO58" s="12"/>
      <c r="AP58" s="12"/>
      <c r="AQ58" s="12"/>
      <c r="AR58" s="14"/>
      <c r="AS58" s="14"/>
      <c r="AT58" s="12"/>
      <c r="AU58" s="14"/>
      <c r="AV58" s="12"/>
      <c r="AW58" s="14"/>
      <c r="AX58" s="14"/>
      <c r="AY58" s="12"/>
      <c r="AZ58" s="12"/>
      <c r="BA58" s="14"/>
      <c r="BB58" s="12"/>
      <c r="BC58" s="14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3"/>
      <c r="BX58" s="3"/>
      <c r="BY58" s="3"/>
      <c r="BZ58" s="4"/>
      <c r="CA58" s="4"/>
      <c r="CB58" s="4"/>
    </row>
    <row r="59" spans="1:80" ht="15" customHeight="1" x14ac:dyDescent="0.25">
      <c r="A59" s="3"/>
      <c r="B59" s="3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2"/>
      <c r="AO59" s="12"/>
      <c r="AP59" s="14"/>
      <c r="AQ59" s="14"/>
      <c r="AR59" s="14"/>
      <c r="AS59" s="12"/>
      <c r="AT59" s="14"/>
      <c r="AU59" s="14"/>
      <c r="AV59" s="12"/>
      <c r="AW59" s="12"/>
      <c r="AX59" s="14"/>
      <c r="AY59" s="12"/>
      <c r="AZ59" s="14"/>
      <c r="BA59" s="14"/>
      <c r="BB59" s="14"/>
      <c r="BC59" s="14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3"/>
      <c r="BX59" s="3"/>
      <c r="BY59" s="3"/>
      <c r="BZ59" s="4"/>
      <c r="CA59" s="4"/>
      <c r="CB59" s="4"/>
    </row>
    <row r="60" spans="1:80" ht="15" customHeight="1" x14ac:dyDescent="0.25">
      <c r="A60" s="3"/>
      <c r="B60" s="3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14"/>
      <c r="AB60" s="14"/>
      <c r="AC60" s="1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14"/>
      <c r="AP60" s="14"/>
      <c r="AQ60" s="12"/>
      <c r="AR60" s="14"/>
      <c r="AS60" s="14"/>
      <c r="AT60" s="14"/>
      <c r="AU60" s="14"/>
      <c r="AV60" s="12"/>
      <c r="AW60" s="12"/>
      <c r="AX60" s="12"/>
      <c r="AY60" s="12"/>
      <c r="AZ60" s="12"/>
      <c r="BA60" s="14"/>
      <c r="BB60" s="12"/>
      <c r="BC60" s="5"/>
      <c r="BD60" s="14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3"/>
      <c r="BX60" s="3"/>
      <c r="BY60" s="3"/>
      <c r="BZ60" s="4"/>
      <c r="CA60" s="4"/>
      <c r="CB60" s="4"/>
    </row>
    <row r="61" spans="1:80" ht="15" customHeight="1" x14ac:dyDescent="0.25">
      <c r="A61" s="3"/>
      <c r="B61" s="3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14"/>
      <c r="AM61" s="5"/>
      <c r="AN61" s="5"/>
      <c r="AO61" s="14"/>
      <c r="AP61" s="14"/>
      <c r="AQ61" s="12"/>
      <c r="AR61" s="12"/>
      <c r="AS61" s="14"/>
      <c r="AT61" s="14"/>
      <c r="AU61" s="14"/>
      <c r="AV61" s="12"/>
      <c r="AW61" s="12"/>
      <c r="AX61" s="12"/>
      <c r="AY61" s="12"/>
      <c r="AZ61" s="12"/>
      <c r="BA61" s="12"/>
      <c r="BB61" s="14"/>
      <c r="BC61" s="5"/>
      <c r="BD61" s="14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3"/>
      <c r="BX61" s="3"/>
      <c r="BY61" s="3"/>
      <c r="BZ61" s="4"/>
      <c r="CA61" s="4"/>
      <c r="CB61" s="4"/>
    </row>
    <row r="62" spans="1:80" ht="15" customHeight="1" x14ac:dyDescent="0.25">
      <c r="A62" s="3"/>
      <c r="B62" s="3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14"/>
      <c r="AO62" s="5"/>
      <c r="AP62" s="12"/>
      <c r="AQ62" s="12"/>
      <c r="AR62" s="14"/>
      <c r="AS62" s="12"/>
      <c r="AT62" s="12"/>
      <c r="AU62" s="14"/>
      <c r="AV62" s="14"/>
      <c r="AW62" s="12"/>
      <c r="AX62" s="12"/>
      <c r="AY62" s="14"/>
      <c r="AZ62" s="12"/>
      <c r="BA62" s="12"/>
      <c r="BB62" s="12"/>
      <c r="BC62" s="12"/>
      <c r="BD62" s="12"/>
      <c r="BE62" s="12"/>
      <c r="BF62" s="12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3"/>
      <c r="BX62" s="3"/>
      <c r="BY62" s="3"/>
      <c r="BZ62" s="4"/>
      <c r="CA62" s="4"/>
      <c r="CB62" s="4"/>
    </row>
    <row r="63" spans="1:80" ht="15" customHeight="1" x14ac:dyDescent="0.25">
      <c r="A63" s="3"/>
      <c r="B63" s="3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14"/>
      <c r="AO63" s="5"/>
      <c r="AP63" s="5"/>
      <c r="AQ63" s="12"/>
      <c r="AR63" s="14"/>
      <c r="AS63" s="12"/>
      <c r="AT63" s="12"/>
      <c r="AU63" s="12"/>
      <c r="AV63" s="14"/>
      <c r="AW63" s="12"/>
      <c r="AX63" s="12"/>
      <c r="AY63" s="12"/>
      <c r="AZ63" s="12"/>
      <c r="BA63" s="14"/>
      <c r="BB63" s="12"/>
      <c r="BC63" s="12"/>
      <c r="BD63" s="12"/>
      <c r="BE63" s="14"/>
      <c r="BF63" s="14"/>
      <c r="BG63" s="12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3"/>
      <c r="BX63" s="3"/>
      <c r="BY63" s="3"/>
      <c r="BZ63" s="4"/>
      <c r="CA63" s="4"/>
      <c r="CB63" s="4"/>
    </row>
    <row r="64" spans="1:80" ht="15" customHeight="1" x14ac:dyDescent="0.25">
      <c r="A64" s="3"/>
      <c r="B64" s="3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14"/>
      <c r="AP64" s="14"/>
      <c r="AQ64" s="14"/>
      <c r="AR64" s="12"/>
      <c r="AS64" s="14"/>
      <c r="AT64" s="12"/>
      <c r="AU64" s="12"/>
      <c r="AV64" s="12"/>
      <c r="AW64" s="12"/>
      <c r="AX64" s="14"/>
      <c r="AY64" s="14"/>
      <c r="AZ64" s="12"/>
      <c r="BA64" s="14"/>
      <c r="BB64" s="14"/>
      <c r="BC64" s="14"/>
      <c r="BD64" s="14"/>
      <c r="BE64" s="14"/>
      <c r="BF64" s="14"/>
      <c r="BG64" s="14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3"/>
      <c r="BX64" s="3"/>
      <c r="BY64" s="3"/>
      <c r="BZ64" s="4"/>
      <c r="CA64" s="4"/>
      <c r="CB64" s="4"/>
    </row>
    <row r="65" spans="1:80" ht="15" customHeight="1" x14ac:dyDescent="0.25">
      <c r="A65" s="3"/>
      <c r="B65" s="3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14"/>
      <c r="AR65" s="5"/>
      <c r="AS65" s="12"/>
      <c r="AT65" s="14"/>
      <c r="AU65" s="12"/>
      <c r="AV65" s="12"/>
      <c r="AW65" s="12"/>
      <c r="AX65" s="12"/>
      <c r="AY65" s="12"/>
      <c r="AZ65" s="12"/>
      <c r="BA65" s="12"/>
      <c r="BB65" s="14"/>
      <c r="BC65" s="14"/>
      <c r="BD65" s="14"/>
      <c r="BE65" s="14"/>
      <c r="BF65" s="14"/>
      <c r="BG65" s="14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3"/>
      <c r="BX65" s="3"/>
      <c r="BY65" s="3"/>
      <c r="BZ65" s="4"/>
      <c r="CA65" s="4"/>
      <c r="CB65" s="4"/>
    </row>
    <row r="66" spans="1:80" ht="15" customHeight="1" x14ac:dyDescent="0.25">
      <c r="A66" s="3"/>
      <c r="B66" s="3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12"/>
      <c r="AU66" s="12"/>
      <c r="AV66" s="12"/>
      <c r="AW66" s="12"/>
      <c r="AX66" s="12"/>
      <c r="AY66" s="12"/>
      <c r="AZ66" s="12"/>
      <c r="BA66" s="14"/>
      <c r="BB66" s="14"/>
      <c r="BC66" s="12"/>
      <c r="BD66" s="14"/>
      <c r="BE66" s="12"/>
      <c r="BF66" s="14"/>
      <c r="BG66" s="14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3"/>
      <c r="BX66" s="3"/>
      <c r="BY66" s="3"/>
      <c r="BZ66" s="4"/>
      <c r="CA66" s="4"/>
      <c r="CB66" s="4"/>
    </row>
    <row r="67" spans="1:80" ht="15" customHeight="1" x14ac:dyDescent="0.25">
      <c r="A67" s="3"/>
      <c r="B67" s="3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12"/>
      <c r="AV67" s="14"/>
      <c r="AW67" s="12"/>
      <c r="AX67" s="12"/>
      <c r="AY67" s="14"/>
      <c r="AZ67" s="14"/>
      <c r="BA67" s="12"/>
      <c r="BB67" s="12"/>
      <c r="BC67" s="12"/>
      <c r="BD67" s="14"/>
      <c r="BE67" s="14"/>
      <c r="BF67" s="12"/>
      <c r="BG67" s="14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3"/>
      <c r="BX67" s="3"/>
      <c r="BY67" s="3"/>
      <c r="BZ67" s="4"/>
      <c r="CA67" s="4"/>
      <c r="CB67" s="4"/>
    </row>
    <row r="68" spans="1:80" ht="15" customHeight="1" x14ac:dyDescent="0.25">
      <c r="A68" s="3"/>
      <c r="B68" s="3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14"/>
      <c r="AT68" s="14"/>
      <c r="AU68" s="14"/>
      <c r="AV68" s="5"/>
      <c r="AW68" s="12"/>
      <c r="AX68" s="14"/>
      <c r="AY68" s="12"/>
      <c r="AZ68" s="12"/>
      <c r="BA68" s="12"/>
      <c r="BB68" s="12"/>
      <c r="BC68" s="12"/>
      <c r="BD68" s="14"/>
      <c r="BE68" s="14"/>
      <c r="BF68" s="14"/>
      <c r="BG68" s="14"/>
      <c r="BH68" s="12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3"/>
      <c r="BX68" s="3"/>
      <c r="BY68" s="3"/>
      <c r="BZ68" s="4"/>
      <c r="CA68" s="4"/>
      <c r="CB68" s="4"/>
    </row>
    <row r="69" spans="1:80" ht="15" customHeight="1" x14ac:dyDescent="0.25">
      <c r="A69" s="3"/>
      <c r="B69" s="3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3"/>
      <c r="BX69" s="3"/>
      <c r="BY69" s="3"/>
      <c r="BZ69" s="4"/>
      <c r="CA69" s="4"/>
      <c r="CB69" s="4"/>
    </row>
    <row r="70" spans="1:80" ht="15" customHeight="1" x14ac:dyDescent="0.25">
      <c r="A70" s="3"/>
      <c r="B70" s="3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3"/>
      <c r="BX70" s="3"/>
      <c r="BY70" s="3"/>
      <c r="BZ70" s="4"/>
      <c r="CA70" s="4"/>
      <c r="CB70" s="4"/>
    </row>
    <row r="71" spans="1:80" ht="15" customHeight="1" x14ac:dyDescent="0.25">
      <c r="A71" s="3"/>
      <c r="B71" s="3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3"/>
      <c r="BX71" s="3"/>
      <c r="BY71" s="3"/>
      <c r="BZ71" s="4"/>
      <c r="CA71" s="4"/>
      <c r="CB71" s="4"/>
    </row>
    <row r="72" spans="1:80" ht="15" customHeight="1" x14ac:dyDescent="0.25">
      <c r="A72" s="3"/>
      <c r="B72" s="3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3"/>
      <c r="BX72" s="3"/>
      <c r="BY72" s="3"/>
      <c r="BZ72" s="4"/>
      <c r="CA72" s="4"/>
      <c r="CB72" s="4"/>
    </row>
    <row r="73" spans="1:80" ht="15" customHeight="1" x14ac:dyDescent="0.25">
      <c r="A73" s="3"/>
      <c r="B73" s="3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12"/>
      <c r="BA73" s="12"/>
      <c r="BB73" s="12"/>
      <c r="BC73" s="5"/>
      <c r="BD73" s="5"/>
      <c r="BE73" s="5"/>
      <c r="BF73" s="12"/>
      <c r="BG73" s="12"/>
      <c r="BH73" s="12"/>
      <c r="BI73" s="12"/>
      <c r="BJ73" s="12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3"/>
      <c r="BX73" s="3"/>
      <c r="BY73" s="3"/>
      <c r="BZ73" s="4"/>
      <c r="CA73" s="4"/>
      <c r="CB73" s="4"/>
    </row>
    <row r="74" spans="1:80" ht="15" customHeight="1" x14ac:dyDescent="0.25">
      <c r="A74" s="3"/>
      <c r="B74" s="3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12"/>
      <c r="BB74" s="12"/>
      <c r="BC74" s="5"/>
      <c r="BD74" s="5"/>
      <c r="BE74" s="5"/>
      <c r="BF74" s="5"/>
      <c r="BG74" s="13"/>
      <c r="BH74" s="12"/>
      <c r="BI74" s="12"/>
      <c r="BJ74" s="12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3"/>
      <c r="BX74" s="3"/>
      <c r="BY74" s="3"/>
      <c r="BZ74" s="4"/>
      <c r="CA74" s="4"/>
      <c r="CB74" s="4"/>
    </row>
    <row r="75" spans="1:80" ht="15" customHeight="1" x14ac:dyDescent="0.25">
      <c r="A75" s="3"/>
      <c r="B75" s="3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3"/>
      <c r="BX75" s="3"/>
      <c r="BY75" s="3"/>
      <c r="BZ75" s="4"/>
      <c r="CA75" s="4"/>
      <c r="CB75" s="4"/>
    </row>
    <row r="76" spans="1:80" ht="15" customHeight="1" x14ac:dyDescent="0.25">
      <c r="A76" s="3"/>
      <c r="B76" s="3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3"/>
      <c r="BX76" s="3"/>
      <c r="BY76" s="3"/>
      <c r="BZ76" s="4"/>
      <c r="CA76" s="4"/>
      <c r="CB76" s="4"/>
    </row>
    <row r="77" spans="1:80" ht="15" customHeight="1" x14ac:dyDescent="0.25">
      <c r="A77" s="3"/>
      <c r="B77" s="3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3"/>
      <c r="BX77" s="3"/>
      <c r="BY77" s="3"/>
      <c r="BZ77" s="4"/>
      <c r="CA77" s="4"/>
      <c r="CB77" s="4"/>
    </row>
    <row r="78" spans="1:80" ht="15" customHeight="1" x14ac:dyDescent="0.25">
      <c r="A78" s="3"/>
      <c r="B78" s="3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3"/>
      <c r="BX78" s="3"/>
      <c r="BY78" s="3"/>
      <c r="BZ78" s="4"/>
      <c r="CA78" s="4"/>
      <c r="CB78" s="4"/>
    </row>
    <row r="79" spans="1:80" ht="15" customHeight="1" x14ac:dyDescent="0.25">
      <c r="A79" s="3"/>
      <c r="B79" s="3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3"/>
      <c r="BX79" s="3"/>
      <c r="BY79" s="3"/>
      <c r="BZ79" s="4"/>
      <c r="CA79" s="4"/>
      <c r="CB79" s="4"/>
    </row>
    <row r="80" spans="1:80" ht="15" customHeight="1" x14ac:dyDescent="0.25">
      <c r="A80" s="3"/>
      <c r="B80" s="3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3"/>
      <c r="BX80" s="3"/>
      <c r="BY80" s="3"/>
      <c r="BZ80" s="4"/>
      <c r="CA80" s="4"/>
      <c r="CB80" s="4"/>
    </row>
    <row r="81" spans="1:80" ht="15" customHeight="1" x14ac:dyDescent="0.25">
      <c r="A81" s="3"/>
      <c r="B81" s="3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3"/>
      <c r="BX81" s="3"/>
      <c r="BY81" s="3"/>
      <c r="BZ81" s="4"/>
      <c r="CA81" s="4"/>
      <c r="CB81" s="4"/>
    </row>
    <row r="82" spans="1:80" ht="15" customHeight="1" x14ac:dyDescent="0.25">
      <c r="A82" s="3"/>
      <c r="B82" s="3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3"/>
      <c r="BX82" s="3"/>
      <c r="BY82" s="3"/>
      <c r="BZ82" s="4"/>
      <c r="CA82" s="4"/>
      <c r="CB82" s="4"/>
    </row>
    <row r="83" spans="1:80" ht="15" customHeight="1" x14ac:dyDescent="0.25">
      <c r="A83" s="3"/>
      <c r="B83" s="3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3"/>
      <c r="BX83" s="3"/>
      <c r="BY83" s="3"/>
      <c r="BZ83" s="4"/>
      <c r="CA83" s="4"/>
      <c r="CB83" s="4"/>
    </row>
    <row r="84" spans="1:80" ht="15" customHeight="1" x14ac:dyDescent="0.25">
      <c r="A84" s="3"/>
      <c r="B84" s="3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3"/>
      <c r="BX84" s="3"/>
      <c r="BY84" s="3"/>
      <c r="BZ84" s="4"/>
      <c r="CA84" s="4"/>
      <c r="CB84" s="4"/>
    </row>
    <row r="85" spans="1:80" ht="15" customHeight="1" x14ac:dyDescent="0.25">
      <c r="A85" s="3"/>
      <c r="B85" s="3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3"/>
      <c r="BX85" s="3"/>
      <c r="BY85" s="3"/>
      <c r="BZ85" s="4"/>
      <c r="CA85" s="4"/>
      <c r="CB85" s="4"/>
    </row>
    <row r="86" spans="1:80" ht="15" customHeight="1" x14ac:dyDescent="0.25">
      <c r="A86" s="3"/>
      <c r="B86" s="3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3"/>
      <c r="BX86" s="3"/>
      <c r="BY86" s="3"/>
      <c r="BZ86" s="4"/>
      <c r="CA86" s="4"/>
      <c r="CB86" s="4"/>
    </row>
    <row r="87" spans="1:80" ht="15" customHeight="1" x14ac:dyDescent="0.25">
      <c r="A87" s="3"/>
      <c r="B87" s="3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3"/>
      <c r="BX87" s="3"/>
      <c r="BY87" s="3"/>
      <c r="BZ87" s="4"/>
      <c r="CA87" s="4"/>
      <c r="CB87" s="4"/>
    </row>
    <row r="88" spans="1:80" ht="15" customHeight="1" x14ac:dyDescent="0.25">
      <c r="A88" s="3"/>
      <c r="B88" s="3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3"/>
      <c r="BX88" s="3"/>
      <c r="BY88" s="3"/>
      <c r="BZ88" s="4"/>
      <c r="CA88" s="4"/>
      <c r="CB88" s="4"/>
    </row>
    <row r="89" spans="1:80" ht="15" customHeight="1" x14ac:dyDescent="0.25">
      <c r="A89" s="3"/>
      <c r="B89" s="3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3"/>
      <c r="BX89" s="3"/>
      <c r="BY89" s="3"/>
      <c r="BZ89" s="4"/>
      <c r="CA89" s="4"/>
      <c r="CB89" s="4"/>
    </row>
    <row r="90" spans="1:80" ht="15" customHeight="1" x14ac:dyDescent="0.25">
      <c r="A90" s="3"/>
      <c r="B90" s="3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3"/>
      <c r="BX90" s="3"/>
      <c r="BY90" s="3"/>
      <c r="BZ90" s="4"/>
      <c r="CA90" s="4"/>
      <c r="CB90" s="4"/>
    </row>
    <row r="91" spans="1:80" ht="15" customHeight="1" x14ac:dyDescent="0.25">
      <c r="A91" s="3"/>
      <c r="B91" s="3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3"/>
      <c r="BX91" s="3"/>
      <c r="BY91" s="3"/>
      <c r="BZ91" s="4"/>
      <c r="CA91" s="4"/>
      <c r="CB91" s="4"/>
    </row>
    <row r="92" spans="1:80" ht="15" customHeight="1" x14ac:dyDescent="0.25">
      <c r="A92" s="3"/>
      <c r="B92" s="3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3"/>
      <c r="BX92" s="3"/>
      <c r="BY92" s="3"/>
      <c r="BZ92" s="4"/>
      <c r="CA92" s="4"/>
      <c r="CB92" s="4"/>
    </row>
    <row r="93" spans="1:80" ht="15" customHeight="1" x14ac:dyDescent="0.25">
      <c r="A93" s="3"/>
      <c r="B93" s="3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3"/>
      <c r="BX93" s="3"/>
      <c r="BY93" s="3"/>
      <c r="BZ93" s="4"/>
      <c r="CA93" s="4"/>
      <c r="CB93" s="4"/>
    </row>
    <row r="94" spans="1:80" ht="15" customHeight="1" x14ac:dyDescent="0.25">
      <c r="A94" s="3"/>
      <c r="B94" s="3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3"/>
      <c r="BX94" s="3"/>
      <c r="BY94" s="3"/>
      <c r="BZ94" s="4"/>
      <c r="CA94" s="4"/>
      <c r="CB94" s="4"/>
    </row>
    <row r="95" spans="1:80" ht="15" customHeight="1" x14ac:dyDescent="0.25">
      <c r="A95" s="3"/>
      <c r="B95" s="3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3"/>
      <c r="BX95" s="3"/>
      <c r="BY95" s="3"/>
      <c r="BZ95" s="4"/>
      <c r="CA95" s="4"/>
      <c r="CB95" s="4"/>
    </row>
    <row r="96" spans="1:80" ht="15" customHeight="1" x14ac:dyDescent="0.25">
      <c r="A96" s="3"/>
      <c r="B96" s="3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3"/>
      <c r="BX96" s="3"/>
      <c r="BY96" s="3"/>
      <c r="BZ96" s="4"/>
      <c r="CA96" s="4"/>
      <c r="CB96" s="4"/>
    </row>
    <row r="97" spans="1:80" ht="15" customHeight="1" x14ac:dyDescent="0.25">
      <c r="A97" s="3"/>
      <c r="B97" s="3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3"/>
      <c r="BX97" s="3"/>
      <c r="BY97" s="3"/>
      <c r="BZ97" s="4"/>
      <c r="CA97" s="4"/>
      <c r="CB97" s="4"/>
    </row>
    <row r="98" spans="1:80" ht="15" customHeight="1" x14ac:dyDescent="0.25">
      <c r="A98" s="3"/>
      <c r="B98" s="3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3"/>
      <c r="BX98" s="3"/>
      <c r="BY98" s="3"/>
      <c r="BZ98" s="4"/>
      <c r="CA98" s="4"/>
      <c r="CB98" s="4"/>
    </row>
    <row r="99" spans="1:80" ht="15" customHeight="1" x14ac:dyDescent="0.25">
      <c r="A99" s="3"/>
      <c r="B99" s="3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3"/>
      <c r="BX99" s="3"/>
      <c r="BY99" s="3"/>
      <c r="BZ99" s="4"/>
      <c r="CA99" s="4"/>
      <c r="CB99" s="4"/>
    </row>
    <row r="100" spans="1:80" ht="15" customHeight="1" x14ac:dyDescent="0.25">
      <c r="A100" s="3"/>
      <c r="B100" s="3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3"/>
      <c r="BX100" s="3"/>
      <c r="BY100" s="3"/>
      <c r="BZ100" s="4"/>
      <c r="CA100" s="4"/>
      <c r="CB100" s="4"/>
    </row>
    <row r="101" spans="1:80" ht="15" customHeight="1" x14ac:dyDescent="0.25">
      <c r="A101" s="3"/>
      <c r="B101" s="3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3"/>
      <c r="BX101" s="3"/>
      <c r="BY101" s="3"/>
      <c r="BZ101" s="4"/>
      <c r="CA101" s="4"/>
      <c r="CB101" s="4"/>
    </row>
    <row r="102" spans="1:80" ht="15" customHeight="1" x14ac:dyDescent="0.25">
      <c r="A102" s="3"/>
      <c r="B102" s="3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3"/>
      <c r="BX102" s="3"/>
      <c r="BY102" s="3"/>
      <c r="BZ102" s="4"/>
      <c r="CA102" s="4"/>
      <c r="CB102" s="4"/>
    </row>
    <row r="103" spans="1:80" ht="15" customHeight="1" x14ac:dyDescent="0.25">
      <c r="A103" s="3"/>
      <c r="B103" s="3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3"/>
      <c r="BX103" s="3"/>
      <c r="BY103" s="3"/>
      <c r="BZ103" s="4"/>
      <c r="CA103" s="4"/>
      <c r="CB103" s="4"/>
    </row>
    <row r="104" spans="1:80" ht="15" customHeight="1" x14ac:dyDescent="0.25">
      <c r="A104" s="3"/>
      <c r="B104" s="3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3"/>
      <c r="BX104" s="3"/>
      <c r="BY104" s="3"/>
      <c r="BZ104" s="4"/>
      <c r="CA104" s="4"/>
      <c r="CB104" s="4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14"/>
  <sheetViews>
    <sheetView workbookViewId="0">
      <pane ySplit="1" topLeftCell="A38" activePane="bottomLeft" state="frozen"/>
      <selection pane="bottomLeft" activeCell="A2" sqref="A2"/>
    </sheetView>
    <sheetView topLeftCell="A180" workbookViewId="1">
      <selection activeCell="A2" sqref="A2:C213"/>
    </sheetView>
    <sheetView workbookViewId="2"/>
  </sheetViews>
  <sheetFormatPr defaultRowHeight="15" x14ac:dyDescent="0.25"/>
  <cols>
    <col min="1" max="1" width="12.42578125" style="36" customWidth="1"/>
    <col min="2" max="2" width="14.85546875" style="36" customWidth="1"/>
    <col min="3" max="3" width="12" style="36" customWidth="1"/>
    <col min="4" max="4" width="13.140625" style="37" customWidth="1"/>
    <col min="5" max="5" width="20.28515625" style="20" customWidth="1"/>
    <col min="6" max="6" width="16.140625" style="20" customWidth="1"/>
    <col min="7" max="7" width="16.140625" style="38" customWidth="1"/>
    <col min="8" max="8" width="20.140625" style="20" customWidth="1"/>
    <col min="9" max="9" width="13.42578125" style="20" customWidth="1"/>
    <col min="10" max="13" width="9.140625" style="20"/>
    <col min="14" max="14" width="11.5703125" style="20" customWidth="1"/>
    <col min="15" max="16384" width="9.140625" style="20"/>
  </cols>
  <sheetData>
    <row r="1" spans="1:11" ht="25.5" x14ac:dyDescent="0.25">
      <c r="A1" s="16" t="s">
        <v>6</v>
      </c>
      <c r="B1" s="16" t="s">
        <v>24</v>
      </c>
      <c r="C1" s="16" t="s">
        <v>25</v>
      </c>
      <c r="D1" s="17" t="s">
        <v>26</v>
      </c>
      <c r="E1" s="16" t="s">
        <v>27</v>
      </c>
      <c r="F1" s="16" t="s">
        <v>28</v>
      </c>
      <c r="G1" s="18" t="s">
        <v>29</v>
      </c>
      <c r="H1" s="16" t="s">
        <v>30</v>
      </c>
      <c r="I1" s="16" t="s">
        <v>31</v>
      </c>
      <c r="J1" s="19"/>
      <c r="K1" s="19"/>
    </row>
    <row r="2" spans="1:11" x14ac:dyDescent="0.25">
      <c r="A2" s="21">
        <v>17</v>
      </c>
      <c r="B2" s="21" t="s">
        <v>32</v>
      </c>
      <c r="C2" s="21" t="s">
        <v>33</v>
      </c>
      <c r="D2" s="22">
        <v>15.8133</v>
      </c>
      <c r="E2" s="21">
        <v>629025</v>
      </c>
      <c r="F2" s="21" t="s">
        <v>34</v>
      </c>
      <c r="G2" s="23">
        <v>41852</v>
      </c>
      <c r="H2" s="24" t="s">
        <v>35</v>
      </c>
      <c r="I2" s="21">
        <v>3501722984</v>
      </c>
    </row>
    <row r="3" spans="1:11" x14ac:dyDescent="0.25">
      <c r="A3" s="21">
        <v>21</v>
      </c>
      <c r="B3" s="21" t="s">
        <v>32</v>
      </c>
      <c r="C3" s="21" t="s">
        <v>33</v>
      </c>
      <c r="D3" s="22">
        <v>80</v>
      </c>
      <c r="E3" s="21">
        <v>634869</v>
      </c>
      <c r="F3" s="21" t="s">
        <v>36</v>
      </c>
      <c r="G3" s="23">
        <v>42005</v>
      </c>
      <c r="H3" s="21" t="s">
        <v>37</v>
      </c>
      <c r="I3" s="21">
        <v>3501724708</v>
      </c>
    </row>
    <row r="4" spans="1:11" x14ac:dyDescent="0.25">
      <c r="A4" s="25">
        <v>27</v>
      </c>
      <c r="B4" s="25" t="s">
        <v>38</v>
      </c>
      <c r="C4" s="25" t="s">
        <v>16</v>
      </c>
      <c r="D4" s="26">
        <v>21.25</v>
      </c>
      <c r="E4" s="25">
        <v>639607</v>
      </c>
      <c r="F4" s="25" t="s">
        <v>39</v>
      </c>
      <c r="G4" s="27">
        <v>42036</v>
      </c>
      <c r="H4" s="28" t="s">
        <v>40</v>
      </c>
      <c r="I4" s="25">
        <v>3505122948</v>
      </c>
    </row>
    <row r="5" spans="1:11" x14ac:dyDescent="0.25">
      <c r="A5" s="25">
        <v>1</v>
      </c>
      <c r="B5" s="25" t="s">
        <v>38</v>
      </c>
      <c r="C5" s="25" t="s">
        <v>15</v>
      </c>
      <c r="D5" s="26">
        <v>3.2650000000000001E-3</v>
      </c>
      <c r="E5" s="25">
        <v>644559</v>
      </c>
      <c r="F5" s="25" t="s">
        <v>34</v>
      </c>
      <c r="G5" s="27">
        <v>42217</v>
      </c>
      <c r="H5" s="28" t="s">
        <v>41</v>
      </c>
      <c r="I5" s="25">
        <v>3501723803</v>
      </c>
    </row>
    <row r="6" spans="1:11" x14ac:dyDescent="0.25">
      <c r="A6" s="21">
        <v>19</v>
      </c>
      <c r="B6" s="21" t="s">
        <v>38</v>
      </c>
      <c r="C6" s="21" t="s">
        <v>42</v>
      </c>
      <c r="D6" s="22">
        <v>21.418380760000002</v>
      </c>
      <c r="E6" s="21">
        <v>644714</v>
      </c>
      <c r="F6" s="21" t="s">
        <v>43</v>
      </c>
      <c r="G6" s="23">
        <v>42217</v>
      </c>
      <c r="H6" s="24" t="s">
        <v>44</v>
      </c>
      <c r="I6" s="21">
        <v>3505123970</v>
      </c>
    </row>
    <row r="7" spans="1:11" x14ac:dyDescent="0.25">
      <c r="A7" s="21">
        <v>20</v>
      </c>
      <c r="B7" s="21" t="s">
        <v>38</v>
      </c>
      <c r="C7" s="21" t="s">
        <v>42</v>
      </c>
      <c r="D7" s="22">
        <v>11</v>
      </c>
      <c r="E7" s="21">
        <v>644715</v>
      </c>
      <c r="F7" s="21" t="s">
        <v>45</v>
      </c>
      <c r="G7" s="23">
        <v>42217</v>
      </c>
      <c r="H7" s="24" t="s">
        <v>44</v>
      </c>
      <c r="I7" s="21">
        <v>3505123964</v>
      </c>
    </row>
    <row r="8" spans="1:11" x14ac:dyDescent="0.25">
      <c r="A8" s="25">
        <v>7</v>
      </c>
      <c r="B8" s="25" t="s">
        <v>38</v>
      </c>
      <c r="C8" s="25" t="s">
        <v>33</v>
      </c>
      <c r="D8" s="26">
        <v>1</v>
      </c>
      <c r="E8" s="25">
        <v>645435</v>
      </c>
      <c r="F8" s="25" t="s">
        <v>46</v>
      </c>
      <c r="G8" s="27">
        <v>42248</v>
      </c>
      <c r="H8" s="28" t="s">
        <v>47</v>
      </c>
      <c r="I8" s="25">
        <v>3501723644</v>
      </c>
    </row>
    <row r="9" spans="1:11" x14ac:dyDescent="0.25">
      <c r="A9" s="21">
        <v>12</v>
      </c>
      <c r="B9" s="21" t="s">
        <v>38</v>
      </c>
      <c r="C9" s="21" t="s">
        <v>16</v>
      </c>
      <c r="D9" s="22">
        <v>39.99996999999999</v>
      </c>
      <c r="E9" s="21">
        <v>645465</v>
      </c>
      <c r="F9" s="21" t="s">
        <v>46</v>
      </c>
      <c r="G9" s="23">
        <v>42248</v>
      </c>
      <c r="H9" s="24" t="s">
        <v>48</v>
      </c>
      <c r="I9" s="21">
        <v>3501724872</v>
      </c>
    </row>
    <row r="10" spans="1:11" x14ac:dyDescent="0.25">
      <c r="A10" s="21">
        <v>31</v>
      </c>
      <c r="B10" s="21" t="s">
        <v>38</v>
      </c>
      <c r="C10" s="21" t="s">
        <v>49</v>
      </c>
      <c r="D10" s="22">
        <v>3.2</v>
      </c>
      <c r="E10" s="21">
        <v>645643</v>
      </c>
      <c r="F10" s="21" t="s">
        <v>50</v>
      </c>
      <c r="G10" s="23">
        <v>42248</v>
      </c>
      <c r="H10" s="24" t="s">
        <v>51</v>
      </c>
      <c r="I10" s="21">
        <v>3508722035</v>
      </c>
    </row>
    <row r="11" spans="1:11" x14ac:dyDescent="0.25">
      <c r="A11" s="21">
        <v>35</v>
      </c>
      <c r="B11" s="21" t="s">
        <v>52</v>
      </c>
      <c r="C11" s="21" t="s">
        <v>16</v>
      </c>
      <c r="D11" s="22">
        <v>189.34</v>
      </c>
      <c r="E11" s="21">
        <v>647161</v>
      </c>
      <c r="F11" s="21" t="s">
        <v>36</v>
      </c>
      <c r="G11" s="23">
        <v>42309</v>
      </c>
      <c r="H11" s="24" t="s">
        <v>53</v>
      </c>
      <c r="I11" s="21">
        <v>3501724914</v>
      </c>
    </row>
    <row r="12" spans="1:11" x14ac:dyDescent="0.25">
      <c r="A12" s="21">
        <v>11</v>
      </c>
      <c r="B12" s="21" t="s">
        <v>32</v>
      </c>
      <c r="C12" s="21" t="s">
        <v>16</v>
      </c>
      <c r="D12" s="22">
        <v>5</v>
      </c>
      <c r="E12" s="21">
        <v>647695</v>
      </c>
      <c r="F12" s="21" t="s">
        <v>45</v>
      </c>
      <c r="G12" s="23">
        <v>42339</v>
      </c>
      <c r="H12" s="24" t="s">
        <v>54</v>
      </c>
      <c r="I12" s="21">
        <v>3501723818</v>
      </c>
    </row>
    <row r="13" spans="1:11" x14ac:dyDescent="0.25">
      <c r="A13" s="25">
        <v>6</v>
      </c>
      <c r="B13" s="25" t="s">
        <v>55</v>
      </c>
      <c r="C13" s="25" t="s">
        <v>33</v>
      </c>
      <c r="D13" s="26">
        <v>6.5875000000000004</v>
      </c>
      <c r="E13" s="25">
        <v>648535</v>
      </c>
      <c r="F13" s="25" t="s">
        <v>56</v>
      </c>
      <c r="G13" s="27">
        <v>42370</v>
      </c>
      <c r="H13" s="25" t="s">
        <v>57</v>
      </c>
      <c r="I13" s="25">
        <v>355123355</v>
      </c>
    </row>
    <row r="14" spans="1:11" x14ac:dyDescent="0.25">
      <c r="A14" s="25">
        <v>24</v>
      </c>
      <c r="B14" s="25" t="s">
        <v>58</v>
      </c>
      <c r="C14" s="25" t="s">
        <v>16</v>
      </c>
      <c r="D14" s="26">
        <v>0.15625</v>
      </c>
      <c r="E14" s="25">
        <v>648850</v>
      </c>
      <c r="F14" s="25" t="s">
        <v>36</v>
      </c>
      <c r="G14" s="27">
        <v>42370</v>
      </c>
      <c r="H14" s="25"/>
      <c r="I14" s="25"/>
    </row>
    <row r="15" spans="1:11" x14ac:dyDescent="0.25">
      <c r="A15" s="21">
        <v>30</v>
      </c>
      <c r="B15" s="21" t="s">
        <v>38</v>
      </c>
      <c r="C15" s="21" t="s">
        <v>42</v>
      </c>
      <c r="D15" s="22">
        <v>0.79999997</v>
      </c>
      <c r="E15" s="21">
        <v>649848</v>
      </c>
      <c r="F15" s="21" t="s">
        <v>45</v>
      </c>
      <c r="G15" s="23">
        <v>42401</v>
      </c>
      <c r="H15" s="24" t="s">
        <v>59</v>
      </c>
      <c r="I15" s="21"/>
    </row>
    <row r="16" spans="1:11" x14ac:dyDescent="0.25">
      <c r="A16" s="25">
        <v>36</v>
      </c>
      <c r="B16" s="25" t="s">
        <v>38</v>
      </c>
      <c r="C16" s="25" t="s">
        <v>33</v>
      </c>
      <c r="D16" s="26">
        <v>5</v>
      </c>
      <c r="E16" s="25">
        <v>650164</v>
      </c>
      <c r="F16" s="25" t="s">
        <v>45</v>
      </c>
      <c r="G16" s="27">
        <v>42401</v>
      </c>
      <c r="H16" s="25"/>
      <c r="I16" s="25"/>
    </row>
    <row r="17" spans="1:9" x14ac:dyDescent="0.25">
      <c r="A17" s="21">
        <v>17</v>
      </c>
      <c r="B17" s="21" t="s">
        <v>38</v>
      </c>
      <c r="C17" s="21" t="s">
        <v>42</v>
      </c>
      <c r="D17" s="22">
        <v>2.302899</v>
      </c>
      <c r="E17" s="21">
        <v>650608</v>
      </c>
      <c r="F17" s="21" t="s">
        <v>45</v>
      </c>
      <c r="G17" s="23">
        <v>42430</v>
      </c>
      <c r="H17" s="24" t="s">
        <v>60</v>
      </c>
      <c r="I17" s="21">
        <v>3501724908</v>
      </c>
    </row>
    <row r="18" spans="1:9" x14ac:dyDescent="0.25">
      <c r="A18" s="21">
        <v>28</v>
      </c>
      <c r="B18" s="21" t="s">
        <v>38</v>
      </c>
      <c r="C18" s="21" t="s">
        <v>42</v>
      </c>
      <c r="D18" s="22">
        <v>1.5999960000000002</v>
      </c>
      <c r="E18" s="21">
        <v>650611</v>
      </c>
      <c r="F18" s="21" t="s">
        <v>45</v>
      </c>
      <c r="G18" s="23">
        <v>42430</v>
      </c>
      <c r="H18" s="24" t="s">
        <v>61</v>
      </c>
      <c r="I18" s="21">
        <v>3505124019</v>
      </c>
    </row>
    <row r="19" spans="1:9" x14ac:dyDescent="0.25">
      <c r="A19" s="21">
        <v>5</v>
      </c>
      <c r="B19" s="21" t="s">
        <v>55</v>
      </c>
      <c r="C19" s="21" t="s">
        <v>42</v>
      </c>
      <c r="D19" s="22">
        <v>0.99999720000000036</v>
      </c>
      <c r="E19" s="21">
        <v>651857</v>
      </c>
      <c r="F19" s="21" t="s">
        <v>45</v>
      </c>
      <c r="G19" s="23">
        <v>42461</v>
      </c>
      <c r="H19" s="24" t="s">
        <v>62</v>
      </c>
      <c r="I19" s="21" t="s">
        <v>63</v>
      </c>
    </row>
    <row r="20" spans="1:9" x14ac:dyDescent="0.25">
      <c r="A20" s="21">
        <v>16</v>
      </c>
      <c r="B20" s="21" t="s">
        <v>64</v>
      </c>
      <c r="C20" s="21" t="s">
        <v>49</v>
      </c>
      <c r="D20" s="22">
        <v>2</v>
      </c>
      <c r="E20" s="21">
        <v>652174</v>
      </c>
      <c r="F20" s="21" t="s">
        <v>65</v>
      </c>
      <c r="G20" s="23">
        <v>42461</v>
      </c>
      <c r="H20" s="24" t="s">
        <v>66</v>
      </c>
      <c r="I20" s="21">
        <v>3508722037</v>
      </c>
    </row>
    <row r="21" spans="1:9" x14ac:dyDescent="0.25">
      <c r="A21" s="25">
        <v>32</v>
      </c>
      <c r="B21" s="25" t="s">
        <v>67</v>
      </c>
      <c r="C21" s="25" t="s">
        <v>49</v>
      </c>
      <c r="D21" s="26">
        <v>0.78125</v>
      </c>
      <c r="E21" s="25">
        <v>652203</v>
      </c>
      <c r="F21" s="25" t="s">
        <v>65</v>
      </c>
      <c r="G21" s="27">
        <v>42461</v>
      </c>
      <c r="H21" s="28" t="s">
        <v>68</v>
      </c>
      <c r="I21" s="25">
        <v>3508720737</v>
      </c>
    </row>
    <row r="22" spans="1:9" x14ac:dyDescent="0.25">
      <c r="A22" s="25">
        <v>24</v>
      </c>
      <c r="B22" s="25" t="s">
        <v>69</v>
      </c>
      <c r="C22" s="25" t="s">
        <v>49</v>
      </c>
      <c r="D22" s="26">
        <v>1</v>
      </c>
      <c r="E22" s="25">
        <v>652582</v>
      </c>
      <c r="F22" s="25" t="s">
        <v>65</v>
      </c>
      <c r="G22" s="27">
        <v>42491</v>
      </c>
      <c r="H22" s="28" t="s">
        <v>70</v>
      </c>
      <c r="I22" s="25">
        <v>3508722041</v>
      </c>
    </row>
    <row r="23" spans="1:9" x14ac:dyDescent="0.25">
      <c r="A23" s="25">
        <v>22</v>
      </c>
      <c r="B23" s="25" t="s">
        <v>69</v>
      </c>
      <c r="C23" s="25" t="s">
        <v>49</v>
      </c>
      <c r="D23" s="26">
        <v>0.28399999999999997</v>
      </c>
      <c r="E23" s="25">
        <v>652755</v>
      </c>
      <c r="F23" s="25" t="s">
        <v>65</v>
      </c>
      <c r="G23" s="27">
        <v>42491</v>
      </c>
      <c r="H23" s="28" t="s">
        <v>71</v>
      </c>
      <c r="I23" s="25">
        <v>3508722048</v>
      </c>
    </row>
    <row r="24" spans="1:9" x14ac:dyDescent="0.25">
      <c r="A24" s="25">
        <v>31</v>
      </c>
      <c r="B24" s="25" t="s">
        <v>38</v>
      </c>
      <c r="C24" s="25" t="s">
        <v>42</v>
      </c>
      <c r="D24" s="26">
        <v>2.27</v>
      </c>
      <c r="E24" s="25">
        <v>652962</v>
      </c>
      <c r="F24" s="25" t="s">
        <v>45</v>
      </c>
      <c r="G24" s="27">
        <v>42491</v>
      </c>
      <c r="H24" s="28" t="s">
        <v>72</v>
      </c>
      <c r="I24" s="25">
        <v>3505123395</v>
      </c>
    </row>
    <row r="25" spans="1:9" x14ac:dyDescent="0.25">
      <c r="A25" s="25">
        <v>21</v>
      </c>
      <c r="B25" s="25" t="s">
        <v>38</v>
      </c>
      <c r="C25" s="25" t="s">
        <v>42</v>
      </c>
      <c r="D25" s="26">
        <v>1.6667000000000001</v>
      </c>
      <c r="E25" s="25">
        <v>653077</v>
      </c>
      <c r="F25" s="25" t="s">
        <v>45</v>
      </c>
      <c r="G25" s="27">
        <v>42491</v>
      </c>
      <c r="H25" s="28" t="s">
        <v>73</v>
      </c>
      <c r="I25" s="25">
        <v>3501723686</v>
      </c>
    </row>
    <row r="26" spans="1:9" x14ac:dyDescent="0.25">
      <c r="A26" s="25">
        <v>27</v>
      </c>
      <c r="B26" s="25" t="s">
        <v>74</v>
      </c>
      <c r="C26" s="25" t="s">
        <v>33</v>
      </c>
      <c r="D26" s="26">
        <v>2</v>
      </c>
      <c r="E26" s="25">
        <v>653087</v>
      </c>
      <c r="F26" s="25" t="s">
        <v>75</v>
      </c>
      <c r="G26" s="27">
        <v>42491</v>
      </c>
      <c r="H26" s="28"/>
      <c r="I26" s="25"/>
    </row>
    <row r="27" spans="1:9" x14ac:dyDescent="0.25">
      <c r="A27" s="25">
        <v>26</v>
      </c>
      <c r="B27" s="25" t="s">
        <v>55</v>
      </c>
      <c r="C27" s="25" t="s">
        <v>42</v>
      </c>
      <c r="D27" s="26">
        <v>2.0417000000000001</v>
      </c>
      <c r="E27" s="25">
        <v>653781</v>
      </c>
      <c r="F27" s="25" t="s">
        <v>45</v>
      </c>
      <c r="G27" s="27">
        <v>42522</v>
      </c>
      <c r="H27" s="28"/>
      <c r="I27" s="25"/>
    </row>
    <row r="28" spans="1:9" x14ac:dyDescent="0.25">
      <c r="A28" s="25">
        <v>23</v>
      </c>
      <c r="B28" s="25" t="s">
        <v>58</v>
      </c>
      <c r="C28" s="25" t="s">
        <v>16</v>
      </c>
      <c r="D28" s="26">
        <v>2.5</v>
      </c>
      <c r="E28" s="25">
        <v>653815</v>
      </c>
      <c r="F28" s="25" t="s">
        <v>76</v>
      </c>
      <c r="G28" s="27">
        <v>42522</v>
      </c>
      <c r="H28" s="28"/>
      <c r="I28" s="25"/>
    </row>
    <row r="29" spans="1:9" x14ac:dyDescent="0.25">
      <c r="A29" s="25">
        <v>15</v>
      </c>
      <c r="B29" s="25" t="s">
        <v>38</v>
      </c>
      <c r="C29" s="25" t="s">
        <v>33</v>
      </c>
      <c r="D29" s="26">
        <v>1.737787</v>
      </c>
      <c r="E29" s="25">
        <v>653826</v>
      </c>
      <c r="F29" s="25" t="s">
        <v>45</v>
      </c>
      <c r="G29" s="27">
        <v>42522</v>
      </c>
      <c r="H29" s="28"/>
      <c r="I29" s="25"/>
    </row>
    <row r="30" spans="1:9" x14ac:dyDescent="0.25">
      <c r="A30" s="25">
        <v>22</v>
      </c>
      <c r="B30" s="25" t="s">
        <v>64</v>
      </c>
      <c r="C30" s="25" t="s">
        <v>49</v>
      </c>
      <c r="D30" s="26">
        <v>10</v>
      </c>
      <c r="E30" s="25">
        <v>654165</v>
      </c>
      <c r="F30" s="25" t="s">
        <v>76</v>
      </c>
      <c r="G30" s="27">
        <v>42552</v>
      </c>
      <c r="H30" s="28"/>
      <c r="I30" s="25"/>
    </row>
    <row r="31" spans="1:9" x14ac:dyDescent="0.25">
      <c r="A31" s="25">
        <v>8</v>
      </c>
      <c r="B31" s="25" t="s">
        <v>64</v>
      </c>
      <c r="C31" s="25" t="s">
        <v>49</v>
      </c>
      <c r="D31" s="26">
        <v>6.6666670000000003</v>
      </c>
      <c r="E31" s="25">
        <v>654166</v>
      </c>
      <c r="F31" s="25" t="s">
        <v>76</v>
      </c>
      <c r="G31" s="27">
        <v>42552</v>
      </c>
      <c r="H31" s="28"/>
      <c r="I31" s="25"/>
    </row>
    <row r="32" spans="1:9" x14ac:dyDescent="0.25">
      <c r="A32" s="25">
        <v>27</v>
      </c>
      <c r="B32" s="25" t="s">
        <v>32</v>
      </c>
      <c r="C32" s="25" t="s">
        <v>33</v>
      </c>
      <c r="D32" s="26">
        <v>24</v>
      </c>
      <c r="E32" s="25">
        <v>654833</v>
      </c>
      <c r="F32" s="25" t="s">
        <v>45</v>
      </c>
      <c r="G32" s="27">
        <v>42583</v>
      </c>
      <c r="H32" s="28"/>
      <c r="I32" s="25"/>
    </row>
    <row r="33" spans="1:9" x14ac:dyDescent="0.25">
      <c r="A33" s="25">
        <v>15</v>
      </c>
      <c r="B33" s="25" t="s">
        <v>32</v>
      </c>
      <c r="C33" s="25" t="s">
        <v>15</v>
      </c>
      <c r="D33" s="26">
        <v>5.625</v>
      </c>
      <c r="E33" s="25">
        <v>655349</v>
      </c>
      <c r="F33" s="25" t="s">
        <v>45</v>
      </c>
      <c r="G33" s="27">
        <v>42583</v>
      </c>
      <c r="H33" s="28"/>
      <c r="I33" s="25"/>
    </row>
    <row r="34" spans="1:9" x14ac:dyDescent="0.25">
      <c r="A34" s="25">
        <v>22</v>
      </c>
      <c r="B34" s="25" t="s">
        <v>32</v>
      </c>
      <c r="C34" s="25" t="s">
        <v>15</v>
      </c>
      <c r="D34" s="26">
        <v>1.1433300000000002</v>
      </c>
      <c r="E34" s="25">
        <v>655350</v>
      </c>
      <c r="F34" s="25" t="s">
        <v>45</v>
      </c>
      <c r="G34" s="27">
        <v>42583</v>
      </c>
      <c r="H34" s="28"/>
      <c r="I34" s="25"/>
    </row>
    <row r="35" spans="1:9" x14ac:dyDescent="0.25">
      <c r="A35" s="25">
        <v>27</v>
      </c>
      <c r="B35" s="25" t="s">
        <v>67</v>
      </c>
      <c r="C35" s="25" t="s">
        <v>42</v>
      </c>
      <c r="D35" s="26">
        <v>7.1857319999999998</v>
      </c>
      <c r="E35" s="25">
        <v>655545</v>
      </c>
      <c r="F35" s="25" t="s">
        <v>76</v>
      </c>
      <c r="G35" s="27">
        <v>42583</v>
      </c>
      <c r="H35" s="28"/>
      <c r="I35" s="25"/>
    </row>
    <row r="36" spans="1:9" x14ac:dyDescent="0.25">
      <c r="A36" s="25">
        <v>5</v>
      </c>
      <c r="B36" s="25" t="s">
        <v>38</v>
      </c>
      <c r="C36" s="25" t="s">
        <v>42</v>
      </c>
      <c r="D36" s="26">
        <v>118.26599999999999</v>
      </c>
      <c r="E36" s="25">
        <v>655589</v>
      </c>
      <c r="F36" s="25" t="s">
        <v>45</v>
      </c>
      <c r="G36" s="27">
        <v>42583</v>
      </c>
      <c r="H36" s="28"/>
      <c r="I36" s="25"/>
    </row>
    <row r="37" spans="1:9" x14ac:dyDescent="0.25">
      <c r="A37" s="25">
        <v>7</v>
      </c>
      <c r="B37" s="25" t="s">
        <v>38</v>
      </c>
      <c r="C37" s="25" t="s">
        <v>42</v>
      </c>
      <c r="D37" s="26">
        <v>120</v>
      </c>
      <c r="E37" s="25">
        <v>655819</v>
      </c>
      <c r="F37" s="25" t="s">
        <v>45</v>
      </c>
      <c r="G37" s="27">
        <v>42614</v>
      </c>
      <c r="H37" s="28"/>
      <c r="I37" s="25"/>
    </row>
    <row r="38" spans="1:9" x14ac:dyDescent="0.25">
      <c r="A38" s="25">
        <v>23</v>
      </c>
      <c r="B38" s="25" t="s">
        <v>55</v>
      </c>
      <c r="C38" s="25" t="s">
        <v>42</v>
      </c>
      <c r="D38" s="26">
        <v>7.875</v>
      </c>
      <c r="E38" s="25">
        <v>655948</v>
      </c>
      <c r="F38" s="25" t="s">
        <v>45</v>
      </c>
      <c r="G38" s="27">
        <v>42614</v>
      </c>
      <c r="H38" s="28"/>
      <c r="I38" s="25"/>
    </row>
    <row r="39" spans="1:9" x14ac:dyDescent="0.25">
      <c r="A39" s="25">
        <v>19</v>
      </c>
      <c r="B39" s="25" t="s">
        <v>69</v>
      </c>
      <c r="C39" s="25" t="s">
        <v>49</v>
      </c>
      <c r="D39" s="26">
        <v>5</v>
      </c>
      <c r="E39" s="25">
        <v>656379</v>
      </c>
      <c r="F39" s="25" t="s">
        <v>76</v>
      </c>
      <c r="G39" s="27">
        <v>42614</v>
      </c>
      <c r="H39" s="28"/>
      <c r="I39" s="25"/>
    </row>
    <row r="40" spans="1:9" x14ac:dyDescent="0.25">
      <c r="A40" s="25">
        <v>4</v>
      </c>
      <c r="B40" s="25" t="s">
        <v>64</v>
      </c>
      <c r="C40" s="25" t="s">
        <v>49</v>
      </c>
      <c r="D40" s="26">
        <v>3.125</v>
      </c>
      <c r="E40" s="25">
        <v>656593</v>
      </c>
      <c r="F40" s="25" t="s">
        <v>76</v>
      </c>
      <c r="G40" s="27">
        <v>42644</v>
      </c>
      <c r="H40" s="28"/>
      <c r="I40" s="25"/>
    </row>
    <row r="41" spans="1:9" x14ac:dyDescent="0.25">
      <c r="A41" s="25">
        <v>32</v>
      </c>
      <c r="B41" s="25" t="s">
        <v>69</v>
      </c>
      <c r="C41" s="25" t="s">
        <v>49</v>
      </c>
      <c r="D41" s="26">
        <v>10.125</v>
      </c>
      <c r="E41" s="25">
        <v>657003</v>
      </c>
      <c r="F41" s="25" t="s">
        <v>76</v>
      </c>
      <c r="G41" s="27">
        <v>42644</v>
      </c>
      <c r="H41" s="28"/>
      <c r="I41" s="25"/>
    </row>
    <row r="42" spans="1:9" x14ac:dyDescent="0.25">
      <c r="A42" s="25">
        <v>12</v>
      </c>
      <c r="B42" s="25" t="s">
        <v>64</v>
      </c>
      <c r="C42" s="25" t="s">
        <v>49</v>
      </c>
      <c r="D42" s="26">
        <v>5.8594E-2</v>
      </c>
      <c r="E42" s="25">
        <v>657010</v>
      </c>
      <c r="F42" s="25" t="s">
        <v>76</v>
      </c>
      <c r="G42" s="27">
        <v>42644</v>
      </c>
      <c r="H42" s="28"/>
      <c r="I42" s="25"/>
    </row>
    <row r="43" spans="1:9" x14ac:dyDescent="0.25">
      <c r="A43" s="25">
        <v>25</v>
      </c>
      <c r="B43" s="25" t="s">
        <v>69</v>
      </c>
      <c r="C43" s="25" t="s">
        <v>49</v>
      </c>
      <c r="D43" s="26">
        <v>0.41666999999999998</v>
      </c>
      <c r="E43" s="25">
        <v>657011</v>
      </c>
      <c r="F43" s="25" t="s">
        <v>76</v>
      </c>
      <c r="G43" s="27">
        <v>42644</v>
      </c>
      <c r="H43" s="28"/>
      <c r="I43" s="25"/>
    </row>
    <row r="44" spans="1:9" x14ac:dyDescent="0.25">
      <c r="A44" s="25">
        <v>18</v>
      </c>
      <c r="B44" s="25" t="s">
        <v>67</v>
      </c>
      <c r="C44" s="25" t="s">
        <v>42</v>
      </c>
      <c r="D44" s="26">
        <v>288.60333299999996</v>
      </c>
      <c r="E44" s="25">
        <v>657217</v>
      </c>
      <c r="F44" s="25" t="s">
        <v>76</v>
      </c>
      <c r="G44" s="27">
        <v>42644</v>
      </c>
      <c r="H44" s="28"/>
      <c r="I44" s="25"/>
    </row>
    <row r="45" spans="1:9" x14ac:dyDescent="0.25">
      <c r="A45" s="25">
        <v>7</v>
      </c>
      <c r="B45" s="25" t="s">
        <v>55</v>
      </c>
      <c r="C45" s="25" t="s">
        <v>33</v>
      </c>
      <c r="D45" s="26">
        <v>1.210002</v>
      </c>
      <c r="E45" s="25">
        <v>657456</v>
      </c>
      <c r="F45" s="25" t="s">
        <v>45</v>
      </c>
      <c r="G45" s="27">
        <v>42644</v>
      </c>
      <c r="H45" s="28"/>
      <c r="I45" s="25"/>
    </row>
    <row r="46" spans="1:9" x14ac:dyDescent="0.25">
      <c r="A46" s="25">
        <v>7</v>
      </c>
      <c r="B46" s="25" t="s">
        <v>67</v>
      </c>
      <c r="C46" s="25" t="s">
        <v>42</v>
      </c>
      <c r="D46" s="26">
        <v>9.3648000000000007</v>
      </c>
      <c r="E46" s="25">
        <v>657712</v>
      </c>
      <c r="F46" s="25" t="s">
        <v>76</v>
      </c>
      <c r="G46" s="27">
        <v>42675</v>
      </c>
      <c r="H46" s="28"/>
      <c r="I46" s="25"/>
    </row>
    <row r="47" spans="1:9" x14ac:dyDescent="0.25">
      <c r="A47" s="25">
        <v>33</v>
      </c>
      <c r="B47" s="25" t="s">
        <v>55</v>
      </c>
      <c r="C47" s="25" t="s">
        <v>42</v>
      </c>
      <c r="D47" s="26">
        <v>497.923361</v>
      </c>
      <c r="E47" s="25">
        <v>657883</v>
      </c>
      <c r="F47" s="25" t="s">
        <v>77</v>
      </c>
      <c r="G47" s="27">
        <v>42675</v>
      </c>
      <c r="H47" s="28"/>
      <c r="I47" s="25"/>
    </row>
    <row r="48" spans="1:9" x14ac:dyDescent="0.25">
      <c r="A48" s="25">
        <v>21</v>
      </c>
      <c r="B48" s="25" t="s">
        <v>55</v>
      </c>
      <c r="C48" s="25" t="s">
        <v>42</v>
      </c>
      <c r="D48" s="26">
        <v>7.9399999999999998E-2</v>
      </c>
      <c r="E48" s="25">
        <v>658049</v>
      </c>
      <c r="F48" s="25" t="s">
        <v>78</v>
      </c>
      <c r="G48" s="27">
        <v>42675</v>
      </c>
      <c r="H48" s="28"/>
      <c r="I48" s="25"/>
    </row>
    <row r="49" spans="1:9" x14ac:dyDescent="0.25">
      <c r="A49" s="25">
        <v>13</v>
      </c>
      <c r="B49" s="25" t="s">
        <v>58</v>
      </c>
      <c r="C49" s="25" t="s">
        <v>16</v>
      </c>
      <c r="D49" s="26">
        <v>0.27778000000000003</v>
      </c>
      <c r="E49" s="25">
        <v>658170</v>
      </c>
      <c r="F49" s="25" t="s">
        <v>79</v>
      </c>
      <c r="G49" s="27">
        <v>42675</v>
      </c>
      <c r="H49" s="28"/>
      <c r="I49" s="25"/>
    </row>
    <row r="50" spans="1:9" x14ac:dyDescent="0.25">
      <c r="A50" s="25">
        <v>4</v>
      </c>
      <c r="B50" s="25" t="s">
        <v>55</v>
      </c>
      <c r="C50" s="25" t="s">
        <v>42</v>
      </c>
      <c r="D50" s="26">
        <v>0.3332</v>
      </c>
      <c r="E50" s="25">
        <v>658940</v>
      </c>
      <c r="F50" s="25" t="s">
        <v>45</v>
      </c>
      <c r="G50" s="27">
        <v>42705</v>
      </c>
      <c r="H50" s="28"/>
      <c r="I50" s="25"/>
    </row>
    <row r="51" spans="1:9" x14ac:dyDescent="0.25">
      <c r="A51" s="25">
        <v>12</v>
      </c>
      <c r="B51" s="25" t="s">
        <v>38</v>
      </c>
      <c r="C51" s="25" t="s">
        <v>33</v>
      </c>
      <c r="D51" s="26">
        <v>20.0001</v>
      </c>
      <c r="E51" s="25">
        <v>658951</v>
      </c>
      <c r="F51" s="25" t="s">
        <v>78</v>
      </c>
      <c r="G51" s="27">
        <v>42705</v>
      </c>
      <c r="H51" s="28"/>
      <c r="I51" s="25"/>
    </row>
    <row r="52" spans="1:9" x14ac:dyDescent="0.25">
      <c r="A52" s="25">
        <v>9</v>
      </c>
      <c r="B52" s="25" t="s">
        <v>32</v>
      </c>
      <c r="C52" s="25" t="s">
        <v>33</v>
      </c>
      <c r="D52" s="26">
        <v>531.39536500000008</v>
      </c>
      <c r="E52" s="25">
        <v>659372</v>
      </c>
      <c r="F52" s="25" t="s">
        <v>80</v>
      </c>
      <c r="G52" s="27">
        <v>42705</v>
      </c>
      <c r="H52" s="28"/>
      <c r="I52" s="25"/>
    </row>
    <row r="53" spans="1:9" x14ac:dyDescent="0.25">
      <c r="A53" s="25">
        <v>29</v>
      </c>
      <c r="B53" s="25" t="s">
        <v>52</v>
      </c>
      <c r="C53" s="25" t="s">
        <v>15</v>
      </c>
      <c r="D53" s="26">
        <v>2.5</v>
      </c>
      <c r="E53" s="25">
        <v>659555</v>
      </c>
      <c r="F53" s="25" t="s">
        <v>81</v>
      </c>
      <c r="G53" s="27">
        <v>42736</v>
      </c>
      <c r="H53" s="28"/>
      <c r="I53" s="25"/>
    </row>
    <row r="54" spans="1:9" x14ac:dyDescent="0.25">
      <c r="A54" s="25">
        <v>8</v>
      </c>
      <c r="B54" s="25" t="s">
        <v>38</v>
      </c>
      <c r="C54" s="25" t="s">
        <v>42</v>
      </c>
      <c r="D54" s="26">
        <v>179.19133700000003</v>
      </c>
      <c r="E54" s="25">
        <v>659606</v>
      </c>
      <c r="F54" s="25" t="s">
        <v>45</v>
      </c>
      <c r="G54" s="27">
        <v>42736</v>
      </c>
      <c r="H54" s="28"/>
      <c r="I54" s="25"/>
    </row>
    <row r="55" spans="1:9" x14ac:dyDescent="0.25">
      <c r="A55" s="25">
        <v>15</v>
      </c>
      <c r="B55" s="25" t="s">
        <v>32</v>
      </c>
      <c r="C55" s="25" t="s">
        <v>33</v>
      </c>
      <c r="D55" s="26">
        <v>62.857141999999996</v>
      </c>
      <c r="E55" s="25">
        <v>659614</v>
      </c>
      <c r="F55" s="25" t="s">
        <v>45</v>
      </c>
      <c r="G55" s="27">
        <v>42736</v>
      </c>
      <c r="H55" s="28"/>
      <c r="I55" s="25"/>
    </row>
    <row r="56" spans="1:9" x14ac:dyDescent="0.25">
      <c r="A56" s="25">
        <v>22</v>
      </c>
      <c r="B56" s="25" t="s">
        <v>67</v>
      </c>
      <c r="C56" s="25" t="s">
        <v>42</v>
      </c>
      <c r="D56" s="26">
        <v>11.875</v>
      </c>
      <c r="E56" s="25">
        <v>659621</v>
      </c>
      <c r="F56" s="25" t="s">
        <v>76</v>
      </c>
      <c r="G56" s="27">
        <v>42736</v>
      </c>
      <c r="H56" s="28" t="s">
        <v>82</v>
      </c>
      <c r="I56" s="25">
        <v>3505124042</v>
      </c>
    </row>
    <row r="57" spans="1:9" x14ac:dyDescent="0.25">
      <c r="A57" s="25">
        <v>36</v>
      </c>
      <c r="B57" s="25" t="s">
        <v>38</v>
      </c>
      <c r="C57" s="25" t="s">
        <v>16</v>
      </c>
      <c r="D57" s="26">
        <v>538.83455100000003</v>
      </c>
      <c r="E57" s="25">
        <v>660159</v>
      </c>
      <c r="F57" s="25" t="s">
        <v>83</v>
      </c>
      <c r="G57" s="27">
        <v>42736</v>
      </c>
      <c r="H57" s="28"/>
      <c r="I57" s="25"/>
    </row>
    <row r="58" spans="1:9" x14ac:dyDescent="0.25">
      <c r="A58" s="25">
        <v>11</v>
      </c>
      <c r="B58" s="25" t="s">
        <v>67</v>
      </c>
      <c r="C58" s="25" t="s">
        <v>42</v>
      </c>
      <c r="D58" s="26">
        <v>2.5</v>
      </c>
      <c r="E58" s="25">
        <v>660693</v>
      </c>
      <c r="F58" s="25" t="s">
        <v>56</v>
      </c>
      <c r="G58" s="27">
        <v>42767</v>
      </c>
      <c r="H58" s="28"/>
      <c r="I58" s="25"/>
    </row>
    <row r="59" spans="1:9" x14ac:dyDescent="0.25">
      <c r="A59" s="25">
        <v>28</v>
      </c>
      <c r="B59" s="25" t="s">
        <v>32</v>
      </c>
      <c r="C59" s="25" t="s">
        <v>15</v>
      </c>
      <c r="D59" s="26">
        <v>33.6</v>
      </c>
      <c r="E59" s="25">
        <v>661067</v>
      </c>
      <c r="F59" s="25" t="s">
        <v>84</v>
      </c>
      <c r="G59" s="27">
        <v>42767</v>
      </c>
      <c r="H59" s="28"/>
      <c r="I59" s="25"/>
    </row>
    <row r="60" spans="1:9" x14ac:dyDescent="0.25">
      <c r="A60" s="25">
        <v>16</v>
      </c>
      <c r="B60" s="25" t="s">
        <v>52</v>
      </c>
      <c r="C60" s="25" t="s">
        <v>16</v>
      </c>
      <c r="D60" s="26">
        <v>415.13225999999997</v>
      </c>
      <c r="E60" s="25">
        <v>661526</v>
      </c>
      <c r="F60" s="25" t="s">
        <v>85</v>
      </c>
      <c r="G60" s="27">
        <v>42795</v>
      </c>
      <c r="H60" s="28"/>
      <c r="I60" s="25"/>
    </row>
    <row r="61" spans="1:9" x14ac:dyDescent="0.25">
      <c r="A61" s="25">
        <v>3</v>
      </c>
      <c r="B61" s="25" t="s">
        <v>38</v>
      </c>
      <c r="C61" s="25" t="s">
        <v>16</v>
      </c>
      <c r="D61" s="26">
        <v>102.46069999999999</v>
      </c>
      <c r="E61" s="25">
        <v>661551</v>
      </c>
      <c r="F61" s="25" t="s">
        <v>45</v>
      </c>
      <c r="G61" s="27">
        <v>42795</v>
      </c>
      <c r="H61" s="28"/>
      <c r="I61" s="25"/>
    </row>
    <row r="62" spans="1:9" x14ac:dyDescent="0.25">
      <c r="A62" s="25">
        <v>11</v>
      </c>
      <c r="B62" s="25" t="s">
        <v>32</v>
      </c>
      <c r="C62" s="25" t="s">
        <v>33</v>
      </c>
      <c r="D62" s="26">
        <v>1.6667000000000001</v>
      </c>
      <c r="E62" s="25">
        <v>662033</v>
      </c>
      <c r="F62" s="25" t="s">
        <v>45</v>
      </c>
      <c r="G62" s="27">
        <v>42795</v>
      </c>
      <c r="H62" s="28"/>
      <c r="I62" s="25"/>
    </row>
    <row r="63" spans="1:9" x14ac:dyDescent="0.25">
      <c r="A63" s="25">
        <v>20</v>
      </c>
      <c r="B63" s="25" t="s">
        <v>52</v>
      </c>
      <c r="C63" s="25" t="s">
        <v>16</v>
      </c>
      <c r="D63" s="26">
        <v>406.19189000000011</v>
      </c>
      <c r="E63" s="25">
        <v>662190</v>
      </c>
      <c r="F63" s="25" t="s">
        <v>85</v>
      </c>
      <c r="G63" s="27">
        <v>42795</v>
      </c>
      <c r="H63" s="28"/>
      <c r="I63" s="25"/>
    </row>
    <row r="64" spans="1:9" x14ac:dyDescent="0.25">
      <c r="A64" s="25">
        <v>1</v>
      </c>
      <c r="B64" s="25" t="s">
        <v>55</v>
      </c>
      <c r="C64" s="25" t="s">
        <v>33</v>
      </c>
      <c r="D64" s="26">
        <v>4.1683000000000003</v>
      </c>
      <c r="E64" s="25">
        <v>662834</v>
      </c>
      <c r="F64" s="25" t="s">
        <v>43</v>
      </c>
      <c r="G64" s="27">
        <v>42826</v>
      </c>
      <c r="H64" s="28" t="s">
        <v>86</v>
      </c>
      <c r="I64" s="25">
        <v>3505124003</v>
      </c>
    </row>
    <row r="65" spans="1:14" x14ac:dyDescent="0.25">
      <c r="A65" s="25">
        <v>9</v>
      </c>
      <c r="B65" s="25" t="s">
        <v>38</v>
      </c>
      <c r="C65" s="25" t="s">
        <v>15</v>
      </c>
      <c r="D65" s="26">
        <v>11.95</v>
      </c>
      <c r="E65" s="25">
        <v>663439</v>
      </c>
      <c r="F65" s="25" t="s">
        <v>84</v>
      </c>
      <c r="G65" s="27">
        <v>42856</v>
      </c>
      <c r="H65" s="28" t="s">
        <v>87</v>
      </c>
      <c r="I65" s="25">
        <v>3505124126</v>
      </c>
    </row>
    <row r="66" spans="1:14" x14ac:dyDescent="0.25">
      <c r="A66" s="25">
        <v>16</v>
      </c>
      <c r="B66" s="25" t="s">
        <v>32</v>
      </c>
      <c r="C66" s="25" t="s">
        <v>15</v>
      </c>
      <c r="D66" s="26">
        <v>5</v>
      </c>
      <c r="E66" s="25">
        <v>201505077</v>
      </c>
      <c r="F66" s="25" t="s">
        <v>36</v>
      </c>
      <c r="G66" s="27">
        <v>42278</v>
      </c>
      <c r="H66" s="25"/>
      <c r="I66" s="25"/>
    </row>
    <row r="67" spans="1:14" x14ac:dyDescent="0.25">
      <c r="A67" s="25">
        <v>3</v>
      </c>
      <c r="B67" s="25" t="s">
        <v>32</v>
      </c>
      <c r="C67" s="25" t="s">
        <v>33</v>
      </c>
      <c r="D67" s="26">
        <v>240</v>
      </c>
      <c r="E67" s="25">
        <v>201600063</v>
      </c>
      <c r="F67" s="25" t="s">
        <v>80</v>
      </c>
      <c r="G67" s="27">
        <v>42370</v>
      </c>
      <c r="H67" s="25"/>
      <c r="I67" s="25"/>
    </row>
    <row r="68" spans="1:14" x14ac:dyDescent="0.25">
      <c r="A68" s="25">
        <v>19</v>
      </c>
      <c r="B68" s="25" t="s">
        <v>55</v>
      </c>
      <c r="C68" s="25" t="s">
        <v>42</v>
      </c>
      <c r="D68" s="26">
        <v>4.1494</v>
      </c>
      <c r="E68" s="25">
        <v>201600083</v>
      </c>
      <c r="F68" s="25" t="s">
        <v>43</v>
      </c>
      <c r="G68" s="27">
        <v>42370</v>
      </c>
      <c r="H68" s="25"/>
      <c r="I68" s="25"/>
    </row>
    <row r="69" spans="1:14" x14ac:dyDescent="0.25">
      <c r="A69" s="25">
        <v>15</v>
      </c>
      <c r="B69" s="25" t="s">
        <v>38</v>
      </c>
      <c r="C69" s="25" t="s">
        <v>15</v>
      </c>
      <c r="D69" s="26">
        <v>144.94454300000001</v>
      </c>
      <c r="E69" s="25">
        <v>201601375</v>
      </c>
      <c r="F69" s="25" t="s">
        <v>80</v>
      </c>
      <c r="G69" s="27">
        <v>42461</v>
      </c>
      <c r="H69" s="25"/>
      <c r="I69" s="25"/>
    </row>
    <row r="70" spans="1:14" x14ac:dyDescent="0.25">
      <c r="A70" s="25">
        <v>26</v>
      </c>
      <c r="B70" s="25" t="s">
        <v>67</v>
      </c>
      <c r="C70" s="25" t="s">
        <v>49</v>
      </c>
      <c r="D70" s="26">
        <v>3.5</v>
      </c>
      <c r="E70" s="25">
        <v>201601692</v>
      </c>
      <c r="F70" s="25" t="s">
        <v>88</v>
      </c>
      <c r="G70" s="27">
        <v>42491</v>
      </c>
      <c r="H70" s="25"/>
      <c r="I70" s="25"/>
    </row>
    <row r="71" spans="1:14" x14ac:dyDescent="0.25">
      <c r="A71" s="25">
        <v>1</v>
      </c>
      <c r="B71" s="25" t="s">
        <v>38</v>
      </c>
      <c r="C71" s="25" t="s">
        <v>33</v>
      </c>
      <c r="D71" s="26">
        <v>1.97725</v>
      </c>
      <c r="E71" s="25">
        <v>201601734</v>
      </c>
      <c r="F71" s="25" t="s">
        <v>43</v>
      </c>
      <c r="G71" s="27">
        <v>42491</v>
      </c>
      <c r="H71" s="25"/>
      <c r="I71" s="25"/>
    </row>
    <row r="72" spans="1:14" ht="30" x14ac:dyDescent="0.25">
      <c r="A72" s="25">
        <v>13</v>
      </c>
      <c r="B72" s="25" t="s">
        <v>55</v>
      </c>
      <c r="C72" s="25" t="s">
        <v>33</v>
      </c>
      <c r="D72" s="26">
        <v>0.85009999999999997</v>
      </c>
      <c r="E72" s="25">
        <v>201602911</v>
      </c>
      <c r="F72" s="25" t="s">
        <v>89</v>
      </c>
      <c r="G72" s="27" t="s">
        <v>90</v>
      </c>
      <c r="H72" s="25"/>
      <c r="I72" s="25"/>
      <c r="M72" s="20" t="s">
        <v>91</v>
      </c>
      <c r="N72" s="20" t="s">
        <v>92</v>
      </c>
    </row>
    <row r="73" spans="1:14" x14ac:dyDescent="0.25">
      <c r="A73" s="25">
        <v>31</v>
      </c>
      <c r="B73" s="25" t="s">
        <v>32</v>
      </c>
      <c r="C73" s="25" t="s">
        <v>15</v>
      </c>
      <c r="D73" s="26">
        <v>6</v>
      </c>
      <c r="E73" s="25">
        <v>201603575</v>
      </c>
      <c r="F73" s="25" t="s">
        <v>43</v>
      </c>
      <c r="G73" s="27">
        <v>42583</v>
      </c>
      <c r="H73" s="25"/>
      <c r="I73" s="25"/>
      <c r="M73" s="29">
        <f>SUM(D66:D122)</f>
        <v>6775.8650461000016</v>
      </c>
      <c r="N73" s="20">
        <f>M73*0.01</f>
        <v>67.758650461000016</v>
      </c>
    </row>
    <row r="74" spans="1:14" x14ac:dyDescent="0.25">
      <c r="A74" s="25">
        <v>22</v>
      </c>
      <c r="B74" s="25" t="s">
        <v>32</v>
      </c>
      <c r="C74" s="25" t="s">
        <v>33</v>
      </c>
      <c r="D74" s="26">
        <v>14.833333</v>
      </c>
      <c r="E74" s="25">
        <v>201604032</v>
      </c>
      <c r="F74" s="25" t="s">
        <v>43</v>
      </c>
      <c r="G74" s="27">
        <v>42614</v>
      </c>
      <c r="H74" s="25"/>
      <c r="I74" s="25"/>
    </row>
    <row r="75" spans="1:14" x14ac:dyDescent="0.25">
      <c r="A75" s="25">
        <v>7</v>
      </c>
      <c r="B75" s="25" t="s">
        <v>32</v>
      </c>
      <c r="C75" s="25" t="s">
        <v>33</v>
      </c>
      <c r="D75" s="26">
        <v>21.5</v>
      </c>
      <c r="E75" s="25">
        <v>201605410</v>
      </c>
      <c r="F75" s="25" t="s">
        <v>93</v>
      </c>
      <c r="G75" s="27">
        <v>42675</v>
      </c>
      <c r="H75" s="25"/>
      <c r="I75" s="25"/>
    </row>
    <row r="76" spans="1:14" x14ac:dyDescent="0.25">
      <c r="A76" s="25">
        <v>24</v>
      </c>
      <c r="B76" s="25" t="s">
        <v>32</v>
      </c>
      <c r="C76" s="25" t="s">
        <v>33</v>
      </c>
      <c r="D76" s="26">
        <v>500.93279900000005</v>
      </c>
      <c r="E76" s="25">
        <v>201605834</v>
      </c>
      <c r="F76" s="25" t="s">
        <v>85</v>
      </c>
      <c r="G76" s="27">
        <v>42705</v>
      </c>
      <c r="H76" s="25"/>
      <c r="I76" s="25"/>
    </row>
    <row r="77" spans="1:14" x14ac:dyDescent="0.25">
      <c r="A77" s="25">
        <v>25</v>
      </c>
      <c r="B77" s="25" t="s">
        <v>32</v>
      </c>
      <c r="C77" s="25" t="s">
        <v>33</v>
      </c>
      <c r="D77" s="26">
        <v>591.19819700000005</v>
      </c>
      <c r="E77" s="25">
        <v>201605970</v>
      </c>
      <c r="F77" s="25" t="s">
        <v>85</v>
      </c>
      <c r="G77" s="27">
        <v>42705</v>
      </c>
      <c r="H77" s="25"/>
      <c r="I77" s="25"/>
    </row>
    <row r="78" spans="1:14" x14ac:dyDescent="0.25">
      <c r="A78" s="25">
        <v>4</v>
      </c>
      <c r="B78" s="25" t="s">
        <v>32</v>
      </c>
      <c r="C78" s="25" t="s">
        <v>33</v>
      </c>
      <c r="D78" s="26">
        <v>37.494999999999997</v>
      </c>
      <c r="E78" s="25">
        <v>201700121</v>
      </c>
      <c r="F78" s="25" t="s">
        <v>34</v>
      </c>
      <c r="G78" s="27">
        <v>42736</v>
      </c>
      <c r="H78" s="25"/>
      <c r="I78" s="25"/>
    </row>
    <row r="79" spans="1:14" x14ac:dyDescent="0.25">
      <c r="A79" s="25">
        <v>17</v>
      </c>
      <c r="B79" s="25" t="s">
        <v>38</v>
      </c>
      <c r="C79" s="25" t="s">
        <v>15</v>
      </c>
      <c r="D79" s="26">
        <v>5</v>
      </c>
      <c r="E79" s="25">
        <v>201700470</v>
      </c>
      <c r="F79" s="25" t="s">
        <v>94</v>
      </c>
      <c r="G79" s="27">
        <v>42795</v>
      </c>
      <c r="H79" s="25"/>
      <c r="I79" s="25"/>
    </row>
    <row r="80" spans="1:14" x14ac:dyDescent="0.25">
      <c r="A80" s="25">
        <v>2</v>
      </c>
      <c r="B80" s="25" t="s">
        <v>38</v>
      </c>
      <c r="C80" s="25" t="s">
        <v>15</v>
      </c>
      <c r="D80" s="26">
        <v>18.16452</v>
      </c>
      <c r="E80" s="25">
        <v>201700524</v>
      </c>
      <c r="F80" s="25" t="s">
        <v>34</v>
      </c>
      <c r="G80" s="27">
        <v>42767</v>
      </c>
      <c r="H80" s="25"/>
      <c r="I80" s="25"/>
    </row>
    <row r="81" spans="1:9" x14ac:dyDescent="0.25">
      <c r="A81" s="25">
        <v>25</v>
      </c>
      <c r="B81" s="25" t="s">
        <v>52</v>
      </c>
      <c r="C81" s="25" t="s">
        <v>33</v>
      </c>
      <c r="D81" s="26">
        <v>274.66666000000004</v>
      </c>
      <c r="E81" s="25">
        <v>201700719</v>
      </c>
      <c r="F81" s="25" t="s">
        <v>85</v>
      </c>
      <c r="G81" s="27">
        <v>42767</v>
      </c>
      <c r="H81" s="25"/>
      <c r="I81" s="25"/>
    </row>
    <row r="82" spans="1:9" x14ac:dyDescent="0.25">
      <c r="A82" s="25">
        <v>24</v>
      </c>
      <c r="B82" s="25" t="s">
        <v>52</v>
      </c>
      <c r="C82" s="25" t="s">
        <v>33</v>
      </c>
      <c r="D82" s="26">
        <v>160</v>
      </c>
      <c r="E82" s="25">
        <v>201700900</v>
      </c>
      <c r="F82" s="25" t="s">
        <v>85</v>
      </c>
      <c r="G82" s="27">
        <v>42767</v>
      </c>
      <c r="H82" s="25"/>
      <c r="I82" s="25"/>
    </row>
    <row r="83" spans="1:9" x14ac:dyDescent="0.25">
      <c r="A83" s="25">
        <v>10</v>
      </c>
      <c r="B83" s="25" t="s">
        <v>38</v>
      </c>
      <c r="C83" s="25" t="s">
        <v>15</v>
      </c>
      <c r="D83" s="26">
        <v>53.34</v>
      </c>
      <c r="E83" s="25">
        <v>201701386</v>
      </c>
      <c r="F83" s="25" t="s">
        <v>34</v>
      </c>
      <c r="G83" s="27">
        <v>42795</v>
      </c>
      <c r="H83" s="25"/>
      <c r="I83" s="25"/>
    </row>
    <row r="84" spans="1:9" x14ac:dyDescent="0.25">
      <c r="A84" s="25">
        <v>21</v>
      </c>
      <c r="B84" s="25" t="s">
        <v>64</v>
      </c>
      <c r="C84" s="25" t="s">
        <v>49</v>
      </c>
      <c r="D84" s="26">
        <v>7.1951619999999998</v>
      </c>
      <c r="E84" s="25">
        <v>201701631</v>
      </c>
      <c r="F84" s="25" t="s">
        <v>95</v>
      </c>
      <c r="G84" s="27">
        <v>42795</v>
      </c>
      <c r="H84" s="25"/>
      <c r="I84" s="25"/>
    </row>
    <row r="85" spans="1:9" x14ac:dyDescent="0.25">
      <c r="A85" s="25">
        <v>32</v>
      </c>
      <c r="B85" s="25" t="s">
        <v>52</v>
      </c>
      <c r="C85" s="25" t="s">
        <v>33</v>
      </c>
      <c r="D85" s="26">
        <v>225.755</v>
      </c>
      <c r="E85" s="25">
        <v>201701705</v>
      </c>
      <c r="F85" s="25" t="s">
        <v>93</v>
      </c>
      <c r="G85" s="27">
        <v>42795</v>
      </c>
      <c r="H85" s="25"/>
      <c r="I85" s="25"/>
    </row>
    <row r="86" spans="1:9" x14ac:dyDescent="0.25">
      <c r="A86" s="25">
        <v>26</v>
      </c>
      <c r="B86" s="25" t="s">
        <v>32</v>
      </c>
      <c r="C86" s="25" t="s">
        <v>33</v>
      </c>
      <c r="D86" s="26">
        <v>150.5164</v>
      </c>
      <c r="E86" s="25">
        <v>201701714</v>
      </c>
      <c r="F86" s="25" t="s">
        <v>85</v>
      </c>
      <c r="G86" s="27">
        <v>42795</v>
      </c>
      <c r="H86" s="25"/>
      <c r="I86" s="25"/>
    </row>
    <row r="87" spans="1:9" x14ac:dyDescent="0.25">
      <c r="A87" s="25">
        <v>28</v>
      </c>
      <c r="B87" s="25" t="s">
        <v>52</v>
      </c>
      <c r="C87" s="25" t="s">
        <v>33</v>
      </c>
      <c r="D87" s="26">
        <v>160.00999999999996</v>
      </c>
      <c r="E87" s="25">
        <v>201701763</v>
      </c>
      <c r="F87" s="25" t="s">
        <v>93</v>
      </c>
      <c r="G87" s="27">
        <v>42826</v>
      </c>
      <c r="H87" s="25"/>
      <c r="I87" s="25"/>
    </row>
    <row r="88" spans="1:9" x14ac:dyDescent="0.25">
      <c r="A88" s="25">
        <v>6</v>
      </c>
      <c r="B88" s="25" t="s">
        <v>67</v>
      </c>
      <c r="C88" s="25" t="s">
        <v>33</v>
      </c>
      <c r="D88" s="26">
        <v>22.4</v>
      </c>
      <c r="E88" s="25">
        <v>201701950</v>
      </c>
      <c r="F88" s="25" t="s">
        <v>93</v>
      </c>
      <c r="G88" s="27">
        <v>42826</v>
      </c>
      <c r="H88" s="25"/>
      <c r="I88" s="25"/>
    </row>
    <row r="89" spans="1:9" x14ac:dyDescent="0.25">
      <c r="A89" s="25">
        <v>7</v>
      </c>
      <c r="B89" s="25" t="s">
        <v>67</v>
      </c>
      <c r="C89" s="25" t="s">
        <v>33</v>
      </c>
      <c r="D89" s="26">
        <v>85.719116600000007</v>
      </c>
      <c r="E89" s="25">
        <v>201701951</v>
      </c>
      <c r="F89" s="25" t="s">
        <v>93</v>
      </c>
      <c r="G89" s="27">
        <v>42826</v>
      </c>
      <c r="H89" s="25"/>
      <c r="I89" s="25"/>
    </row>
    <row r="90" spans="1:9" x14ac:dyDescent="0.25">
      <c r="A90" s="25">
        <v>21</v>
      </c>
      <c r="B90" s="25" t="s">
        <v>55</v>
      </c>
      <c r="C90" s="25" t="s">
        <v>16</v>
      </c>
      <c r="D90" s="26">
        <v>10</v>
      </c>
      <c r="E90" s="25">
        <v>201702329</v>
      </c>
      <c r="F90" s="25" t="s">
        <v>96</v>
      </c>
      <c r="G90" s="27">
        <v>42826</v>
      </c>
      <c r="H90" s="25"/>
      <c r="I90" s="25"/>
    </row>
    <row r="91" spans="1:9" x14ac:dyDescent="0.25">
      <c r="A91" s="25">
        <v>13</v>
      </c>
      <c r="B91" s="25" t="s">
        <v>32</v>
      </c>
      <c r="C91" s="25" t="s">
        <v>33</v>
      </c>
      <c r="D91" s="26">
        <v>0.20940600000000001</v>
      </c>
      <c r="E91" s="25">
        <v>201702387</v>
      </c>
      <c r="F91" s="25" t="s">
        <v>43</v>
      </c>
      <c r="G91" s="27">
        <v>42856</v>
      </c>
      <c r="H91" s="25"/>
      <c r="I91" s="25"/>
    </row>
    <row r="92" spans="1:9" x14ac:dyDescent="0.25">
      <c r="A92" s="25">
        <v>1</v>
      </c>
      <c r="B92" s="25" t="s">
        <v>67</v>
      </c>
      <c r="C92" s="25" t="s">
        <v>42</v>
      </c>
      <c r="D92" s="26">
        <v>141.59719299999998</v>
      </c>
      <c r="E92" s="25">
        <v>201702422</v>
      </c>
      <c r="F92" s="25" t="s">
        <v>65</v>
      </c>
      <c r="G92" s="27">
        <v>42856</v>
      </c>
      <c r="H92" s="25"/>
      <c r="I92" s="25"/>
    </row>
    <row r="93" spans="1:9" x14ac:dyDescent="0.25">
      <c r="A93" s="25">
        <v>10</v>
      </c>
      <c r="B93" s="25" t="s">
        <v>55</v>
      </c>
      <c r="C93" s="25" t="s">
        <v>16</v>
      </c>
      <c r="D93" s="26">
        <v>64.0625</v>
      </c>
      <c r="E93" s="25">
        <v>201702450</v>
      </c>
      <c r="F93" s="25" t="s">
        <v>97</v>
      </c>
      <c r="G93" s="27">
        <v>42826</v>
      </c>
      <c r="H93" s="25"/>
      <c r="I93" s="25"/>
    </row>
    <row r="94" spans="1:9" x14ac:dyDescent="0.25">
      <c r="A94" s="25">
        <v>12</v>
      </c>
      <c r="B94" s="25" t="s">
        <v>67</v>
      </c>
      <c r="C94" s="25" t="s">
        <v>42</v>
      </c>
      <c r="D94" s="26">
        <v>114.26388799999999</v>
      </c>
      <c r="E94" s="25">
        <v>201702468</v>
      </c>
      <c r="F94" s="25" t="s">
        <v>65</v>
      </c>
      <c r="G94" s="27">
        <v>42856</v>
      </c>
      <c r="H94" s="25"/>
      <c r="I94" s="25"/>
    </row>
    <row r="95" spans="1:9" x14ac:dyDescent="0.25">
      <c r="A95" s="25">
        <v>26</v>
      </c>
      <c r="B95" s="25" t="s">
        <v>55</v>
      </c>
      <c r="C95" s="25" t="s">
        <v>16</v>
      </c>
      <c r="D95" s="26">
        <v>19</v>
      </c>
      <c r="E95" s="25">
        <v>201702563</v>
      </c>
      <c r="F95" s="25" t="s">
        <v>85</v>
      </c>
      <c r="G95" s="27">
        <v>42826</v>
      </c>
      <c r="H95" s="25"/>
      <c r="I95" s="25"/>
    </row>
    <row r="96" spans="1:9" x14ac:dyDescent="0.25">
      <c r="A96" s="25">
        <v>23</v>
      </c>
      <c r="B96" s="25" t="s">
        <v>52</v>
      </c>
      <c r="C96" s="25" t="s">
        <v>33</v>
      </c>
      <c r="D96" s="26">
        <v>125</v>
      </c>
      <c r="E96" s="25">
        <v>201702577</v>
      </c>
      <c r="F96" s="25" t="s">
        <v>85</v>
      </c>
      <c r="G96" s="27">
        <v>42826</v>
      </c>
      <c r="H96" s="25"/>
      <c r="I96" s="25"/>
    </row>
    <row r="97" spans="1:9" x14ac:dyDescent="0.25">
      <c r="A97" s="25">
        <v>14</v>
      </c>
      <c r="B97" s="25" t="s">
        <v>52</v>
      </c>
      <c r="C97" s="25" t="s">
        <v>33</v>
      </c>
      <c r="D97" s="26">
        <v>140.97128000000001</v>
      </c>
      <c r="E97" s="25">
        <v>201702775</v>
      </c>
      <c r="F97" s="25" t="s">
        <v>85</v>
      </c>
      <c r="G97" s="27">
        <v>42856</v>
      </c>
      <c r="H97" s="25"/>
      <c r="I97" s="25"/>
    </row>
    <row r="98" spans="1:9" x14ac:dyDescent="0.25">
      <c r="A98" s="25">
        <v>1</v>
      </c>
      <c r="B98" s="25" t="s">
        <v>67</v>
      </c>
      <c r="C98" s="25" t="s">
        <v>33</v>
      </c>
      <c r="D98" s="26">
        <v>54.874800000000008</v>
      </c>
      <c r="E98" s="25">
        <v>201702840</v>
      </c>
      <c r="F98" s="25" t="s">
        <v>93</v>
      </c>
      <c r="G98" s="27">
        <v>42856</v>
      </c>
      <c r="H98" s="25"/>
      <c r="I98" s="25"/>
    </row>
    <row r="99" spans="1:9" x14ac:dyDescent="0.25">
      <c r="A99" s="25">
        <v>31</v>
      </c>
      <c r="B99" s="25" t="s">
        <v>58</v>
      </c>
      <c r="C99" s="25" t="s">
        <v>33</v>
      </c>
      <c r="D99" s="26">
        <v>62.813333400000005</v>
      </c>
      <c r="E99" s="25">
        <v>201702883</v>
      </c>
      <c r="F99" s="25" t="s">
        <v>85</v>
      </c>
      <c r="G99" s="27">
        <v>42856</v>
      </c>
      <c r="H99" s="25"/>
      <c r="I99" s="25"/>
    </row>
    <row r="100" spans="1:9" x14ac:dyDescent="0.25">
      <c r="A100" s="25">
        <v>1</v>
      </c>
      <c r="B100" s="25" t="s">
        <v>52</v>
      </c>
      <c r="C100" s="25" t="s">
        <v>16</v>
      </c>
      <c r="D100" s="26">
        <v>59.047618999999997</v>
      </c>
      <c r="E100" s="25">
        <v>201703192</v>
      </c>
      <c r="F100" s="25" t="s">
        <v>94</v>
      </c>
      <c r="G100" s="27">
        <v>42856</v>
      </c>
      <c r="H100" s="25"/>
      <c r="I100" s="25"/>
    </row>
    <row r="101" spans="1:9" x14ac:dyDescent="0.25">
      <c r="A101" s="25">
        <v>8</v>
      </c>
      <c r="B101" s="25" t="s">
        <v>55</v>
      </c>
      <c r="C101" s="25" t="s">
        <v>33</v>
      </c>
      <c r="D101" s="26">
        <v>6.9128730000000003</v>
      </c>
      <c r="E101" s="25" t="s">
        <v>98</v>
      </c>
      <c r="F101" s="25" t="s">
        <v>43</v>
      </c>
      <c r="G101" s="27">
        <v>42583</v>
      </c>
      <c r="H101" s="25"/>
      <c r="I101" s="25"/>
    </row>
    <row r="102" spans="1:9" x14ac:dyDescent="0.25">
      <c r="A102" s="25">
        <v>5</v>
      </c>
      <c r="B102" s="25" t="s">
        <v>67</v>
      </c>
      <c r="C102" s="25" t="s">
        <v>33</v>
      </c>
      <c r="D102" s="26">
        <v>0</v>
      </c>
      <c r="E102" s="25" t="s">
        <v>99</v>
      </c>
      <c r="F102" s="25" t="s">
        <v>93</v>
      </c>
      <c r="G102" s="27">
        <v>42826</v>
      </c>
      <c r="H102" s="25"/>
      <c r="I102" s="25"/>
    </row>
    <row r="103" spans="1:9" x14ac:dyDescent="0.25">
      <c r="A103" s="25">
        <v>13</v>
      </c>
      <c r="B103" s="25" t="s">
        <v>52</v>
      </c>
      <c r="C103" s="25" t="s">
        <v>33</v>
      </c>
      <c r="D103" s="26">
        <v>178.59110000000004</v>
      </c>
      <c r="E103" s="25" t="s">
        <v>100</v>
      </c>
      <c r="F103" s="25" t="s">
        <v>85</v>
      </c>
      <c r="G103" s="27">
        <v>42826</v>
      </c>
      <c r="H103" s="25"/>
      <c r="I103" s="25"/>
    </row>
    <row r="104" spans="1:9" ht="30" x14ac:dyDescent="0.25">
      <c r="A104" s="25">
        <v>10</v>
      </c>
      <c r="B104" s="25" t="s">
        <v>32</v>
      </c>
      <c r="C104" s="25" t="s">
        <v>33</v>
      </c>
      <c r="D104" s="26">
        <v>210</v>
      </c>
      <c r="E104" s="25" t="s">
        <v>101</v>
      </c>
      <c r="F104" s="25" t="s">
        <v>102</v>
      </c>
      <c r="G104" s="27" t="s">
        <v>103</v>
      </c>
      <c r="H104" s="25"/>
      <c r="I104" s="25"/>
    </row>
    <row r="105" spans="1:9" ht="30" x14ac:dyDescent="0.25">
      <c r="A105" s="25">
        <v>12</v>
      </c>
      <c r="B105" s="25" t="s">
        <v>32</v>
      </c>
      <c r="C105" s="25" t="s">
        <v>33</v>
      </c>
      <c r="D105" s="26">
        <v>192.2</v>
      </c>
      <c r="E105" s="25" t="s">
        <v>104</v>
      </c>
      <c r="F105" s="25" t="s">
        <v>105</v>
      </c>
      <c r="G105" s="27" t="s">
        <v>106</v>
      </c>
      <c r="H105" s="25"/>
      <c r="I105" s="25"/>
    </row>
    <row r="106" spans="1:9" ht="30" x14ac:dyDescent="0.25">
      <c r="A106" s="25">
        <v>26</v>
      </c>
      <c r="B106" s="25" t="s">
        <v>38</v>
      </c>
      <c r="C106" s="25" t="s">
        <v>15</v>
      </c>
      <c r="D106" s="26">
        <v>538.74995999999999</v>
      </c>
      <c r="E106" s="25" t="s">
        <v>107</v>
      </c>
      <c r="F106" s="25" t="s">
        <v>108</v>
      </c>
      <c r="G106" s="27" t="s">
        <v>109</v>
      </c>
      <c r="H106" s="25"/>
      <c r="I106" s="25"/>
    </row>
    <row r="107" spans="1:9" s="30" customFormat="1" ht="30" x14ac:dyDescent="0.25">
      <c r="A107" s="25">
        <v>2</v>
      </c>
      <c r="B107" s="25" t="s">
        <v>32</v>
      </c>
      <c r="C107" s="25" t="s">
        <v>33</v>
      </c>
      <c r="D107" s="26">
        <v>13.30706</v>
      </c>
      <c r="E107" s="25" t="s">
        <v>110</v>
      </c>
      <c r="F107" s="25" t="s">
        <v>111</v>
      </c>
      <c r="G107" s="27" t="s">
        <v>112</v>
      </c>
      <c r="H107" s="25"/>
      <c r="I107" s="25"/>
    </row>
    <row r="108" spans="1:9" ht="30" x14ac:dyDescent="0.25">
      <c r="A108" s="25">
        <v>19</v>
      </c>
      <c r="B108" s="25" t="s">
        <v>55</v>
      </c>
      <c r="C108" s="25" t="s">
        <v>33</v>
      </c>
      <c r="D108" s="26">
        <v>254.38124999999999</v>
      </c>
      <c r="E108" s="25" t="s">
        <v>113</v>
      </c>
      <c r="F108" s="25" t="s">
        <v>114</v>
      </c>
      <c r="G108" s="31" t="s">
        <v>115</v>
      </c>
      <c r="H108" s="25"/>
      <c r="I108" s="25"/>
    </row>
    <row r="109" spans="1:9" ht="45" x14ac:dyDescent="0.25">
      <c r="A109" s="25">
        <v>20</v>
      </c>
      <c r="B109" s="25" t="s">
        <v>38</v>
      </c>
      <c r="C109" s="25" t="s">
        <v>15</v>
      </c>
      <c r="D109" s="26">
        <v>97.875</v>
      </c>
      <c r="E109" s="25" t="s">
        <v>116</v>
      </c>
      <c r="F109" s="25" t="s">
        <v>117</v>
      </c>
      <c r="G109" s="32" t="s">
        <v>118</v>
      </c>
      <c r="H109" s="25"/>
      <c r="I109" s="25"/>
    </row>
    <row r="110" spans="1:9" ht="30" x14ac:dyDescent="0.25">
      <c r="A110" s="25">
        <v>32</v>
      </c>
      <c r="B110" s="25" t="s">
        <v>38</v>
      </c>
      <c r="C110" s="25" t="s">
        <v>16</v>
      </c>
      <c r="D110" s="26">
        <v>39.868350999999997</v>
      </c>
      <c r="E110" s="25" t="s">
        <v>119</v>
      </c>
      <c r="F110" s="25" t="s">
        <v>114</v>
      </c>
      <c r="G110" s="32" t="s">
        <v>120</v>
      </c>
      <c r="H110" s="25"/>
      <c r="I110" s="25"/>
    </row>
    <row r="111" spans="1:9" ht="30" x14ac:dyDescent="0.25">
      <c r="A111" s="25">
        <v>35</v>
      </c>
      <c r="B111" s="25" t="s">
        <v>38</v>
      </c>
      <c r="C111" s="25" t="s">
        <v>16</v>
      </c>
      <c r="D111" s="26">
        <v>296.68750510000001</v>
      </c>
      <c r="E111" s="25" t="s">
        <v>121</v>
      </c>
      <c r="F111" s="25" t="s">
        <v>85</v>
      </c>
      <c r="G111" s="32" t="s">
        <v>122</v>
      </c>
      <c r="H111" s="25"/>
      <c r="I111" s="25"/>
    </row>
    <row r="112" spans="1:9" ht="45" x14ac:dyDescent="0.25">
      <c r="A112" s="25">
        <v>22</v>
      </c>
      <c r="B112" s="25" t="s">
        <v>38</v>
      </c>
      <c r="C112" s="25" t="s">
        <v>16</v>
      </c>
      <c r="D112" s="26">
        <v>26.599924999999999</v>
      </c>
      <c r="E112" s="25" t="s">
        <v>123</v>
      </c>
      <c r="F112" s="25" t="s">
        <v>124</v>
      </c>
      <c r="G112" s="32" t="s">
        <v>125</v>
      </c>
      <c r="H112" s="25"/>
      <c r="I112" s="25"/>
    </row>
    <row r="113" spans="1:10" ht="30" x14ac:dyDescent="0.25">
      <c r="A113" s="25">
        <v>24</v>
      </c>
      <c r="B113" s="25" t="s">
        <v>55</v>
      </c>
      <c r="C113" s="25" t="s">
        <v>16</v>
      </c>
      <c r="D113" s="26">
        <v>158.33320000000001</v>
      </c>
      <c r="E113" s="25" t="s">
        <v>126</v>
      </c>
      <c r="F113" s="25" t="s">
        <v>127</v>
      </c>
      <c r="G113" s="32" t="s">
        <v>128</v>
      </c>
      <c r="H113" s="25"/>
      <c r="I113" s="25"/>
    </row>
    <row r="114" spans="1:10" ht="30" x14ac:dyDescent="0.25">
      <c r="A114" s="25">
        <v>33</v>
      </c>
      <c r="B114" s="25" t="s">
        <v>58</v>
      </c>
      <c r="C114" s="25" t="s">
        <v>33</v>
      </c>
      <c r="D114" s="26">
        <v>240</v>
      </c>
      <c r="E114" s="25" t="s">
        <v>129</v>
      </c>
      <c r="F114" s="25" t="s">
        <v>130</v>
      </c>
      <c r="G114" s="32" t="s">
        <v>131</v>
      </c>
      <c r="H114" s="25"/>
      <c r="I114" s="25"/>
    </row>
    <row r="115" spans="1:10" ht="45" x14ac:dyDescent="0.25">
      <c r="A115" s="25">
        <v>1</v>
      </c>
      <c r="B115" s="25" t="s">
        <v>32</v>
      </c>
      <c r="C115" s="25" t="s">
        <v>16</v>
      </c>
      <c r="D115" s="26">
        <v>2.5163999999999999E-2</v>
      </c>
      <c r="E115" s="25" t="s">
        <v>132</v>
      </c>
      <c r="F115" s="25" t="s">
        <v>133</v>
      </c>
      <c r="G115" s="32" t="s">
        <v>134</v>
      </c>
      <c r="H115" s="25"/>
      <c r="I115" s="25"/>
    </row>
    <row r="116" spans="1:10" ht="45" x14ac:dyDescent="0.25">
      <c r="A116" s="25">
        <v>6</v>
      </c>
      <c r="B116" s="25" t="s">
        <v>52</v>
      </c>
      <c r="C116" s="25" t="s">
        <v>33</v>
      </c>
      <c r="D116" s="26">
        <v>35</v>
      </c>
      <c r="E116" s="25" t="s">
        <v>135</v>
      </c>
      <c r="F116" s="25" t="s">
        <v>136</v>
      </c>
      <c r="G116" s="32" t="s">
        <v>137</v>
      </c>
      <c r="H116" s="25"/>
      <c r="I116" s="25"/>
    </row>
    <row r="117" spans="1:10" ht="30" x14ac:dyDescent="0.25">
      <c r="A117" s="25">
        <v>25</v>
      </c>
      <c r="B117" s="25" t="s">
        <v>55</v>
      </c>
      <c r="C117" s="25" t="s">
        <v>16</v>
      </c>
      <c r="D117" s="26">
        <v>420</v>
      </c>
      <c r="E117" s="25" t="s">
        <v>138</v>
      </c>
      <c r="F117" s="25" t="s">
        <v>139</v>
      </c>
      <c r="G117" s="32" t="s">
        <v>140</v>
      </c>
      <c r="H117" s="25"/>
      <c r="I117" s="25"/>
    </row>
    <row r="118" spans="1:10" ht="30" x14ac:dyDescent="0.25">
      <c r="A118" s="25">
        <v>21</v>
      </c>
      <c r="B118" s="25" t="s">
        <v>55</v>
      </c>
      <c r="C118" s="25" t="s">
        <v>33</v>
      </c>
      <c r="D118" s="26">
        <v>136</v>
      </c>
      <c r="E118" s="25" t="s">
        <v>141</v>
      </c>
      <c r="F118" s="25" t="s">
        <v>139</v>
      </c>
      <c r="G118" s="32" t="s">
        <v>140</v>
      </c>
      <c r="H118" s="25"/>
      <c r="I118" s="25"/>
      <c r="J118" s="33"/>
    </row>
    <row r="119" spans="1:10" ht="30" x14ac:dyDescent="0.25">
      <c r="A119" s="25">
        <v>11</v>
      </c>
      <c r="B119" s="25" t="s">
        <v>52</v>
      </c>
      <c r="C119" s="25" t="s">
        <v>33</v>
      </c>
      <c r="D119" s="26">
        <v>137.62146000000001</v>
      </c>
      <c r="E119" s="25" t="s">
        <v>142</v>
      </c>
      <c r="F119" s="25" t="s">
        <v>143</v>
      </c>
      <c r="G119" s="32" t="s">
        <v>144</v>
      </c>
      <c r="H119" s="28"/>
      <c r="I119" s="25"/>
    </row>
    <row r="120" spans="1:10" ht="30" x14ac:dyDescent="0.25">
      <c r="A120" s="25">
        <v>12</v>
      </c>
      <c r="B120" s="25" t="s">
        <v>52</v>
      </c>
      <c r="C120" s="25" t="s">
        <v>33</v>
      </c>
      <c r="D120" s="26">
        <v>139.875</v>
      </c>
      <c r="E120" s="25" t="s">
        <v>145</v>
      </c>
      <c r="F120" s="25" t="s">
        <v>146</v>
      </c>
      <c r="G120" s="32" t="s">
        <v>147</v>
      </c>
      <c r="H120" s="28"/>
      <c r="I120" s="25"/>
    </row>
    <row r="121" spans="1:10" ht="30" x14ac:dyDescent="0.25">
      <c r="A121" s="25">
        <v>8</v>
      </c>
      <c r="B121" s="25" t="s">
        <v>38</v>
      </c>
      <c r="C121" s="25" t="s">
        <v>15</v>
      </c>
      <c r="D121" s="26">
        <v>54.444400000000002</v>
      </c>
      <c r="E121" s="25" t="s">
        <v>148</v>
      </c>
      <c r="F121" s="25" t="s">
        <v>149</v>
      </c>
      <c r="G121" s="32" t="s">
        <v>150</v>
      </c>
      <c r="H121" s="25"/>
      <c r="I121" s="25"/>
    </row>
    <row r="122" spans="1:10" ht="30" x14ac:dyDescent="0.25">
      <c r="A122" s="25">
        <v>32</v>
      </c>
      <c r="B122" s="25" t="s">
        <v>55</v>
      </c>
      <c r="C122" s="25" t="s">
        <v>42</v>
      </c>
      <c r="D122" s="26">
        <v>72.405298000000002</v>
      </c>
      <c r="E122" s="25" t="s">
        <v>151</v>
      </c>
      <c r="F122" s="25" t="s">
        <v>85</v>
      </c>
      <c r="G122" s="27" t="s">
        <v>152</v>
      </c>
      <c r="H122" s="25"/>
      <c r="I122" s="25"/>
    </row>
    <row r="123" spans="1:10" ht="30" x14ac:dyDescent="0.25">
      <c r="A123" s="25">
        <v>16</v>
      </c>
      <c r="B123" s="25" t="s">
        <v>32</v>
      </c>
      <c r="C123" s="25" t="s">
        <v>33</v>
      </c>
      <c r="D123" s="26">
        <v>13.33333</v>
      </c>
      <c r="E123" s="25" t="s">
        <v>153</v>
      </c>
      <c r="F123" s="25" t="s">
        <v>34</v>
      </c>
      <c r="G123" s="27" t="s">
        <v>154</v>
      </c>
      <c r="H123" s="25"/>
      <c r="I123" s="25"/>
    </row>
    <row r="124" spans="1:10" x14ac:dyDescent="0.25">
      <c r="A124" s="25">
        <v>15</v>
      </c>
      <c r="B124" s="25" t="s">
        <v>52</v>
      </c>
      <c r="C124" s="25" t="s">
        <v>33</v>
      </c>
      <c r="D124" s="26">
        <v>141.63499999999999</v>
      </c>
      <c r="E124" s="25"/>
      <c r="F124" s="25"/>
      <c r="G124" s="27"/>
      <c r="H124" s="25" t="s">
        <v>155</v>
      </c>
      <c r="I124" s="25">
        <v>3500935542</v>
      </c>
    </row>
    <row r="125" spans="1:10" x14ac:dyDescent="0.25">
      <c r="A125" s="25">
        <v>27</v>
      </c>
      <c r="B125" s="25" t="s">
        <v>58</v>
      </c>
      <c r="C125" s="25" t="s">
        <v>33</v>
      </c>
      <c r="D125" s="26">
        <v>8.0400019999999994</v>
      </c>
      <c r="E125" s="25"/>
      <c r="F125" s="25"/>
      <c r="G125" s="27"/>
      <c r="H125" s="25" t="s">
        <v>156</v>
      </c>
      <c r="I125" s="25">
        <v>3501720497</v>
      </c>
    </row>
    <row r="126" spans="1:10" ht="15" customHeight="1" x14ac:dyDescent="0.25">
      <c r="A126" s="25">
        <v>26</v>
      </c>
      <c r="B126" s="25" t="s">
        <v>52</v>
      </c>
      <c r="C126" s="25" t="s">
        <v>33</v>
      </c>
      <c r="D126" s="26">
        <v>141.77780000000001</v>
      </c>
      <c r="E126" s="25"/>
      <c r="F126" s="25"/>
      <c r="G126" s="27"/>
      <c r="H126" s="25" t="s">
        <v>157</v>
      </c>
      <c r="I126" s="25">
        <v>3501721211</v>
      </c>
    </row>
    <row r="127" spans="1:10" x14ac:dyDescent="0.25">
      <c r="A127" s="25">
        <v>32</v>
      </c>
      <c r="B127" s="25" t="s">
        <v>52</v>
      </c>
      <c r="C127" s="25" t="s">
        <v>42</v>
      </c>
      <c r="D127" s="26">
        <v>240</v>
      </c>
      <c r="E127" s="25"/>
      <c r="F127" s="25"/>
      <c r="G127" s="27"/>
      <c r="H127" s="25" t="s">
        <v>158</v>
      </c>
      <c r="I127" s="25">
        <v>3501721295</v>
      </c>
    </row>
    <row r="128" spans="1:10" x14ac:dyDescent="0.25">
      <c r="A128" s="25">
        <v>36</v>
      </c>
      <c r="B128" s="25" t="s">
        <v>52</v>
      </c>
      <c r="C128" s="25" t="s">
        <v>33</v>
      </c>
      <c r="D128" s="26">
        <v>480</v>
      </c>
      <c r="E128" s="25"/>
      <c r="F128" s="25"/>
      <c r="G128" s="27"/>
      <c r="H128" s="25" t="s">
        <v>159</v>
      </c>
      <c r="I128" s="25">
        <v>3501721402</v>
      </c>
    </row>
    <row r="129" spans="1:9" x14ac:dyDescent="0.25">
      <c r="A129" s="25">
        <v>30</v>
      </c>
      <c r="B129" s="25" t="s">
        <v>52</v>
      </c>
      <c r="C129" s="25" t="s">
        <v>42</v>
      </c>
      <c r="D129" s="26">
        <v>278.66500000000002</v>
      </c>
      <c r="E129" s="25"/>
      <c r="F129" s="25"/>
      <c r="G129" s="27"/>
      <c r="H129" s="25" t="s">
        <v>160</v>
      </c>
      <c r="I129" s="25">
        <v>3501721753</v>
      </c>
    </row>
    <row r="130" spans="1:9" x14ac:dyDescent="0.25">
      <c r="A130" s="25">
        <v>18</v>
      </c>
      <c r="B130" s="25" t="s">
        <v>32</v>
      </c>
      <c r="C130" s="25" t="s">
        <v>42</v>
      </c>
      <c r="D130" s="26">
        <v>10.75</v>
      </c>
      <c r="E130" s="25"/>
      <c r="F130" s="25"/>
      <c r="G130" s="27"/>
      <c r="H130" s="25" t="s">
        <v>161</v>
      </c>
      <c r="I130" s="25">
        <v>3501722042</v>
      </c>
    </row>
    <row r="131" spans="1:9" x14ac:dyDescent="0.25">
      <c r="A131" s="25">
        <v>8</v>
      </c>
      <c r="B131" s="25" t="s">
        <v>32</v>
      </c>
      <c r="C131" s="25" t="s">
        <v>42</v>
      </c>
      <c r="D131" s="26">
        <v>68.569130000000001</v>
      </c>
      <c r="E131" s="25"/>
      <c r="F131" s="25"/>
      <c r="G131" s="27"/>
      <c r="H131" s="25" t="s">
        <v>162</v>
      </c>
      <c r="I131" s="25">
        <v>3501722198</v>
      </c>
    </row>
    <row r="132" spans="1:9" x14ac:dyDescent="0.25">
      <c r="A132" s="25">
        <v>30</v>
      </c>
      <c r="B132" s="25" t="s">
        <v>32</v>
      </c>
      <c r="C132" s="25" t="s">
        <v>42</v>
      </c>
      <c r="D132" s="26">
        <v>0.8</v>
      </c>
      <c r="E132" s="25"/>
      <c r="F132" s="25"/>
      <c r="G132" s="27"/>
      <c r="H132" s="25" t="s">
        <v>163</v>
      </c>
      <c r="I132" s="25">
        <v>3501722276</v>
      </c>
    </row>
    <row r="133" spans="1:9" x14ac:dyDescent="0.25">
      <c r="A133" s="25">
        <v>19</v>
      </c>
      <c r="B133" s="25" t="s">
        <v>32</v>
      </c>
      <c r="C133" s="25" t="s">
        <v>42</v>
      </c>
      <c r="D133" s="26">
        <v>2</v>
      </c>
      <c r="E133" s="25"/>
      <c r="F133" s="25"/>
      <c r="G133" s="27"/>
      <c r="H133" s="25" t="s">
        <v>164</v>
      </c>
      <c r="I133" s="25">
        <v>3501722443</v>
      </c>
    </row>
    <row r="134" spans="1:9" x14ac:dyDescent="0.25">
      <c r="A134" s="25">
        <v>31</v>
      </c>
      <c r="B134" s="25" t="s">
        <v>52</v>
      </c>
      <c r="C134" s="25" t="s">
        <v>42</v>
      </c>
      <c r="D134" s="26">
        <v>469.34999775</v>
      </c>
      <c r="E134" s="25"/>
      <c r="F134" s="25"/>
      <c r="G134" s="27"/>
      <c r="H134" s="25" t="s">
        <v>165</v>
      </c>
      <c r="I134" s="25">
        <v>3501722615</v>
      </c>
    </row>
    <row r="135" spans="1:9" x14ac:dyDescent="0.25">
      <c r="A135" s="25">
        <v>7</v>
      </c>
      <c r="B135" s="25" t="s">
        <v>32</v>
      </c>
      <c r="C135" s="25" t="s">
        <v>42</v>
      </c>
      <c r="D135" s="26">
        <v>85.764250000000004</v>
      </c>
      <c r="E135" s="25"/>
      <c r="F135" s="25"/>
      <c r="G135" s="27"/>
      <c r="H135" s="25" t="s">
        <v>166</v>
      </c>
      <c r="I135" s="25">
        <v>3501722922</v>
      </c>
    </row>
    <row r="136" spans="1:9" x14ac:dyDescent="0.25">
      <c r="A136" s="25">
        <v>1</v>
      </c>
      <c r="B136" s="25" t="s">
        <v>32</v>
      </c>
      <c r="C136" s="25" t="s">
        <v>33</v>
      </c>
      <c r="D136" s="26">
        <v>120.48</v>
      </c>
      <c r="E136" s="25"/>
      <c r="F136" s="25"/>
      <c r="G136" s="27"/>
      <c r="H136" s="25" t="s">
        <v>167</v>
      </c>
      <c r="I136" s="25">
        <v>3501723848</v>
      </c>
    </row>
    <row r="137" spans="1:9" x14ac:dyDescent="0.25">
      <c r="A137" s="25">
        <v>36</v>
      </c>
      <c r="B137" s="25" t="s">
        <v>32</v>
      </c>
      <c r="C137" s="25" t="s">
        <v>33</v>
      </c>
      <c r="D137" s="26">
        <v>2.5</v>
      </c>
      <c r="E137" s="25"/>
      <c r="F137" s="25"/>
      <c r="G137" s="27"/>
      <c r="H137" s="25" t="s">
        <v>168</v>
      </c>
      <c r="I137" s="25">
        <v>3501723887</v>
      </c>
    </row>
    <row r="138" spans="1:9" x14ac:dyDescent="0.25">
      <c r="A138" s="25">
        <v>29</v>
      </c>
      <c r="B138" s="25" t="s">
        <v>58</v>
      </c>
      <c r="C138" s="25" t="s">
        <v>33</v>
      </c>
      <c r="D138" s="26">
        <v>4.5466666</v>
      </c>
      <c r="E138" s="25"/>
      <c r="F138" s="25"/>
      <c r="G138" s="27"/>
      <c r="H138" s="25" t="s">
        <v>169</v>
      </c>
      <c r="I138" s="25">
        <v>3501723902</v>
      </c>
    </row>
    <row r="139" spans="1:9" x14ac:dyDescent="0.25">
      <c r="A139" s="25">
        <v>26</v>
      </c>
      <c r="B139" s="25" t="s">
        <v>52</v>
      </c>
      <c r="C139" s="25" t="s">
        <v>15</v>
      </c>
      <c r="D139" s="26">
        <v>7.8689999999999996E-2</v>
      </c>
      <c r="E139" s="25"/>
      <c r="F139" s="25"/>
      <c r="G139" s="27"/>
      <c r="H139" s="25" t="s">
        <v>170</v>
      </c>
      <c r="I139" s="25">
        <v>3501724464</v>
      </c>
    </row>
    <row r="140" spans="1:9" x14ac:dyDescent="0.25">
      <c r="A140" s="25">
        <v>26</v>
      </c>
      <c r="B140" s="25" t="s">
        <v>67</v>
      </c>
      <c r="C140" s="25" t="s">
        <v>42</v>
      </c>
      <c r="D140" s="26">
        <v>42.780208999999999</v>
      </c>
      <c r="E140" s="25"/>
      <c r="F140" s="25"/>
      <c r="G140" s="27"/>
      <c r="H140" s="25" t="s">
        <v>171</v>
      </c>
      <c r="I140" s="25">
        <v>3505121194</v>
      </c>
    </row>
    <row r="141" spans="1:9" x14ac:dyDescent="0.25">
      <c r="A141" s="25">
        <v>3</v>
      </c>
      <c r="B141" s="25" t="s">
        <v>55</v>
      </c>
      <c r="C141" s="25" t="s">
        <v>33</v>
      </c>
      <c r="D141" s="26">
        <v>0.04</v>
      </c>
      <c r="E141" s="25"/>
      <c r="F141" s="25"/>
      <c r="G141" s="27"/>
      <c r="H141" s="25" t="s">
        <v>172</v>
      </c>
      <c r="I141" s="25">
        <v>3505121834</v>
      </c>
    </row>
    <row r="142" spans="1:9" x14ac:dyDescent="0.25">
      <c r="A142" s="25">
        <v>36</v>
      </c>
      <c r="B142" s="25" t="s">
        <v>38</v>
      </c>
      <c r="C142" s="25" t="s">
        <v>42</v>
      </c>
      <c r="D142" s="26">
        <v>90.998342999999977</v>
      </c>
      <c r="E142" s="25"/>
      <c r="F142" s="25"/>
      <c r="G142" s="27"/>
      <c r="H142" s="25" t="s">
        <v>173</v>
      </c>
      <c r="I142" s="25">
        <v>3505122279</v>
      </c>
    </row>
    <row r="143" spans="1:9" x14ac:dyDescent="0.25">
      <c r="A143" s="25">
        <v>2</v>
      </c>
      <c r="B143" s="25" t="s">
        <v>67</v>
      </c>
      <c r="C143" s="25" t="s">
        <v>33</v>
      </c>
      <c r="D143" s="26">
        <v>12.6</v>
      </c>
      <c r="E143" s="25"/>
      <c r="F143" s="25"/>
      <c r="G143" s="27"/>
      <c r="H143" s="25" t="s">
        <v>174</v>
      </c>
      <c r="I143" s="25">
        <v>3505122928</v>
      </c>
    </row>
    <row r="144" spans="1:9" x14ac:dyDescent="0.25">
      <c r="A144" s="25">
        <v>30</v>
      </c>
      <c r="B144" s="25" t="s">
        <v>55</v>
      </c>
      <c r="C144" s="25" t="s">
        <v>33</v>
      </c>
      <c r="D144" s="26">
        <v>66.666600000000003</v>
      </c>
      <c r="E144" s="25"/>
      <c r="F144" s="25"/>
      <c r="G144" s="27"/>
      <c r="H144" s="25" t="s">
        <v>175</v>
      </c>
      <c r="I144" s="25">
        <v>3505123230</v>
      </c>
    </row>
    <row r="145" spans="1:9" x14ac:dyDescent="0.25">
      <c r="A145" s="25">
        <v>13</v>
      </c>
      <c r="B145" s="25" t="s">
        <v>55</v>
      </c>
      <c r="C145" s="25" t="s">
        <v>16</v>
      </c>
      <c r="D145" s="26">
        <v>75</v>
      </c>
      <c r="E145" s="25"/>
      <c r="F145" s="25"/>
      <c r="G145" s="27"/>
      <c r="H145" s="25" t="s">
        <v>176</v>
      </c>
      <c r="I145" s="25">
        <v>3505123270</v>
      </c>
    </row>
    <row r="146" spans="1:9" x14ac:dyDescent="0.25">
      <c r="A146" s="25">
        <v>19</v>
      </c>
      <c r="B146" s="25" t="s">
        <v>38</v>
      </c>
      <c r="C146" s="25" t="s">
        <v>16</v>
      </c>
      <c r="D146" s="26">
        <v>13.571443000000002</v>
      </c>
      <c r="E146" s="25"/>
      <c r="F146" s="25"/>
      <c r="G146" s="27"/>
      <c r="H146" s="25" t="s">
        <v>177</v>
      </c>
      <c r="I146" s="25">
        <v>3505123337</v>
      </c>
    </row>
    <row r="147" spans="1:9" x14ac:dyDescent="0.25">
      <c r="A147" s="25">
        <v>23</v>
      </c>
      <c r="B147" s="25" t="s">
        <v>67</v>
      </c>
      <c r="C147" s="25" t="s">
        <v>42</v>
      </c>
      <c r="D147" s="26">
        <v>6.25</v>
      </c>
      <c r="E147" s="25"/>
      <c r="F147" s="25"/>
      <c r="G147" s="27"/>
      <c r="H147" s="25" t="s">
        <v>178</v>
      </c>
      <c r="I147" s="25">
        <v>3505123393</v>
      </c>
    </row>
    <row r="148" spans="1:9" x14ac:dyDescent="0.25">
      <c r="A148" s="25">
        <v>18</v>
      </c>
      <c r="B148" s="25" t="s">
        <v>38</v>
      </c>
      <c r="C148" s="25" t="s">
        <v>16</v>
      </c>
      <c r="D148" s="26">
        <v>33.333370000000002</v>
      </c>
      <c r="E148" s="25"/>
      <c r="F148" s="25"/>
      <c r="G148" s="27"/>
      <c r="H148" s="25" t="s">
        <v>179</v>
      </c>
      <c r="I148" s="25">
        <v>3505123412</v>
      </c>
    </row>
    <row r="149" spans="1:9" x14ac:dyDescent="0.25">
      <c r="A149" s="25">
        <v>17</v>
      </c>
      <c r="B149" s="25" t="s">
        <v>67</v>
      </c>
      <c r="C149" s="25" t="s">
        <v>42</v>
      </c>
      <c r="D149" s="26">
        <v>29.166667</v>
      </c>
      <c r="E149" s="25"/>
      <c r="F149" s="25"/>
      <c r="G149" s="27"/>
      <c r="H149" s="25" t="s">
        <v>180</v>
      </c>
      <c r="I149" s="25">
        <v>3505123480</v>
      </c>
    </row>
    <row r="150" spans="1:9" x14ac:dyDescent="0.25">
      <c r="A150" s="25">
        <v>29</v>
      </c>
      <c r="B150" s="25" t="s">
        <v>38</v>
      </c>
      <c r="C150" s="25" t="s">
        <v>16</v>
      </c>
      <c r="D150" s="26">
        <v>0.41670000000000001</v>
      </c>
      <c r="E150" s="25"/>
      <c r="F150" s="25"/>
      <c r="G150" s="27"/>
      <c r="H150" s="25" t="s">
        <v>181</v>
      </c>
      <c r="I150" s="25">
        <v>3505123534</v>
      </c>
    </row>
    <row r="151" spans="1:9" x14ac:dyDescent="0.25">
      <c r="A151" s="25">
        <v>9</v>
      </c>
      <c r="B151" s="25" t="s">
        <v>67</v>
      </c>
      <c r="C151" s="25" t="s">
        <v>49</v>
      </c>
      <c r="D151" s="26">
        <v>5</v>
      </c>
      <c r="E151" s="25"/>
      <c r="F151" s="25"/>
      <c r="G151" s="27"/>
      <c r="H151" s="25" t="s">
        <v>182</v>
      </c>
      <c r="I151" s="25">
        <v>3508721887</v>
      </c>
    </row>
    <row r="152" spans="1:9" x14ac:dyDescent="0.25">
      <c r="A152" s="25">
        <v>34</v>
      </c>
      <c r="B152" s="25" t="s">
        <v>69</v>
      </c>
      <c r="C152" s="25" t="s">
        <v>49</v>
      </c>
      <c r="D152" s="26">
        <v>19.5</v>
      </c>
      <c r="E152" s="25"/>
      <c r="F152" s="25"/>
      <c r="G152" s="27"/>
      <c r="H152" s="25" t="s">
        <v>183</v>
      </c>
      <c r="I152" s="25" t="s">
        <v>184</v>
      </c>
    </row>
    <row r="153" spans="1:9" x14ac:dyDescent="0.25">
      <c r="A153" s="25">
        <v>5</v>
      </c>
      <c r="B153" s="25" t="s">
        <v>64</v>
      </c>
      <c r="C153" s="25" t="s">
        <v>49</v>
      </c>
      <c r="D153" s="26">
        <v>0.85784300000000002</v>
      </c>
      <c r="E153" s="25"/>
      <c r="F153" s="25"/>
      <c r="G153" s="27"/>
      <c r="H153" s="25" t="s">
        <v>185</v>
      </c>
      <c r="I153" s="25" t="s">
        <v>186</v>
      </c>
    </row>
    <row r="154" spans="1:9" x14ac:dyDescent="0.25">
      <c r="A154" s="25">
        <v>14</v>
      </c>
      <c r="B154" s="25" t="s">
        <v>69</v>
      </c>
      <c r="C154" s="25" t="s">
        <v>49</v>
      </c>
      <c r="D154" s="26">
        <v>1.875</v>
      </c>
      <c r="E154" s="25"/>
      <c r="F154" s="25"/>
      <c r="G154" s="27"/>
      <c r="H154" s="25"/>
      <c r="I154" s="25"/>
    </row>
    <row r="155" spans="1:9" x14ac:dyDescent="0.25">
      <c r="A155" s="25">
        <v>2</v>
      </c>
      <c r="B155" s="25" t="s">
        <v>69</v>
      </c>
      <c r="C155" s="25" t="s">
        <v>42</v>
      </c>
      <c r="D155" s="26">
        <v>5.1829999999999998</v>
      </c>
      <c r="E155" s="25"/>
      <c r="F155" s="25"/>
      <c r="G155" s="27"/>
      <c r="H155" s="25"/>
      <c r="I155" s="25"/>
    </row>
    <row r="156" spans="1:9" x14ac:dyDescent="0.25">
      <c r="A156" s="25">
        <v>5</v>
      </c>
      <c r="B156" s="25" t="s">
        <v>67</v>
      </c>
      <c r="C156" s="25" t="s">
        <v>49</v>
      </c>
      <c r="D156" s="26">
        <v>3.43</v>
      </c>
      <c r="E156" s="25"/>
      <c r="F156" s="25"/>
      <c r="G156" s="27"/>
      <c r="H156" s="25"/>
      <c r="I156" s="25"/>
    </row>
    <row r="157" spans="1:9" x14ac:dyDescent="0.25">
      <c r="A157" s="25">
        <v>6</v>
      </c>
      <c r="B157" s="25" t="s">
        <v>67</v>
      </c>
      <c r="C157" s="25" t="s">
        <v>49</v>
      </c>
      <c r="D157" s="26">
        <v>3.75</v>
      </c>
      <c r="E157" s="25"/>
      <c r="F157" s="25"/>
      <c r="G157" s="27"/>
      <c r="H157" s="25"/>
      <c r="I157" s="25"/>
    </row>
    <row r="158" spans="1:9" x14ac:dyDescent="0.25">
      <c r="A158" s="25">
        <v>5</v>
      </c>
      <c r="B158" s="25" t="s">
        <v>67</v>
      </c>
      <c r="C158" s="25" t="s">
        <v>42</v>
      </c>
      <c r="D158" s="26">
        <v>9.5018670000000007</v>
      </c>
      <c r="E158" s="25"/>
      <c r="F158" s="25"/>
      <c r="G158" s="27"/>
      <c r="H158" s="25"/>
      <c r="I158" s="25"/>
    </row>
    <row r="159" spans="1:9" x14ac:dyDescent="0.25">
      <c r="A159" s="25">
        <v>8</v>
      </c>
      <c r="B159" s="25" t="s">
        <v>67</v>
      </c>
      <c r="C159" s="25" t="s">
        <v>42</v>
      </c>
      <c r="D159" s="26">
        <v>2.8333300000000001</v>
      </c>
      <c r="E159" s="25"/>
      <c r="F159" s="25"/>
      <c r="G159" s="27"/>
      <c r="H159" s="25"/>
      <c r="I159" s="25"/>
    </row>
    <row r="160" spans="1:9" x14ac:dyDescent="0.25">
      <c r="A160" s="25">
        <v>9</v>
      </c>
      <c r="B160" s="25" t="s">
        <v>67</v>
      </c>
      <c r="C160" s="25" t="s">
        <v>42</v>
      </c>
      <c r="D160" s="26">
        <v>32.71651700000001</v>
      </c>
      <c r="E160" s="25"/>
      <c r="F160" s="25"/>
      <c r="G160" s="27"/>
      <c r="H160" s="25"/>
      <c r="I160" s="25"/>
    </row>
    <row r="161" spans="1:9" x14ac:dyDescent="0.25">
      <c r="A161" s="25">
        <v>20</v>
      </c>
      <c r="B161" s="25" t="s">
        <v>67</v>
      </c>
      <c r="C161" s="25" t="s">
        <v>42</v>
      </c>
      <c r="D161" s="26">
        <v>45.949332999999996</v>
      </c>
      <c r="E161" s="25"/>
      <c r="F161" s="25"/>
      <c r="G161" s="27"/>
      <c r="H161" s="25"/>
      <c r="I161" s="25"/>
    </row>
    <row r="162" spans="1:9" x14ac:dyDescent="0.25">
      <c r="A162" s="25">
        <v>25</v>
      </c>
      <c r="B162" s="25" t="s">
        <v>67</v>
      </c>
      <c r="C162" s="25" t="s">
        <v>42</v>
      </c>
      <c r="D162" s="26">
        <v>11.666367000000001</v>
      </c>
      <c r="E162" s="25"/>
      <c r="F162" s="25"/>
      <c r="G162" s="27"/>
      <c r="H162" s="25"/>
      <c r="I162" s="25"/>
    </row>
    <row r="163" spans="1:9" x14ac:dyDescent="0.25">
      <c r="A163" s="25">
        <v>34</v>
      </c>
      <c r="B163" s="25" t="s">
        <v>67</v>
      </c>
      <c r="C163" s="25" t="s">
        <v>42</v>
      </c>
      <c r="D163" s="26">
        <v>93.329597000000007</v>
      </c>
      <c r="E163" s="25"/>
      <c r="F163" s="25"/>
      <c r="G163" s="27"/>
      <c r="H163" s="25"/>
      <c r="I163" s="25"/>
    </row>
    <row r="164" spans="1:9" x14ac:dyDescent="0.25">
      <c r="A164" s="25">
        <v>35</v>
      </c>
      <c r="B164" s="25" t="s">
        <v>67</v>
      </c>
      <c r="C164" s="25" t="s">
        <v>42</v>
      </c>
      <c r="D164" s="26">
        <v>12.170866999999999</v>
      </c>
      <c r="E164" s="25"/>
      <c r="F164" s="25"/>
      <c r="G164" s="27"/>
      <c r="H164" s="25"/>
      <c r="I164" s="25"/>
    </row>
    <row r="165" spans="1:9" x14ac:dyDescent="0.25">
      <c r="A165" s="25">
        <v>35</v>
      </c>
      <c r="B165" s="25" t="s">
        <v>67</v>
      </c>
      <c r="C165" s="25" t="s">
        <v>42</v>
      </c>
      <c r="D165" s="26">
        <v>0.66830000000000001</v>
      </c>
      <c r="E165" s="25"/>
      <c r="F165" s="25"/>
      <c r="G165" s="27"/>
      <c r="H165" s="25"/>
      <c r="I165" s="25"/>
    </row>
    <row r="166" spans="1:9" x14ac:dyDescent="0.25">
      <c r="A166" s="25">
        <v>36</v>
      </c>
      <c r="B166" s="25" t="s">
        <v>67</v>
      </c>
      <c r="C166" s="25" t="s">
        <v>42</v>
      </c>
      <c r="D166" s="26">
        <v>38.466332999999999</v>
      </c>
      <c r="E166" s="25"/>
      <c r="F166" s="25"/>
      <c r="G166" s="27"/>
      <c r="H166" s="25"/>
      <c r="I166" s="25"/>
    </row>
    <row r="167" spans="1:9" x14ac:dyDescent="0.25">
      <c r="A167" s="25">
        <v>12</v>
      </c>
      <c r="B167" s="25" t="s">
        <v>67</v>
      </c>
      <c r="C167" s="25" t="s">
        <v>33</v>
      </c>
      <c r="D167" s="26">
        <v>48.226981000000002</v>
      </c>
      <c r="E167" s="25"/>
      <c r="F167" s="25"/>
      <c r="G167" s="27"/>
      <c r="H167" s="25"/>
      <c r="I167" s="25"/>
    </row>
    <row r="168" spans="1:9" x14ac:dyDescent="0.25">
      <c r="A168" s="25">
        <v>1</v>
      </c>
      <c r="B168" s="25" t="s">
        <v>55</v>
      </c>
      <c r="C168" s="25" t="s">
        <v>42</v>
      </c>
      <c r="D168" s="26">
        <v>10</v>
      </c>
      <c r="E168" s="25"/>
      <c r="F168" s="25"/>
      <c r="G168" s="27"/>
      <c r="H168" s="25"/>
      <c r="I168" s="25"/>
    </row>
    <row r="169" spans="1:9" x14ac:dyDescent="0.25">
      <c r="A169" s="25">
        <v>10</v>
      </c>
      <c r="B169" s="25" t="s">
        <v>55</v>
      </c>
      <c r="C169" s="25" t="s">
        <v>42</v>
      </c>
      <c r="D169" s="26">
        <v>6.6666699999999999</v>
      </c>
      <c r="E169" s="25"/>
      <c r="F169" s="25"/>
      <c r="G169" s="27"/>
      <c r="H169" s="25"/>
      <c r="I169" s="25"/>
    </row>
    <row r="170" spans="1:9" x14ac:dyDescent="0.25">
      <c r="A170" s="25">
        <v>30</v>
      </c>
      <c r="B170" s="25" t="s">
        <v>55</v>
      </c>
      <c r="C170" s="25" t="s">
        <v>42</v>
      </c>
      <c r="D170" s="26">
        <v>43.477822580000002</v>
      </c>
      <c r="E170" s="25"/>
      <c r="F170" s="25"/>
      <c r="G170" s="27"/>
      <c r="H170" s="25"/>
      <c r="I170" s="25"/>
    </row>
    <row r="171" spans="1:9" x14ac:dyDescent="0.25">
      <c r="A171" s="25">
        <v>31</v>
      </c>
      <c r="B171" s="25" t="s">
        <v>55</v>
      </c>
      <c r="C171" s="25" t="s">
        <v>42</v>
      </c>
      <c r="D171" s="26">
        <v>9.4396400000000007</v>
      </c>
      <c r="E171" s="25"/>
      <c r="F171" s="25"/>
      <c r="G171" s="27"/>
      <c r="H171" s="25"/>
      <c r="I171" s="25"/>
    </row>
    <row r="172" spans="1:9" x14ac:dyDescent="0.25">
      <c r="A172" s="25">
        <v>27</v>
      </c>
      <c r="B172" s="25" t="s">
        <v>55</v>
      </c>
      <c r="C172" s="25" t="s">
        <v>33</v>
      </c>
      <c r="D172" s="26">
        <v>42.888829000000001</v>
      </c>
      <c r="E172" s="25"/>
      <c r="F172" s="25"/>
      <c r="G172" s="27"/>
      <c r="H172" s="25"/>
      <c r="I172" s="25"/>
    </row>
    <row r="173" spans="1:9" x14ac:dyDescent="0.25">
      <c r="A173" s="25">
        <v>34</v>
      </c>
      <c r="B173" s="25" t="s">
        <v>55</v>
      </c>
      <c r="C173" s="25" t="s">
        <v>33</v>
      </c>
      <c r="D173" s="26">
        <v>17.554000000000002</v>
      </c>
      <c r="E173" s="25"/>
      <c r="F173" s="25"/>
      <c r="G173" s="27"/>
      <c r="H173" s="25"/>
      <c r="I173" s="25"/>
    </row>
    <row r="174" spans="1:9" x14ac:dyDescent="0.25">
      <c r="A174" s="25">
        <v>4</v>
      </c>
      <c r="B174" s="25" t="s">
        <v>55</v>
      </c>
      <c r="C174" s="25" t="s">
        <v>16</v>
      </c>
      <c r="D174" s="26">
        <v>91.38010100000001</v>
      </c>
      <c r="E174" s="25"/>
      <c r="F174" s="25"/>
      <c r="G174" s="27"/>
      <c r="H174" s="25"/>
      <c r="I174" s="25"/>
    </row>
    <row r="175" spans="1:9" x14ac:dyDescent="0.25">
      <c r="A175" s="25">
        <v>5</v>
      </c>
      <c r="B175" s="25" t="s">
        <v>55</v>
      </c>
      <c r="C175" s="25" t="s">
        <v>16</v>
      </c>
      <c r="D175" s="26">
        <v>186.54223699999994</v>
      </c>
      <c r="E175" s="25"/>
      <c r="F175" s="25"/>
      <c r="G175" s="27"/>
      <c r="H175" s="25"/>
      <c r="I175" s="25"/>
    </row>
    <row r="176" spans="1:9" x14ac:dyDescent="0.25">
      <c r="A176" s="25">
        <v>7</v>
      </c>
      <c r="B176" s="25" t="s">
        <v>55</v>
      </c>
      <c r="C176" s="25" t="s">
        <v>16</v>
      </c>
      <c r="D176" s="26">
        <v>41.631699999999995</v>
      </c>
      <c r="E176" s="25"/>
      <c r="F176" s="25"/>
      <c r="G176" s="27"/>
      <c r="H176" s="25"/>
      <c r="I176" s="25"/>
    </row>
    <row r="177" spans="1:9" x14ac:dyDescent="0.25">
      <c r="A177" s="25">
        <v>8</v>
      </c>
      <c r="B177" s="25" t="s">
        <v>55</v>
      </c>
      <c r="C177" s="25" t="s">
        <v>16</v>
      </c>
      <c r="D177" s="26">
        <v>12.8125</v>
      </c>
      <c r="E177" s="25"/>
      <c r="F177" s="25"/>
      <c r="G177" s="27"/>
      <c r="H177" s="25"/>
      <c r="I177" s="25"/>
    </row>
    <row r="178" spans="1:9" x14ac:dyDescent="0.25">
      <c r="A178" s="25">
        <v>9</v>
      </c>
      <c r="B178" s="25" t="s">
        <v>55</v>
      </c>
      <c r="C178" s="25" t="s">
        <v>16</v>
      </c>
      <c r="D178" s="26">
        <v>34.25</v>
      </c>
      <c r="E178" s="25"/>
      <c r="F178" s="25"/>
      <c r="G178" s="27"/>
      <c r="H178" s="25"/>
      <c r="I178" s="25"/>
    </row>
    <row r="179" spans="1:9" x14ac:dyDescent="0.25">
      <c r="A179" s="25">
        <v>14</v>
      </c>
      <c r="B179" s="25" t="s">
        <v>55</v>
      </c>
      <c r="C179" s="25" t="s">
        <v>16</v>
      </c>
      <c r="D179" s="26">
        <v>10</v>
      </c>
      <c r="E179" s="25"/>
      <c r="F179" s="25"/>
      <c r="G179" s="27"/>
      <c r="H179" s="25"/>
      <c r="I179" s="25"/>
    </row>
    <row r="180" spans="1:9" x14ac:dyDescent="0.25">
      <c r="A180" s="25">
        <v>16</v>
      </c>
      <c r="B180" s="25" t="s">
        <v>55</v>
      </c>
      <c r="C180" s="25" t="s">
        <v>16</v>
      </c>
      <c r="D180" s="26">
        <v>4.8856000000000002</v>
      </c>
      <c r="E180" s="25"/>
      <c r="F180" s="25"/>
      <c r="G180" s="27"/>
      <c r="H180" s="25"/>
      <c r="I180" s="25"/>
    </row>
    <row r="181" spans="1:9" x14ac:dyDescent="0.25">
      <c r="A181" s="25">
        <v>17</v>
      </c>
      <c r="B181" s="25" t="s">
        <v>55</v>
      </c>
      <c r="C181" s="25" t="s">
        <v>16</v>
      </c>
      <c r="D181" s="26">
        <v>230.6114</v>
      </c>
      <c r="E181" s="25"/>
      <c r="F181" s="25"/>
      <c r="G181" s="27"/>
      <c r="H181" s="25"/>
      <c r="I181" s="25"/>
    </row>
    <row r="182" spans="1:9" x14ac:dyDescent="0.25">
      <c r="A182" s="25">
        <v>20</v>
      </c>
      <c r="B182" s="25" t="s">
        <v>55</v>
      </c>
      <c r="C182" s="25" t="s">
        <v>16</v>
      </c>
      <c r="D182" s="26">
        <v>25.265999999999998</v>
      </c>
      <c r="E182" s="25"/>
      <c r="F182" s="25"/>
      <c r="G182" s="27"/>
      <c r="H182" s="25"/>
      <c r="I182" s="25"/>
    </row>
    <row r="183" spans="1:9" x14ac:dyDescent="0.25">
      <c r="A183" s="25">
        <v>23</v>
      </c>
      <c r="B183" s="25" t="s">
        <v>55</v>
      </c>
      <c r="C183" s="25" t="s">
        <v>16</v>
      </c>
      <c r="D183" s="26">
        <v>176.15912599999999</v>
      </c>
      <c r="E183" s="25"/>
      <c r="F183" s="25"/>
      <c r="G183" s="27"/>
      <c r="H183" s="25"/>
      <c r="I183" s="25"/>
    </row>
    <row r="184" spans="1:9" x14ac:dyDescent="0.25">
      <c r="A184" s="25">
        <v>29</v>
      </c>
      <c r="B184" s="25" t="s">
        <v>55</v>
      </c>
      <c r="C184" s="25" t="s">
        <v>16</v>
      </c>
      <c r="D184" s="26">
        <v>39.142226000000001</v>
      </c>
      <c r="E184" s="25"/>
      <c r="F184" s="25"/>
      <c r="G184" s="27"/>
      <c r="H184" s="25"/>
      <c r="I184" s="25"/>
    </row>
    <row r="185" spans="1:9" x14ac:dyDescent="0.25">
      <c r="A185" s="25">
        <v>34</v>
      </c>
      <c r="B185" s="25" t="s">
        <v>55</v>
      </c>
      <c r="C185" s="25" t="s">
        <v>16</v>
      </c>
      <c r="D185" s="26">
        <v>10</v>
      </c>
      <c r="E185" s="25"/>
      <c r="F185" s="25"/>
      <c r="G185" s="27"/>
      <c r="H185" s="25"/>
      <c r="I185" s="25"/>
    </row>
    <row r="186" spans="1:9" x14ac:dyDescent="0.25">
      <c r="A186" s="25">
        <v>2</v>
      </c>
      <c r="B186" s="25" t="s">
        <v>55</v>
      </c>
      <c r="C186" s="25" t="s">
        <v>15</v>
      </c>
      <c r="D186" s="26">
        <v>23.278779999999998</v>
      </c>
      <c r="E186" s="25"/>
      <c r="F186" s="25"/>
      <c r="G186" s="27"/>
      <c r="H186" s="25"/>
      <c r="I186" s="25"/>
    </row>
    <row r="187" spans="1:9" x14ac:dyDescent="0.25">
      <c r="A187" s="25">
        <v>3</v>
      </c>
      <c r="B187" s="25" t="s">
        <v>55</v>
      </c>
      <c r="C187" s="25" t="s">
        <v>15</v>
      </c>
      <c r="D187" s="26">
        <v>60</v>
      </c>
      <c r="E187" s="25"/>
      <c r="F187" s="25"/>
      <c r="G187" s="27"/>
      <c r="H187" s="25"/>
      <c r="I187" s="25"/>
    </row>
    <row r="188" spans="1:9" x14ac:dyDescent="0.25">
      <c r="A188" s="25">
        <v>4</v>
      </c>
      <c r="B188" s="25" t="s">
        <v>55</v>
      </c>
      <c r="C188" s="25" t="s">
        <v>15</v>
      </c>
      <c r="D188" s="26">
        <v>2.5</v>
      </c>
      <c r="E188" s="25"/>
      <c r="F188" s="25"/>
      <c r="G188" s="27"/>
      <c r="H188" s="25"/>
      <c r="I188" s="25"/>
    </row>
    <row r="189" spans="1:9" x14ac:dyDescent="0.25">
      <c r="A189" s="25">
        <v>5</v>
      </c>
      <c r="B189" s="25" t="s">
        <v>55</v>
      </c>
      <c r="C189" s="25" t="s">
        <v>15</v>
      </c>
      <c r="D189" s="26">
        <v>21.45</v>
      </c>
      <c r="E189" s="25"/>
      <c r="F189" s="25"/>
      <c r="G189" s="27"/>
      <c r="H189" s="25"/>
      <c r="I189" s="25"/>
    </row>
    <row r="190" spans="1:9" x14ac:dyDescent="0.25">
      <c r="A190" s="25">
        <v>1</v>
      </c>
      <c r="B190" s="25" t="s">
        <v>38</v>
      </c>
      <c r="C190" s="25" t="s">
        <v>42</v>
      </c>
      <c r="D190" s="26">
        <v>34.846249999999998</v>
      </c>
      <c r="E190" s="25"/>
      <c r="F190" s="25"/>
      <c r="G190" s="27"/>
      <c r="H190" s="25"/>
      <c r="I190" s="25"/>
    </row>
    <row r="191" spans="1:9" x14ac:dyDescent="0.25">
      <c r="A191" s="25">
        <v>25</v>
      </c>
      <c r="B191" s="25" t="s">
        <v>38</v>
      </c>
      <c r="C191" s="25" t="s">
        <v>42</v>
      </c>
      <c r="D191" s="26">
        <v>5</v>
      </c>
      <c r="E191" s="25"/>
      <c r="F191" s="25"/>
      <c r="G191" s="27"/>
      <c r="H191" s="25"/>
      <c r="I191" s="25"/>
    </row>
    <row r="192" spans="1:9" x14ac:dyDescent="0.25">
      <c r="A192" s="25">
        <v>28</v>
      </c>
      <c r="B192" s="25" t="s">
        <v>38</v>
      </c>
      <c r="C192" s="25" t="s">
        <v>16</v>
      </c>
      <c r="D192" s="26">
        <v>85.841999999999999</v>
      </c>
      <c r="E192" s="25"/>
      <c r="F192" s="25"/>
      <c r="G192" s="27"/>
      <c r="H192" s="25"/>
      <c r="I192" s="25"/>
    </row>
    <row r="193" spans="1:9" x14ac:dyDescent="0.25">
      <c r="A193" s="25">
        <v>31</v>
      </c>
      <c r="B193" s="25" t="s">
        <v>38</v>
      </c>
      <c r="C193" s="25" t="s">
        <v>16</v>
      </c>
      <c r="D193" s="26">
        <v>155.43778400000005</v>
      </c>
      <c r="E193" s="25"/>
      <c r="F193" s="25"/>
      <c r="G193" s="27"/>
      <c r="H193" s="25"/>
      <c r="I193" s="25"/>
    </row>
    <row r="194" spans="1:9" x14ac:dyDescent="0.25">
      <c r="A194" s="25">
        <v>6</v>
      </c>
      <c r="B194" s="25" t="s">
        <v>38</v>
      </c>
      <c r="C194" s="25" t="s">
        <v>15</v>
      </c>
      <c r="D194" s="26">
        <v>1.8588</v>
      </c>
      <c r="E194" s="25"/>
      <c r="F194" s="25"/>
      <c r="G194" s="27"/>
      <c r="H194" s="25"/>
      <c r="I194" s="25"/>
    </row>
    <row r="195" spans="1:9" x14ac:dyDescent="0.25">
      <c r="A195" s="25">
        <v>18</v>
      </c>
      <c r="B195" s="25" t="s">
        <v>38</v>
      </c>
      <c r="C195" s="25" t="s">
        <v>15</v>
      </c>
      <c r="D195" s="26">
        <v>239.5</v>
      </c>
      <c r="E195" s="25"/>
      <c r="F195" s="25"/>
      <c r="G195" s="27"/>
      <c r="H195" s="25"/>
      <c r="I195" s="25"/>
    </row>
    <row r="196" spans="1:9" x14ac:dyDescent="0.25">
      <c r="A196" s="25">
        <v>19</v>
      </c>
      <c r="B196" s="25" t="s">
        <v>38</v>
      </c>
      <c r="C196" s="25" t="s">
        <v>15</v>
      </c>
      <c r="D196" s="26">
        <v>233.78664600000005</v>
      </c>
      <c r="E196" s="25"/>
      <c r="F196" s="25"/>
      <c r="G196" s="27"/>
      <c r="H196" s="25"/>
      <c r="I196" s="25"/>
    </row>
    <row r="197" spans="1:9" x14ac:dyDescent="0.25">
      <c r="A197" s="25">
        <v>21</v>
      </c>
      <c r="B197" s="25" t="s">
        <v>38</v>
      </c>
      <c r="C197" s="25" t="s">
        <v>15</v>
      </c>
      <c r="D197" s="26">
        <v>10</v>
      </c>
      <c r="E197" s="25"/>
      <c r="F197" s="25"/>
      <c r="G197" s="27"/>
      <c r="H197" s="25"/>
      <c r="I197" s="25"/>
    </row>
    <row r="198" spans="1:9" x14ac:dyDescent="0.25">
      <c r="A198" s="25">
        <v>28</v>
      </c>
      <c r="B198" s="25" t="s">
        <v>38</v>
      </c>
      <c r="C198" s="25" t="s">
        <v>15</v>
      </c>
      <c r="D198" s="26">
        <v>28.466999999999999</v>
      </c>
      <c r="E198" s="25"/>
      <c r="F198" s="25"/>
      <c r="G198" s="27"/>
      <c r="H198" s="25"/>
      <c r="I198" s="25"/>
    </row>
    <row r="199" spans="1:9" x14ac:dyDescent="0.25">
      <c r="A199" s="25">
        <v>29</v>
      </c>
      <c r="B199" s="25" t="s">
        <v>38</v>
      </c>
      <c r="C199" s="25" t="s">
        <v>15</v>
      </c>
      <c r="D199" s="26">
        <v>4.8888920000000002</v>
      </c>
      <c r="E199" s="25"/>
      <c r="F199" s="25"/>
      <c r="G199" s="27"/>
      <c r="H199" s="25"/>
      <c r="I199" s="25"/>
    </row>
    <row r="200" spans="1:9" x14ac:dyDescent="0.25">
      <c r="A200" s="25">
        <v>30</v>
      </c>
      <c r="B200" s="25" t="s">
        <v>38</v>
      </c>
      <c r="C200" s="25" t="s">
        <v>15</v>
      </c>
      <c r="D200" s="26">
        <v>68.832680000000011</v>
      </c>
      <c r="E200" s="25"/>
      <c r="F200" s="25"/>
      <c r="G200" s="27"/>
      <c r="H200" s="25"/>
      <c r="I200" s="25"/>
    </row>
    <row r="201" spans="1:9" x14ac:dyDescent="0.25">
      <c r="A201" s="25">
        <v>31</v>
      </c>
      <c r="B201" s="25" t="s">
        <v>38</v>
      </c>
      <c r="C201" s="25" t="s">
        <v>15</v>
      </c>
      <c r="D201" s="26">
        <v>213.01081499999995</v>
      </c>
      <c r="E201" s="25"/>
      <c r="F201" s="25"/>
      <c r="G201" s="27"/>
      <c r="H201" s="25"/>
      <c r="I201" s="25"/>
    </row>
    <row r="202" spans="1:9" x14ac:dyDescent="0.25">
      <c r="A202" s="25">
        <v>32</v>
      </c>
      <c r="B202" s="25" t="s">
        <v>38</v>
      </c>
      <c r="C202" s="25" t="s">
        <v>15</v>
      </c>
      <c r="D202" s="26">
        <v>314.79643299999998</v>
      </c>
      <c r="E202" s="25"/>
      <c r="F202" s="25"/>
      <c r="G202" s="27"/>
      <c r="H202" s="25"/>
      <c r="I202" s="25"/>
    </row>
    <row r="203" spans="1:9" x14ac:dyDescent="0.25">
      <c r="A203" s="25">
        <v>33</v>
      </c>
      <c r="B203" s="25" t="s">
        <v>38</v>
      </c>
      <c r="C203" s="25" t="s">
        <v>15</v>
      </c>
      <c r="D203" s="26">
        <v>42.5</v>
      </c>
      <c r="E203" s="25"/>
      <c r="F203" s="25"/>
      <c r="G203" s="27"/>
      <c r="H203" s="25"/>
      <c r="I203" s="25"/>
    </row>
    <row r="204" spans="1:9" x14ac:dyDescent="0.25">
      <c r="A204" s="25">
        <v>36</v>
      </c>
      <c r="B204" s="25" t="s">
        <v>38</v>
      </c>
      <c r="C204" s="25" t="s">
        <v>15</v>
      </c>
      <c r="D204" s="26">
        <v>63.356036999999993</v>
      </c>
      <c r="E204" s="25"/>
      <c r="F204" s="25"/>
      <c r="G204" s="27"/>
      <c r="H204" s="25"/>
      <c r="I204" s="25"/>
    </row>
    <row r="205" spans="1:9" x14ac:dyDescent="0.25">
      <c r="A205" s="25">
        <v>6</v>
      </c>
      <c r="B205" s="25" t="s">
        <v>32</v>
      </c>
      <c r="C205" s="25" t="s">
        <v>42</v>
      </c>
      <c r="D205" s="26">
        <v>240.27979999999999</v>
      </c>
      <c r="E205" s="25"/>
      <c r="F205" s="25"/>
      <c r="G205" s="27"/>
      <c r="H205" s="25"/>
      <c r="I205" s="25"/>
    </row>
    <row r="206" spans="1:9" x14ac:dyDescent="0.25">
      <c r="A206" s="25">
        <v>17</v>
      </c>
      <c r="B206" s="25" t="s">
        <v>32</v>
      </c>
      <c r="C206" s="25" t="s">
        <v>42</v>
      </c>
      <c r="D206" s="26">
        <v>35</v>
      </c>
      <c r="E206" s="25"/>
      <c r="F206" s="25"/>
      <c r="G206" s="27"/>
      <c r="H206" s="25"/>
      <c r="I206" s="25"/>
    </row>
    <row r="207" spans="1:9" ht="15" customHeight="1" x14ac:dyDescent="0.25">
      <c r="A207" s="25">
        <v>31</v>
      </c>
      <c r="B207" s="25" t="s">
        <v>32</v>
      </c>
      <c r="C207" s="25" t="s">
        <v>42</v>
      </c>
      <c r="D207" s="26">
        <v>40.720942000000001</v>
      </c>
      <c r="E207" s="25"/>
      <c r="F207" s="25"/>
      <c r="G207" s="27"/>
      <c r="H207" s="25"/>
      <c r="I207" s="25"/>
    </row>
    <row r="208" spans="1:9" x14ac:dyDescent="0.25">
      <c r="A208" s="25">
        <v>19</v>
      </c>
      <c r="B208" s="25" t="s">
        <v>32</v>
      </c>
      <c r="C208" s="25" t="s">
        <v>15</v>
      </c>
      <c r="D208" s="26">
        <v>10.623340000000001</v>
      </c>
      <c r="E208" s="25"/>
      <c r="F208" s="25"/>
      <c r="G208" s="27"/>
      <c r="H208" s="25"/>
      <c r="I208" s="25"/>
    </row>
    <row r="209" spans="1:9" x14ac:dyDescent="0.25">
      <c r="A209" s="25">
        <v>25</v>
      </c>
      <c r="B209" s="25" t="s">
        <v>32</v>
      </c>
      <c r="C209" s="25" t="s">
        <v>15</v>
      </c>
      <c r="D209" s="26">
        <v>3.3600000000000003</v>
      </c>
      <c r="E209" s="25"/>
      <c r="F209" s="25"/>
      <c r="G209" s="27"/>
      <c r="H209" s="25"/>
      <c r="I209" s="25"/>
    </row>
    <row r="210" spans="1:9" x14ac:dyDescent="0.25">
      <c r="A210" s="25">
        <v>33</v>
      </c>
      <c r="B210" s="25" t="s">
        <v>32</v>
      </c>
      <c r="C210" s="25" t="s">
        <v>15</v>
      </c>
      <c r="D210" s="26">
        <v>1.3333299999999999</v>
      </c>
      <c r="E210" s="25"/>
      <c r="F210" s="25"/>
      <c r="G210" s="27"/>
      <c r="H210" s="25"/>
      <c r="I210" s="25"/>
    </row>
    <row r="211" spans="1:9" x14ac:dyDescent="0.25">
      <c r="A211" s="25">
        <v>7</v>
      </c>
      <c r="B211" s="25" t="s">
        <v>52</v>
      </c>
      <c r="C211" s="25" t="s">
        <v>42</v>
      </c>
      <c r="D211" s="26">
        <v>104.94999999999999</v>
      </c>
      <c r="E211" s="25"/>
      <c r="F211" s="25"/>
      <c r="G211" s="27"/>
      <c r="H211" s="25"/>
      <c r="I211" s="25"/>
    </row>
    <row r="212" spans="1:9" x14ac:dyDescent="0.25">
      <c r="A212" s="25">
        <v>17</v>
      </c>
      <c r="B212" s="25" t="s">
        <v>52</v>
      </c>
      <c r="C212" s="25" t="s">
        <v>16</v>
      </c>
      <c r="D212" s="26">
        <v>139.81488999999999</v>
      </c>
      <c r="E212" s="25"/>
      <c r="F212" s="25"/>
      <c r="G212" s="27"/>
      <c r="H212" s="25"/>
      <c r="I212" s="25"/>
    </row>
    <row r="213" spans="1:9" x14ac:dyDescent="0.25">
      <c r="A213" s="25">
        <v>21</v>
      </c>
      <c r="B213" s="25" t="s">
        <v>58</v>
      </c>
      <c r="C213" s="25" t="s">
        <v>42</v>
      </c>
      <c r="D213" s="26">
        <v>2.3333330000000001</v>
      </c>
      <c r="E213" s="25"/>
      <c r="F213" s="25"/>
      <c r="G213" s="27"/>
      <c r="H213" s="25"/>
      <c r="I213" s="25"/>
    </row>
    <row r="214" spans="1:9" x14ac:dyDescent="0.25">
      <c r="A214" s="34" t="s">
        <v>187</v>
      </c>
      <c r="B214" s="34"/>
      <c r="C214" s="34"/>
      <c r="D214" s="35">
        <f>SUM(D2:D213)</f>
        <v>16593.934391960003</v>
      </c>
      <c r="E214" s="25"/>
      <c r="F214" s="25"/>
      <c r="G214" s="27"/>
      <c r="H214" s="25"/>
      <c r="I214" s="25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"/>
  <sheetViews>
    <sheetView topLeftCell="C1" workbookViewId="0">
      <selection activeCell="E2" sqref="E2"/>
    </sheetView>
    <sheetView workbookViewId="1">
      <selection activeCell="H5" sqref="H5"/>
    </sheetView>
    <sheetView workbookViewId="2"/>
  </sheetViews>
  <sheetFormatPr defaultRowHeight="15" x14ac:dyDescent="0.25"/>
  <cols>
    <col min="7" max="7" width="15" customWidth="1"/>
    <col min="8" max="8" width="17.28515625" customWidth="1"/>
    <col min="9" max="9" width="13.7109375" customWidth="1"/>
  </cols>
  <sheetData>
    <row r="1" spans="1:5" x14ac:dyDescent="0.25">
      <c r="A1" t="s">
        <v>11</v>
      </c>
      <c r="C1" t="s">
        <v>190</v>
      </c>
      <c r="D1" t="s">
        <v>188</v>
      </c>
      <c r="E1" t="s">
        <v>189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492"/>
  <sheetViews>
    <sheetView zoomScaleNormal="100" workbookViewId="0">
      <selection activeCell="F14" sqref="F14"/>
    </sheetView>
    <sheetView workbookViewId="1">
      <selection activeCell="C13" sqref="C13"/>
    </sheetView>
    <sheetView workbookViewId="2"/>
  </sheetViews>
  <sheetFormatPr defaultRowHeight="15" x14ac:dyDescent="0.25"/>
  <cols>
    <col min="2" max="2" width="15.85546875" customWidth="1"/>
    <col min="3" max="3" width="14" customWidth="1"/>
    <col min="4" max="4" width="20.140625" customWidth="1"/>
    <col min="5" max="5" width="16.7109375" customWidth="1"/>
    <col min="6" max="6" width="20" customWidth="1"/>
    <col min="7" max="7" width="18.42578125" customWidth="1"/>
    <col min="8" max="8" width="13.28515625" customWidth="1"/>
    <col min="12" max="12" width="10.7109375" bestFit="1" customWidth="1"/>
    <col min="13" max="13" width="9.7109375" bestFit="1" customWidth="1"/>
  </cols>
  <sheetData>
    <row r="1" spans="2:15" x14ac:dyDescent="0.25">
      <c r="B1" t="s">
        <v>0</v>
      </c>
      <c r="C1" t="s">
        <v>1</v>
      </c>
      <c r="D1" t="s">
        <v>12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13</v>
      </c>
      <c r="O1" t="s">
        <v>14</v>
      </c>
    </row>
    <row r="3" spans="2:15" x14ac:dyDescent="0.25">
      <c r="C3">
        <v>0</v>
      </c>
      <c r="D3">
        <v>0</v>
      </c>
      <c r="E3">
        <v>0</v>
      </c>
    </row>
    <row r="4" spans="2:15" x14ac:dyDescent="0.25">
      <c r="C4">
        <v>0</v>
      </c>
      <c r="D4">
        <v>0</v>
      </c>
      <c r="E4">
        <v>0</v>
      </c>
    </row>
    <row r="5" spans="2:15" x14ac:dyDescent="0.25">
      <c r="C5">
        <v>0</v>
      </c>
      <c r="D5">
        <v>0</v>
      </c>
      <c r="E5">
        <v>0</v>
      </c>
    </row>
    <row r="6" spans="2:15" x14ac:dyDescent="0.25">
      <c r="C6">
        <v>21</v>
      </c>
      <c r="D6">
        <v>13</v>
      </c>
      <c r="E6">
        <v>5</v>
      </c>
    </row>
    <row r="7" spans="2:15" x14ac:dyDescent="0.25">
      <c r="C7">
        <v>17</v>
      </c>
      <c r="D7">
        <v>12</v>
      </c>
      <c r="E7">
        <v>7</v>
      </c>
    </row>
    <row r="8" spans="2:15" x14ac:dyDescent="0.25">
      <c r="C8">
        <v>7</v>
      </c>
      <c r="D8">
        <v>12</v>
      </c>
      <c r="E8">
        <v>5</v>
      </c>
    </row>
    <row r="9" spans="2:15" x14ac:dyDescent="0.25">
      <c r="C9">
        <v>33</v>
      </c>
      <c r="D9">
        <v>11</v>
      </c>
      <c r="E9">
        <v>8</v>
      </c>
    </row>
    <row r="10" spans="2:15" x14ac:dyDescent="0.25">
      <c r="C10">
        <v>25</v>
      </c>
      <c r="D10">
        <v>11</v>
      </c>
      <c r="E10">
        <v>8</v>
      </c>
    </row>
    <row r="11" spans="2:15" x14ac:dyDescent="0.25">
      <c r="C11">
        <v>19</v>
      </c>
      <c r="D11">
        <v>11</v>
      </c>
      <c r="E11">
        <v>8</v>
      </c>
    </row>
    <row r="12" spans="2:15" x14ac:dyDescent="0.25">
      <c r="C12">
        <v>31</v>
      </c>
      <c r="D12">
        <v>11</v>
      </c>
      <c r="E12">
        <v>5</v>
      </c>
    </row>
    <row r="13" spans="2:15" x14ac:dyDescent="0.25">
      <c r="C13">
        <v>17</v>
      </c>
      <c r="D13">
        <v>11</v>
      </c>
      <c r="E13">
        <v>5</v>
      </c>
    </row>
    <row r="14" spans="2:15" x14ac:dyDescent="0.25">
      <c r="C14">
        <v>6</v>
      </c>
      <c r="D14">
        <v>11</v>
      </c>
      <c r="E14">
        <v>5</v>
      </c>
    </row>
    <row r="15" spans="2:15" x14ac:dyDescent="0.25">
      <c r="C15">
        <v>36</v>
      </c>
      <c r="D15">
        <v>10</v>
      </c>
      <c r="E15">
        <v>8</v>
      </c>
    </row>
    <row r="16" spans="2:15" x14ac:dyDescent="0.25">
      <c r="C16">
        <v>33</v>
      </c>
      <c r="D16">
        <v>10</v>
      </c>
      <c r="E16">
        <v>8</v>
      </c>
    </row>
    <row r="17" spans="3:5" x14ac:dyDescent="0.25">
      <c r="C17">
        <v>32</v>
      </c>
      <c r="D17">
        <v>10</v>
      </c>
      <c r="E17">
        <v>8</v>
      </c>
    </row>
    <row r="18" spans="3:5" x14ac:dyDescent="0.25">
      <c r="C18">
        <v>31</v>
      </c>
      <c r="D18">
        <v>10</v>
      </c>
      <c r="E18">
        <v>8</v>
      </c>
    </row>
    <row r="19" spans="3:5" x14ac:dyDescent="0.25">
      <c r="C19">
        <v>30</v>
      </c>
      <c r="D19">
        <v>10</v>
      </c>
      <c r="E19">
        <v>8</v>
      </c>
    </row>
    <row r="20" spans="3:5" x14ac:dyDescent="0.25">
      <c r="C20">
        <v>29</v>
      </c>
      <c r="D20">
        <v>10</v>
      </c>
      <c r="E20">
        <v>8</v>
      </c>
    </row>
    <row r="21" spans="3:5" x14ac:dyDescent="0.25">
      <c r="C21">
        <v>28</v>
      </c>
      <c r="D21">
        <v>10</v>
      </c>
      <c r="E21">
        <v>8</v>
      </c>
    </row>
    <row r="22" spans="3:5" x14ac:dyDescent="0.25">
      <c r="C22">
        <v>21</v>
      </c>
      <c r="D22">
        <v>10</v>
      </c>
      <c r="E22">
        <v>8</v>
      </c>
    </row>
    <row r="23" spans="3:5" x14ac:dyDescent="0.25">
      <c r="C23">
        <v>19</v>
      </c>
      <c r="D23">
        <v>10</v>
      </c>
      <c r="E23">
        <v>8</v>
      </c>
    </row>
    <row r="24" spans="3:5" x14ac:dyDescent="0.25">
      <c r="C24">
        <v>18</v>
      </c>
      <c r="D24">
        <v>10</v>
      </c>
      <c r="E24">
        <v>8</v>
      </c>
    </row>
    <row r="25" spans="3:5" x14ac:dyDescent="0.25">
      <c r="C25">
        <v>6</v>
      </c>
      <c r="D25">
        <v>10</v>
      </c>
      <c r="E25">
        <v>8</v>
      </c>
    </row>
    <row r="26" spans="3:5" x14ac:dyDescent="0.25">
      <c r="C26">
        <v>31</v>
      </c>
      <c r="D26">
        <v>10</v>
      </c>
      <c r="E26">
        <v>7</v>
      </c>
    </row>
    <row r="27" spans="3:5" x14ac:dyDescent="0.25">
      <c r="C27">
        <v>28</v>
      </c>
      <c r="D27">
        <v>10</v>
      </c>
      <c r="E27">
        <v>7</v>
      </c>
    </row>
    <row r="28" spans="3:5" x14ac:dyDescent="0.25">
      <c r="C28">
        <v>25</v>
      </c>
      <c r="D28">
        <v>10</v>
      </c>
      <c r="E28">
        <v>5</v>
      </c>
    </row>
    <row r="29" spans="3:5" x14ac:dyDescent="0.25">
      <c r="C29">
        <v>1</v>
      </c>
      <c r="D29">
        <v>10</v>
      </c>
      <c r="E29">
        <v>5</v>
      </c>
    </row>
    <row r="30" spans="3:5" x14ac:dyDescent="0.25">
      <c r="C30">
        <v>5</v>
      </c>
      <c r="D30">
        <v>9</v>
      </c>
      <c r="E30">
        <v>8</v>
      </c>
    </row>
    <row r="31" spans="3:5" x14ac:dyDescent="0.25">
      <c r="C31">
        <v>4</v>
      </c>
      <c r="D31">
        <v>9</v>
      </c>
      <c r="E31">
        <v>8</v>
      </c>
    </row>
    <row r="32" spans="3:5" x14ac:dyDescent="0.25">
      <c r="C32">
        <v>3</v>
      </c>
      <c r="D32">
        <v>9</v>
      </c>
      <c r="E32">
        <v>8</v>
      </c>
    </row>
    <row r="33" spans="3:5" x14ac:dyDescent="0.25">
      <c r="C33">
        <v>2</v>
      </c>
      <c r="D33">
        <v>9</v>
      </c>
      <c r="E33">
        <v>8</v>
      </c>
    </row>
    <row r="34" spans="3:5" x14ac:dyDescent="0.25">
      <c r="C34">
        <v>34</v>
      </c>
      <c r="D34">
        <v>9</v>
      </c>
      <c r="E34">
        <v>7</v>
      </c>
    </row>
    <row r="35" spans="3:5" x14ac:dyDescent="0.25">
      <c r="C35">
        <v>29</v>
      </c>
      <c r="D35">
        <v>9</v>
      </c>
      <c r="E35">
        <v>7</v>
      </c>
    </row>
    <row r="36" spans="3:5" x14ac:dyDescent="0.25">
      <c r="C36">
        <v>23</v>
      </c>
      <c r="D36">
        <v>9</v>
      </c>
      <c r="E36">
        <v>7</v>
      </c>
    </row>
    <row r="37" spans="3:5" x14ac:dyDescent="0.25">
      <c r="C37">
        <v>20</v>
      </c>
      <c r="D37">
        <v>9</v>
      </c>
      <c r="E37">
        <v>7</v>
      </c>
    </row>
    <row r="38" spans="3:5" x14ac:dyDescent="0.25">
      <c r="C38">
        <v>17</v>
      </c>
      <c r="D38">
        <v>9</v>
      </c>
      <c r="E38">
        <v>7</v>
      </c>
    </row>
    <row r="39" spans="3:5" x14ac:dyDescent="0.25">
      <c r="C39">
        <v>16</v>
      </c>
      <c r="D39">
        <v>9</v>
      </c>
      <c r="E39">
        <v>7</v>
      </c>
    </row>
    <row r="40" spans="3:5" x14ac:dyDescent="0.25">
      <c r="C40">
        <v>14</v>
      </c>
      <c r="D40">
        <v>9</v>
      </c>
      <c r="E40">
        <v>7</v>
      </c>
    </row>
    <row r="41" spans="3:5" x14ac:dyDescent="0.25">
      <c r="C41">
        <v>9</v>
      </c>
      <c r="D41">
        <v>9</v>
      </c>
      <c r="E41">
        <v>7</v>
      </c>
    </row>
    <row r="42" spans="3:5" x14ac:dyDescent="0.25">
      <c r="C42">
        <v>8</v>
      </c>
      <c r="D42">
        <v>9</v>
      </c>
      <c r="E42">
        <v>7</v>
      </c>
    </row>
    <row r="43" spans="3:5" x14ac:dyDescent="0.25">
      <c r="C43">
        <v>7</v>
      </c>
      <c r="D43">
        <v>9</v>
      </c>
      <c r="E43">
        <v>7</v>
      </c>
    </row>
    <row r="44" spans="3:5" x14ac:dyDescent="0.25">
      <c r="C44">
        <v>5</v>
      </c>
      <c r="D44">
        <v>9</v>
      </c>
      <c r="E44">
        <v>7</v>
      </c>
    </row>
    <row r="45" spans="3:5" x14ac:dyDescent="0.25">
      <c r="C45">
        <v>4</v>
      </c>
      <c r="D45">
        <v>9</v>
      </c>
      <c r="E45">
        <v>7</v>
      </c>
    </row>
    <row r="46" spans="3:5" x14ac:dyDescent="0.25">
      <c r="C46">
        <v>34</v>
      </c>
      <c r="D46">
        <v>9</v>
      </c>
      <c r="E46">
        <v>6</v>
      </c>
    </row>
    <row r="47" spans="3:5" x14ac:dyDescent="0.25">
      <c r="C47">
        <v>27</v>
      </c>
      <c r="D47">
        <v>9</v>
      </c>
      <c r="E47">
        <v>6</v>
      </c>
    </row>
    <row r="48" spans="3:5" x14ac:dyDescent="0.25">
      <c r="C48">
        <v>31</v>
      </c>
      <c r="D48">
        <v>9</v>
      </c>
      <c r="E48">
        <v>5</v>
      </c>
    </row>
    <row r="49" spans="3:5" x14ac:dyDescent="0.25">
      <c r="C49">
        <v>30</v>
      </c>
      <c r="D49">
        <v>9</v>
      </c>
      <c r="E49">
        <v>5</v>
      </c>
    </row>
    <row r="50" spans="3:5" x14ac:dyDescent="0.25">
      <c r="C50">
        <v>10</v>
      </c>
      <c r="D50">
        <v>9</v>
      </c>
      <c r="E50">
        <v>5</v>
      </c>
    </row>
    <row r="51" spans="3:5" x14ac:dyDescent="0.25">
      <c r="C51">
        <v>1</v>
      </c>
      <c r="D51">
        <v>9</v>
      </c>
      <c r="E51">
        <v>5</v>
      </c>
    </row>
    <row r="52" spans="3:5" x14ac:dyDescent="0.25">
      <c r="C52">
        <v>12</v>
      </c>
      <c r="D52">
        <v>8</v>
      </c>
      <c r="E52">
        <v>6</v>
      </c>
    </row>
    <row r="53" spans="3:5" x14ac:dyDescent="0.25">
      <c r="C53">
        <v>36</v>
      </c>
      <c r="D53">
        <v>8</v>
      </c>
      <c r="E53">
        <v>5</v>
      </c>
    </row>
    <row r="54" spans="3:5" x14ac:dyDescent="0.25">
      <c r="C54">
        <v>35</v>
      </c>
      <c r="D54">
        <v>8</v>
      </c>
      <c r="E54">
        <v>5</v>
      </c>
    </row>
    <row r="55" spans="3:5" x14ac:dyDescent="0.25">
      <c r="C55">
        <v>35</v>
      </c>
      <c r="D55">
        <v>8</v>
      </c>
      <c r="E55">
        <v>5</v>
      </c>
    </row>
    <row r="56" spans="3:5" x14ac:dyDescent="0.25">
      <c r="C56">
        <v>34</v>
      </c>
      <c r="D56">
        <v>8</v>
      </c>
      <c r="E56">
        <v>5</v>
      </c>
    </row>
    <row r="57" spans="3:5" x14ac:dyDescent="0.25">
      <c r="C57">
        <v>25</v>
      </c>
      <c r="D57">
        <v>8</v>
      </c>
      <c r="E57">
        <v>5</v>
      </c>
    </row>
    <row r="58" spans="3:5" x14ac:dyDescent="0.25">
      <c r="C58">
        <v>20</v>
      </c>
      <c r="D58">
        <v>8</v>
      </c>
      <c r="E58">
        <v>5</v>
      </c>
    </row>
    <row r="59" spans="3:5" x14ac:dyDescent="0.25">
      <c r="C59">
        <v>9</v>
      </c>
      <c r="D59">
        <v>8</v>
      </c>
      <c r="E59">
        <v>5</v>
      </c>
    </row>
    <row r="60" spans="3:5" x14ac:dyDescent="0.25">
      <c r="C60">
        <v>8</v>
      </c>
      <c r="D60">
        <v>8</v>
      </c>
      <c r="E60">
        <v>5</v>
      </c>
    </row>
    <row r="61" spans="3:5" x14ac:dyDescent="0.25">
      <c r="C61">
        <v>5</v>
      </c>
      <c r="D61">
        <v>8</v>
      </c>
      <c r="E61">
        <v>5</v>
      </c>
    </row>
    <row r="62" spans="3:5" x14ac:dyDescent="0.25">
      <c r="C62">
        <v>6</v>
      </c>
      <c r="D62">
        <v>8</v>
      </c>
      <c r="E62">
        <v>4</v>
      </c>
    </row>
    <row r="63" spans="3:5" x14ac:dyDescent="0.25">
      <c r="C63">
        <v>5</v>
      </c>
      <c r="D63">
        <v>8</v>
      </c>
      <c r="E63">
        <v>4</v>
      </c>
    </row>
    <row r="64" spans="3:5" x14ac:dyDescent="0.25">
      <c r="C64">
        <v>2</v>
      </c>
      <c r="D64">
        <v>7</v>
      </c>
      <c r="E64">
        <v>5</v>
      </c>
    </row>
    <row r="65" spans="3:5" x14ac:dyDescent="0.25">
      <c r="C65">
        <v>14</v>
      </c>
      <c r="D65">
        <v>7</v>
      </c>
      <c r="E65">
        <v>4</v>
      </c>
    </row>
    <row r="66" spans="3:5" x14ac:dyDescent="0.25">
      <c r="C66">
        <v>5</v>
      </c>
      <c r="D66">
        <v>6</v>
      </c>
      <c r="E66">
        <v>4</v>
      </c>
    </row>
    <row r="67" spans="3:5" x14ac:dyDescent="0.25">
      <c r="C67">
        <v>34</v>
      </c>
      <c r="D67">
        <v>7</v>
      </c>
      <c r="E67">
        <v>4</v>
      </c>
    </row>
    <row r="68" spans="3:5" x14ac:dyDescent="0.25">
      <c r="C68">
        <v>9</v>
      </c>
      <c r="D68">
        <v>8</v>
      </c>
      <c r="E68">
        <v>4</v>
      </c>
    </row>
    <row r="69" spans="3:5" x14ac:dyDescent="0.25">
      <c r="C69">
        <v>29</v>
      </c>
      <c r="D69">
        <v>10</v>
      </c>
      <c r="E69">
        <v>7</v>
      </c>
    </row>
    <row r="70" spans="3:5" x14ac:dyDescent="0.25">
      <c r="C70">
        <v>17</v>
      </c>
      <c r="D70">
        <v>8</v>
      </c>
      <c r="E70">
        <v>5</v>
      </c>
    </row>
    <row r="71" spans="3:5" x14ac:dyDescent="0.25">
      <c r="C71">
        <v>18</v>
      </c>
      <c r="D71">
        <v>10</v>
      </c>
      <c r="E71">
        <v>7</v>
      </c>
    </row>
    <row r="72" spans="3:5" x14ac:dyDescent="0.25">
      <c r="C72">
        <v>23</v>
      </c>
      <c r="D72">
        <v>8</v>
      </c>
      <c r="E72">
        <v>5</v>
      </c>
    </row>
    <row r="73" spans="3:5" x14ac:dyDescent="0.25">
      <c r="C73">
        <v>19</v>
      </c>
      <c r="D73">
        <v>10</v>
      </c>
      <c r="E73">
        <v>7</v>
      </c>
    </row>
    <row r="74" spans="3:5" x14ac:dyDescent="0.25">
      <c r="C74">
        <v>13</v>
      </c>
      <c r="D74">
        <v>9</v>
      </c>
      <c r="E74">
        <v>7</v>
      </c>
    </row>
    <row r="75" spans="3:5" x14ac:dyDescent="0.25">
      <c r="C75">
        <v>30</v>
      </c>
      <c r="D75">
        <v>9</v>
      </c>
      <c r="E75">
        <v>6</v>
      </c>
    </row>
    <row r="76" spans="3:5" x14ac:dyDescent="0.25">
      <c r="C76">
        <v>2</v>
      </c>
      <c r="D76">
        <v>8</v>
      </c>
      <c r="E76">
        <v>6</v>
      </c>
    </row>
    <row r="77" spans="3:5" x14ac:dyDescent="0.25">
      <c r="C77">
        <v>36</v>
      </c>
      <c r="D77">
        <v>10</v>
      </c>
      <c r="E77">
        <v>5</v>
      </c>
    </row>
    <row r="78" spans="3:5" x14ac:dyDescent="0.25">
      <c r="C78">
        <v>3</v>
      </c>
      <c r="D78">
        <v>9</v>
      </c>
      <c r="E78">
        <v>6</v>
      </c>
    </row>
    <row r="79" spans="3:5" x14ac:dyDescent="0.25">
      <c r="C79">
        <v>26</v>
      </c>
      <c r="D79">
        <v>8</v>
      </c>
      <c r="E79">
        <v>5</v>
      </c>
    </row>
    <row r="80" spans="3:5" x14ac:dyDescent="0.25">
      <c r="C80">
        <v>26</v>
      </c>
      <c r="D80">
        <v>12</v>
      </c>
      <c r="E80">
        <v>8</v>
      </c>
    </row>
    <row r="81" spans="3:5" x14ac:dyDescent="0.25">
      <c r="C81">
        <v>29</v>
      </c>
      <c r="D81">
        <v>13</v>
      </c>
      <c r="E81">
        <v>6</v>
      </c>
    </row>
    <row r="82" spans="3:5" x14ac:dyDescent="0.25">
      <c r="C82">
        <v>36</v>
      </c>
      <c r="D82">
        <v>11</v>
      </c>
      <c r="E82">
        <v>6</v>
      </c>
    </row>
    <row r="83" spans="3:5" x14ac:dyDescent="0.25">
      <c r="C83">
        <v>1</v>
      </c>
      <c r="D83">
        <v>11</v>
      </c>
      <c r="E83">
        <v>6</v>
      </c>
    </row>
    <row r="84" spans="3:5" x14ac:dyDescent="0.25">
      <c r="C84">
        <v>7</v>
      </c>
      <c r="D84">
        <v>11</v>
      </c>
      <c r="E84">
        <v>5</v>
      </c>
    </row>
    <row r="85" spans="3:5" x14ac:dyDescent="0.25">
      <c r="C85">
        <v>31</v>
      </c>
      <c r="D85">
        <v>12</v>
      </c>
      <c r="E85">
        <v>5</v>
      </c>
    </row>
    <row r="86" spans="3:5" x14ac:dyDescent="0.25">
      <c r="C86">
        <v>19</v>
      </c>
      <c r="D86">
        <v>11</v>
      </c>
      <c r="E86">
        <v>5</v>
      </c>
    </row>
    <row r="87" spans="3:5" x14ac:dyDescent="0.25">
      <c r="C87">
        <v>30</v>
      </c>
      <c r="D87">
        <v>11</v>
      </c>
      <c r="E87">
        <v>5</v>
      </c>
    </row>
    <row r="88" spans="3:5" x14ac:dyDescent="0.25">
      <c r="C88">
        <v>8</v>
      </c>
      <c r="D88">
        <v>11</v>
      </c>
      <c r="E88">
        <v>5</v>
      </c>
    </row>
    <row r="89" spans="3:5" x14ac:dyDescent="0.25">
      <c r="C89">
        <v>18</v>
      </c>
      <c r="D89">
        <v>11</v>
      </c>
      <c r="E89">
        <v>5</v>
      </c>
    </row>
    <row r="90" spans="3:5" x14ac:dyDescent="0.25">
      <c r="C90">
        <v>30</v>
      </c>
      <c r="D90">
        <v>12</v>
      </c>
      <c r="E90">
        <v>5</v>
      </c>
    </row>
    <row r="91" spans="3:5" x14ac:dyDescent="0.25">
      <c r="C91">
        <v>36</v>
      </c>
      <c r="D91">
        <v>12</v>
      </c>
      <c r="E91">
        <v>6</v>
      </c>
    </row>
    <row r="92" spans="3:5" x14ac:dyDescent="0.25">
      <c r="C92">
        <v>32</v>
      </c>
      <c r="D92">
        <v>12</v>
      </c>
      <c r="E92">
        <v>5</v>
      </c>
    </row>
    <row r="93" spans="3:5" x14ac:dyDescent="0.25">
      <c r="C93">
        <v>26</v>
      </c>
      <c r="D93">
        <v>12</v>
      </c>
      <c r="E93">
        <v>6</v>
      </c>
    </row>
    <row r="94" spans="3:5" x14ac:dyDescent="0.25">
      <c r="C94">
        <v>27</v>
      </c>
      <c r="D94">
        <v>13</v>
      </c>
      <c r="E94">
        <v>6</v>
      </c>
    </row>
    <row r="95" spans="3:5" x14ac:dyDescent="0.25">
      <c r="C95">
        <v>15</v>
      </c>
      <c r="D95">
        <v>12</v>
      </c>
      <c r="E95">
        <v>6</v>
      </c>
    </row>
    <row r="96" spans="3:5" x14ac:dyDescent="0.25">
      <c r="C96">
        <v>16</v>
      </c>
      <c r="D96">
        <v>11</v>
      </c>
      <c r="E96">
        <v>6</v>
      </c>
    </row>
    <row r="97" spans="3:5" x14ac:dyDescent="0.25">
      <c r="C97">
        <v>32</v>
      </c>
      <c r="D97">
        <v>9</v>
      </c>
      <c r="E97">
        <v>5</v>
      </c>
    </row>
    <row r="98" spans="3:5" x14ac:dyDescent="0.25">
      <c r="C98">
        <v>8</v>
      </c>
      <c r="D98">
        <v>10</v>
      </c>
      <c r="E98">
        <v>8</v>
      </c>
    </row>
    <row r="99" spans="3:5" x14ac:dyDescent="0.25">
      <c r="C99">
        <v>12</v>
      </c>
      <c r="D99">
        <v>12</v>
      </c>
      <c r="E99">
        <v>6</v>
      </c>
    </row>
    <row r="100" spans="3:5" x14ac:dyDescent="0.25">
      <c r="C100">
        <v>11</v>
      </c>
      <c r="D100">
        <v>12</v>
      </c>
      <c r="E100">
        <v>6</v>
      </c>
    </row>
    <row r="101" spans="3:5" x14ac:dyDescent="0.25">
      <c r="C101">
        <v>21</v>
      </c>
      <c r="D101">
        <v>9</v>
      </c>
      <c r="E101">
        <v>6</v>
      </c>
    </row>
    <row r="102" spans="3:5" x14ac:dyDescent="0.25">
      <c r="C102">
        <v>25</v>
      </c>
      <c r="D102">
        <v>9</v>
      </c>
      <c r="E102">
        <v>7</v>
      </c>
    </row>
    <row r="103" spans="3:5" x14ac:dyDescent="0.25">
      <c r="C103">
        <v>6</v>
      </c>
      <c r="D103">
        <v>12</v>
      </c>
      <c r="E103">
        <v>6</v>
      </c>
    </row>
    <row r="104" spans="3:5" x14ac:dyDescent="0.25">
      <c r="C104">
        <v>1</v>
      </c>
      <c r="D104">
        <v>11</v>
      </c>
      <c r="E104">
        <v>7</v>
      </c>
    </row>
    <row r="105" spans="3:5" x14ac:dyDescent="0.25">
      <c r="C105">
        <v>33</v>
      </c>
      <c r="D105">
        <v>13</v>
      </c>
      <c r="E105">
        <v>6</v>
      </c>
    </row>
    <row r="106" spans="3:5" x14ac:dyDescent="0.25">
      <c r="C106">
        <v>24</v>
      </c>
      <c r="D106">
        <v>9</v>
      </c>
      <c r="E106">
        <v>7</v>
      </c>
    </row>
    <row r="107" spans="3:5" x14ac:dyDescent="0.25">
      <c r="C107">
        <v>22</v>
      </c>
      <c r="D107">
        <v>10</v>
      </c>
      <c r="E107">
        <v>7</v>
      </c>
    </row>
    <row r="108" spans="3:5" x14ac:dyDescent="0.25">
      <c r="C108">
        <v>35</v>
      </c>
      <c r="D108">
        <v>10</v>
      </c>
      <c r="E108">
        <v>7</v>
      </c>
    </row>
    <row r="109" spans="3:5" x14ac:dyDescent="0.25">
      <c r="C109">
        <v>32</v>
      </c>
      <c r="D109">
        <v>10</v>
      </c>
      <c r="E109">
        <v>7</v>
      </c>
    </row>
    <row r="110" spans="3:5" x14ac:dyDescent="0.25">
      <c r="C110">
        <v>20</v>
      </c>
      <c r="D110">
        <v>10</v>
      </c>
      <c r="E110">
        <v>8</v>
      </c>
    </row>
    <row r="111" spans="3:5" x14ac:dyDescent="0.25">
      <c r="C111">
        <v>19</v>
      </c>
      <c r="D111">
        <v>9</v>
      </c>
      <c r="E111">
        <v>6</v>
      </c>
    </row>
    <row r="112" spans="3:5" x14ac:dyDescent="0.25">
      <c r="C112">
        <v>2</v>
      </c>
      <c r="D112">
        <v>11</v>
      </c>
      <c r="E112">
        <v>6</v>
      </c>
    </row>
    <row r="113" spans="3:5" x14ac:dyDescent="0.25">
      <c r="C113">
        <v>26</v>
      </c>
      <c r="D113">
        <v>10</v>
      </c>
      <c r="E113">
        <v>8</v>
      </c>
    </row>
    <row r="114" spans="3:5" x14ac:dyDescent="0.25">
      <c r="C114">
        <v>12</v>
      </c>
      <c r="D114">
        <v>11</v>
      </c>
      <c r="E114">
        <v>6</v>
      </c>
    </row>
    <row r="115" spans="3:5" x14ac:dyDescent="0.25">
      <c r="C115">
        <v>10</v>
      </c>
      <c r="D115">
        <v>11</v>
      </c>
      <c r="E115">
        <v>6</v>
      </c>
    </row>
    <row r="116" spans="3:5" x14ac:dyDescent="0.25">
      <c r="C116">
        <v>13</v>
      </c>
      <c r="D116">
        <v>12</v>
      </c>
      <c r="E116">
        <v>6</v>
      </c>
    </row>
    <row r="117" spans="3:5" x14ac:dyDescent="0.25">
      <c r="C117">
        <v>5</v>
      </c>
      <c r="D117">
        <v>8</v>
      </c>
      <c r="E117">
        <v>6</v>
      </c>
    </row>
    <row r="118" spans="3:5" x14ac:dyDescent="0.25">
      <c r="C118">
        <v>8</v>
      </c>
      <c r="D118">
        <v>9</v>
      </c>
      <c r="E118">
        <v>6</v>
      </c>
    </row>
    <row r="119" spans="3:5" x14ac:dyDescent="0.25">
      <c r="C119">
        <v>1</v>
      </c>
      <c r="D119">
        <v>12</v>
      </c>
      <c r="E119">
        <v>7</v>
      </c>
    </row>
    <row r="120" spans="3:5" x14ac:dyDescent="0.25">
      <c r="C120">
        <v>31</v>
      </c>
      <c r="D120">
        <v>13</v>
      </c>
      <c r="E120">
        <v>6</v>
      </c>
    </row>
    <row r="121" spans="3:5" x14ac:dyDescent="0.25">
      <c r="C121">
        <v>1</v>
      </c>
      <c r="D121">
        <v>8</v>
      </c>
      <c r="E121">
        <v>6</v>
      </c>
    </row>
    <row r="122" spans="3:5" x14ac:dyDescent="0.25">
      <c r="C122">
        <v>14</v>
      </c>
      <c r="D122">
        <v>12</v>
      </c>
      <c r="E122">
        <v>6</v>
      </c>
    </row>
    <row r="123" spans="3:5" x14ac:dyDescent="0.25">
      <c r="C123">
        <v>23</v>
      </c>
      <c r="D123">
        <v>12</v>
      </c>
      <c r="E123">
        <v>6</v>
      </c>
    </row>
    <row r="124" spans="3:5" x14ac:dyDescent="0.25">
      <c r="C124">
        <v>26</v>
      </c>
      <c r="D124">
        <v>9</v>
      </c>
      <c r="E124">
        <v>7</v>
      </c>
    </row>
    <row r="125" spans="3:5" x14ac:dyDescent="0.25">
      <c r="C125">
        <v>12</v>
      </c>
      <c r="D125">
        <v>8</v>
      </c>
      <c r="E125">
        <v>5</v>
      </c>
    </row>
    <row r="126" spans="3:5" x14ac:dyDescent="0.25">
      <c r="C126">
        <v>10</v>
      </c>
      <c r="D126">
        <v>9</v>
      </c>
      <c r="E126">
        <v>7</v>
      </c>
    </row>
    <row r="127" spans="3:5" x14ac:dyDescent="0.25">
      <c r="C127">
        <v>1</v>
      </c>
      <c r="D127">
        <v>8</v>
      </c>
      <c r="E127">
        <v>5</v>
      </c>
    </row>
    <row r="128" spans="3:5" x14ac:dyDescent="0.25">
      <c r="C128">
        <v>13</v>
      </c>
      <c r="D128">
        <v>11</v>
      </c>
      <c r="E128">
        <v>6</v>
      </c>
    </row>
    <row r="129" spans="3:5" x14ac:dyDescent="0.25">
      <c r="C129">
        <v>21</v>
      </c>
      <c r="D129">
        <v>9</v>
      </c>
      <c r="E129">
        <v>7</v>
      </c>
    </row>
    <row r="130" spans="3:5" x14ac:dyDescent="0.25">
      <c r="C130">
        <v>7</v>
      </c>
      <c r="D130">
        <v>8</v>
      </c>
      <c r="E130">
        <v>6</v>
      </c>
    </row>
    <row r="131" spans="3:5" x14ac:dyDescent="0.25">
      <c r="C131">
        <v>6</v>
      </c>
      <c r="D131">
        <v>8</v>
      </c>
      <c r="E131">
        <v>6</v>
      </c>
    </row>
    <row r="132" spans="3:5" x14ac:dyDescent="0.25">
      <c r="C132">
        <v>28</v>
      </c>
      <c r="D132">
        <v>12</v>
      </c>
      <c r="E132">
        <v>6</v>
      </c>
    </row>
    <row r="133" spans="3:5" x14ac:dyDescent="0.25">
      <c r="C133">
        <v>26</v>
      </c>
      <c r="D133">
        <v>11</v>
      </c>
      <c r="E133">
        <v>6</v>
      </c>
    </row>
    <row r="134" spans="3:5" x14ac:dyDescent="0.25">
      <c r="C134">
        <v>32</v>
      </c>
      <c r="D134">
        <v>12</v>
      </c>
      <c r="E134">
        <v>6</v>
      </c>
    </row>
    <row r="135" spans="3:5" x14ac:dyDescent="0.25">
      <c r="C135">
        <v>21</v>
      </c>
      <c r="D135">
        <v>6</v>
      </c>
      <c r="E135">
        <v>4</v>
      </c>
    </row>
    <row r="136" spans="3:5" x14ac:dyDescent="0.25">
      <c r="C136">
        <v>10</v>
      </c>
      <c r="D136">
        <v>10</v>
      </c>
      <c r="E136">
        <v>8</v>
      </c>
    </row>
    <row r="137" spans="3:5" x14ac:dyDescent="0.25">
      <c r="C137">
        <v>24</v>
      </c>
      <c r="D137">
        <v>12</v>
      </c>
      <c r="E137">
        <v>6</v>
      </c>
    </row>
    <row r="138" spans="3:5" x14ac:dyDescent="0.25">
      <c r="C138">
        <v>25</v>
      </c>
      <c r="D138">
        <v>12</v>
      </c>
      <c r="E138">
        <v>6</v>
      </c>
    </row>
    <row r="139" spans="3:5" x14ac:dyDescent="0.25">
      <c r="C139">
        <v>2</v>
      </c>
      <c r="D139">
        <v>10</v>
      </c>
      <c r="E139">
        <v>8</v>
      </c>
    </row>
    <row r="140" spans="3:5" x14ac:dyDescent="0.25">
      <c r="C140">
        <v>17</v>
      </c>
      <c r="D140">
        <v>10</v>
      </c>
      <c r="E140">
        <v>8</v>
      </c>
    </row>
    <row r="141" spans="3:5" x14ac:dyDescent="0.25">
      <c r="C141">
        <v>4</v>
      </c>
      <c r="D141">
        <v>11</v>
      </c>
      <c r="E141">
        <v>6</v>
      </c>
    </row>
    <row r="142" spans="3:5" x14ac:dyDescent="0.25">
      <c r="C142">
        <v>25</v>
      </c>
      <c r="D142">
        <v>11</v>
      </c>
      <c r="E142">
        <v>6</v>
      </c>
    </row>
    <row r="143" spans="3:5" x14ac:dyDescent="0.25">
      <c r="C143">
        <v>24</v>
      </c>
      <c r="D143">
        <v>11</v>
      </c>
      <c r="E143">
        <v>6</v>
      </c>
    </row>
    <row r="144" spans="3:5" x14ac:dyDescent="0.25">
      <c r="C144">
        <v>7</v>
      </c>
      <c r="D144">
        <v>11</v>
      </c>
      <c r="E144">
        <v>6</v>
      </c>
    </row>
    <row r="145" spans="3:5" x14ac:dyDescent="0.25">
      <c r="C145">
        <v>22</v>
      </c>
      <c r="D145">
        <v>11</v>
      </c>
      <c r="E145">
        <v>6</v>
      </c>
    </row>
    <row r="146" spans="3:5" x14ac:dyDescent="0.25">
      <c r="C146">
        <v>31</v>
      </c>
      <c r="D146">
        <v>11</v>
      </c>
      <c r="E146">
        <v>8</v>
      </c>
    </row>
    <row r="147" spans="3:5" x14ac:dyDescent="0.25">
      <c r="C147">
        <v>13</v>
      </c>
      <c r="D147">
        <v>9</v>
      </c>
      <c r="E147">
        <v>6</v>
      </c>
    </row>
    <row r="148" spans="3:5" x14ac:dyDescent="0.25">
      <c r="C148">
        <v>1</v>
      </c>
      <c r="D148">
        <v>10</v>
      </c>
      <c r="E148">
        <v>6</v>
      </c>
    </row>
    <row r="149" spans="3:5" x14ac:dyDescent="0.25">
      <c r="C149">
        <v>26</v>
      </c>
      <c r="D149">
        <v>8</v>
      </c>
      <c r="E149">
        <v>4</v>
      </c>
    </row>
    <row r="150" spans="3:5" x14ac:dyDescent="0.25">
      <c r="C150">
        <v>15</v>
      </c>
      <c r="D150">
        <v>10</v>
      </c>
      <c r="E150">
        <v>8</v>
      </c>
    </row>
    <row r="151" spans="3:5" x14ac:dyDescent="0.25">
      <c r="C151">
        <v>19</v>
      </c>
      <c r="D151">
        <v>9</v>
      </c>
      <c r="E151">
        <v>5</v>
      </c>
    </row>
    <row r="152" spans="3:5" x14ac:dyDescent="0.25">
      <c r="C152">
        <v>3</v>
      </c>
      <c r="D152">
        <v>11</v>
      </c>
      <c r="E152">
        <v>6</v>
      </c>
    </row>
    <row r="153" spans="3:5" x14ac:dyDescent="0.25">
      <c r="C153">
        <v>16</v>
      </c>
      <c r="D153">
        <v>11</v>
      </c>
      <c r="E153">
        <v>8</v>
      </c>
    </row>
    <row r="154" spans="3:5" x14ac:dyDescent="0.25">
      <c r="C154">
        <v>9</v>
      </c>
      <c r="D154">
        <v>10</v>
      </c>
      <c r="E154">
        <v>8</v>
      </c>
    </row>
    <row r="155" spans="3:5" x14ac:dyDescent="0.25">
      <c r="C155">
        <v>1</v>
      </c>
      <c r="D155">
        <v>9</v>
      </c>
      <c r="E155">
        <v>6</v>
      </c>
    </row>
    <row r="156" spans="3:5" x14ac:dyDescent="0.25">
      <c r="C156">
        <v>20</v>
      </c>
      <c r="D156">
        <v>12</v>
      </c>
      <c r="E156">
        <v>7</v>
      </c>
    </row>
    <row r="157" spans="3:5" x14ac:dyDescent="0.25">
      <c r="C157">
        <v>11</v>
      </c>
      <c r="D157">
        <v>11</v>
      </c>
      <c r="E157">
        <v>6</v>
      </c>
    </row>
    <row r="158" spans="3:5" x14ac:dyDescent="0.25">
      <c r="C158">
        <v>3</v>
      </c>
      <c r="D158">
        <v>10</v>
      </c>
      <c r="E158">
        <v>7</v>
      </c>
    </row>
    <row r="159" spans="3:5" x14ac:dyDescent="0.25">
      <c r="C159">
        <v>16</v>
      </c>
      <c r="D159">
        <v>12</v>
      </c>
      <c r="E159">
        <v>7</v>
      </c>
    </row>
    <row r="160" spans="3:5" x14ac:dyDescent="0.25">
      <c r="C160">
        <v>28</v>
      </c>
      <c r="D160">
        <v>11</v>
      </c>
      <c r="E160">
        <v>8</v>
      </c>
    </row>
    <row r="161" spans="3:5" x14ac:dyDescent="0.25">
      <c r="C161">
        <v>11</v>
      </c>
      <c r="D161">
        <v>8</v>
      </c>
      <c r="E161">
        <v>5</v>
      </c>
    </row>
    <row r="162" spans="3:5" x14ac:dyDescent="0.25">
      <c r="C162">
        <v>36</v>
      </c>
      <c r="D162">
        <v>10</v>
      </c>
      <c r="E162">
        <v>7</v>
      </c>
    </row>
    <row r="163" spans="3:5" x14ac:dyDescent="0.25">
      <c r="C163">
        <v>22</v>
      </c>
      <c r="D163">
        <v>8</v>
      </c>
      <c r="E163">
        <v>5</v>
      </c>
    </row>
    <row r="164" spans="3:5" x14ac:dyDescent="0.25">
      <c r="C164">
        <v>15</v>
      </c>
      <c r="D164">
        <v>11</v>
      </c>
      <c r="E164">
        <v>6</v>
      </c>
    </row>
    <row r="165" spans="3:5" x14ac:dyDescent="0.25">
      <c r="C165">
        <v>8</v>
      </c>
      <c r="D165">
        <v>10</v>
      </c>
      <c r="E165">
        <v>5</v>
      </c>
    </row>
    <row r="166" spans="3:5" x14ac:dyDescent="0.25">
      <c r="C166">
        <v>29</v>
      </c>
      <c r="D166">
        <v>12</v>
      </c>
      <c r="E166">
        <v>8</v>
      </c>
    </row>
    <row r="167" spans="3:5" x14ac:dyDescent="0.25">
      <c r="C167">
        <v>9</v>
      </c>
      <c r="D167">
        <v>11</v>
      </c>
      <c r="E167">
        <v>6</v>
      </c>
    </row>
    <row r="168" spans="3:5" x14ac:dyDescent="0.25">
      <c r="C168">
        <v>12</v>
      </c>
      <c r="D168">
        <v>10</v>
      </c>
      <c r="E168">
        <v>6</v>
      </c>
    </row>
    <row r="169" spans="3:5" x14ac:dyDescent="0.25">
      <c r="C169">
        <v>4</v>
      </c>
      <c r="D169">
        <v>9</v>
      </c>
      <c r="E169">
        <v>5</v>
      </c>
    </row>
    <row r="170" spans="3:5" x14ac:dyDescent="0.25">
      <c r="C170">
        <v>13</v>
      </c>
      <c r="D170">
        <v>13</v>
      </c>
      <c r="E170">
        <v>7</v>
      </c>
    </row>
    <row r="171" spans="3:5" x14ac:dyDescent="0.25">
      <c r="C171">
        <v>21</v>
      </c>
      <c r="D171">
        <v>9</v>
      </c>
      <c r="E171">
        <v>5</v>
      </c>
    </row>
    <row r="172" spans="3:5" x14ac:dyDescent="0.25">
      <c r="C172">
        <v>33</v>
      </c>
      <c r="D172">
        <v>9</v>
      </c>
      <c r="E172">
        <v>5</v>
      </c>
    </row>
    <row r="173" spans="3:5" x14ac:dyDescent="0.25">
      <c r="C173">
        <v>7</v>
      </c>
      <c r="D173">
        <v>8</v>
      </c>
      <c r="E173">
        <v>5</v>
      </c>
    </row>
    <row r="174" spans="3:5" x14ac:dyDescent="0.25">
      <c r="C174">
        <v>7</v>
      </c>
      <c r="D174">
        <v>9</v>
      </c>
      <c r="E174">
        <v>6</v>
      </c>
    </row>
    <row r="175" spans="3:5" x14ac:dyDescent="0.25">
      <c r="C175">
        <v>18</v>
      </c>
      <c r="D175">
        <v>8</v>
      </c>
      <c r="E175">
        <v>5</v>
      </c>
    </row>
    <row r="176" spans="3:5" x14ac:dyDescent="0.25">
      <c r="C176">
        <v>25</v>
      </c>
      <c r="D176">
        <v>7</v>
      </c>
      <c r="E176">
        <v>4</v>
      </c>
    </row>
    <row r="177" spans="3:5" x14ac:dyDescent="0.25">
      <c r="C177">
        <v>12</v>
      </c>
      <c r="D177">
        <v>6</v>
      </c>
      <c r="E177">
        <v>4</v>
      </c>
    </row>
    <row r="178" spans="3:5" x14ac:dyDescent="0.25">
      <c r="C178">
        <v>32</v>
      </c>
      <c r="D178">
        <v>7</v>
      </c>
      <c r="E178">
        <v>4</v>
      </c>
    </row>
    <row r="179" spans="3:5" x14ac:dyDescent="0.25">
      <c r="C179">
        <v>4</v>
      </c>
      <c r="D179">
        <v>6</v>
      </c>
      <c r="E179">
        <v>4</v>
      </c>
    </row>
    <row r="180" spans="3:5" x14ac:dyDescent="0.25">
      <c r="C180">
        <v>19</v>
      </c>
      <c r="D180">
        <v>7</v>
      </c>
      <c r="E180">
        <v>4</v>
      </c>
    </row>
    <row r="181" spans="3:5" x14ac:dyDescent="0.25">
      <c r="C181">
        <v>23</v>
      </c>
      <c r="D181">
        <v>9</v>
      </c>
      <c r="E181">
        <v>5</v>
      </c>
    </row>
    <row r="182" spans="3:5" x14ac:dyDescent="0.25">
      <c r="C182">
        <v>7</v>
      </c>
      <c r="D182">
        <v>10</v>
      </c>
      <c r="E182">
        <v>5</v>
      </c>
    </row>
    <row r="183" spans="3:5" x14ac:dyDescent="0.25">
      <c r="C183">
        <v>5</v>
      </c>
      <c r="D183">
        <v>10</v>
      </c>
      <c r="E183">
        <v>5</v>
      </c>
    </row>
    <row r="184" spans="3:5" x14ac:dyDescent="0.25">
      <c r="C184">
        <v>27</v>
      </c>
      <c r="D184">
        <v>8</v>
      </c>
      <c r="E184">
        <v>5</v>
      </c>
    </row>
    <row r="185" spans="3:5" x14ac:dyDescent="0.25">
      <c r="C185">
        <v>22</v>
      </c>
      <c r="D185">
        <v>11</v>
      </c>
      <c r="E185">
        <v>8</v>
      </c>
    </row>
    <row r="186" spans="3:5" x14ac:dyDescent="0.25">
      <c r="C186">
        <v>15</v>
      </c>
      <c r="D186">
        <v>11</v>
      </c>
      <c r="E186">
        <v>8</v>
      </c>
    </row>
    <row r="187" spans="3:5" x14ac:dyDescent="0.25">
      <c r="C187">
        <v>27</v>
      </c>
      <c r="D187">
        <v>11</v>
      </c>
      <c r="E187">
        <v>6</v>
      </c>
    </row>
    <row r="188" spans="3:5" x14ac:dyDescent="0.25">
      <c r="C188">
        <v>8</v>
      </c>
      <c r="D188">
        <v>6</v>
      </c>
      <c r="E188">
        <v>4</v>
      </c>
    </row>
    <row r="189" spans="3:5" x14ac:dyDescent="0.25">
      <c r="C189">
        <v>22</v>
      </c>
      <c r="D189">
        <v>6</v>
      </c>
      <c r="E189">
        <v>4</v>
      </c>
    </row>
    <row r="190" spans="3:5" x14ac:dyDescent="0.25">
      <c r="C190">
        <v>15</v>
      </c>
      <c r="D190">
        <v>10</v>
      </c>
      <c r="E190">
        <v>6</v>
      </c>
    </row>
    <row r="191" spans="3:5" x14ac:dyDescent="0.25">
      <c r="C191">
        <v>23</v>
      </c>
      <c r="D191">
        <v>13</v>
      </c>
      <c r="E191">
        <v>7</v>
      </c>
    </row>
    <row r="192" spans="3:5" x14ac:dyDescent="0.25">
      <c r="C192">
        <v>26</v>
      </c>
      <c r="D192">
        <v>9</v>
      </c>
      <c r="E192">
        <v>5</v>
      </c>
    </row>
    <row r="193" spans="3:5" x14ac:dyDescent="0.25">
      <c r="C193">
        <v>27</v>
      </c>
      <c r="D193">
        <v>4</v>
      </c>
      <c r="E193">
        <v>6</v>
      </c>
    </row>
    <row r="194" spans="3:5" x14ac:dyDescent="0.25">
      <c r="C194">
        <v>21</v>
      </c>
      <c r="D194">
        <v>10</v>
      </c>
      <c r="E194">
        <v>5</v>
      </c>
    </row>
    <row r="195" spans="3:5" x14ac:dyDescent="0.25">
      <c r="C195">
        <v>31</v>
      </c>
      <c r="D195">
        <v>10</v>
      </c>
      <c r="E195">
        <v>5</v>
      </c>
    </row>
    <row r="196" spans="3:5" x14ac:dyDescent="0.25">
      <c r="C196">
        <v>22</v>
      </c>
      <c r="D196">
        <v>7</v>
      </c>
      <c r="E196">
        <v>4</v>
      </c>
    </row>
    <row r="197" spans="3:5" x14ac:dyDescent="0.25">
      <c r="C197">
        <v>24</v>
      </c>
      <c r="D197">
        <v>7</v>
      </c>
      <c r="E197">
        <v>4</v>
      </c>
    </row>
    <row r="198" spans="3:5" x14ac:dyDescent="0.25">
      <c r="C198">
        <v>32</v>
      </c>
      <c r="D198">
        <v>8</v>
      </c>
      <c r="E198">
        <v>4</v>
      </c>
    </row>
    <row r="199" spans="3:5" x14ac:dyDescent="0.25">
      <c r="C199">
        <v>16</v>
      </c>
      <c r="D199">
        <v>6</v>
      </c>
      <c r="E199">
        <v>4</v>
      </c>
    </row>
    <row r="200" spans="3:5" x14ac:dyDescent="0.25">
      <c r="C200">
        <v>5</v>
      </c>
      <c r="D200">
        <v>9</v>
      </c>
      <c r="E200">
        <v>5</v>
      </c>
    </row>
    <row r="201" spans="3:5" x14ac:dyDescent="0.25">
      <c r="C201">
        <v>28</v>
      </c>
      <c r="D201">
        <v>10</v>
      </c>
      <c r="E201">
        <v>5</v>
      </c>
    </row>
    <row r="202" spans="3:5" x14ac:dyDescent="0.25">
      <c r="C202">
        <v>17</v>
      </c>
      <c r="D202">
        <v>10</v>
      </c>
      <c r="E202">
        <v>5</v>
      </c>
    </row>
    <row r="203" spans="3:5" x14ac:dyDescent="0.25">
      <c r="C203">
        <v>36</v>
      </c>
      <c r="D203">
        <v>10</v>
      </c>
      <c r="E203">
        <v>6</v>
      </c>
    </row>
    <row r="204" spans="3:5" x14ac:dyDescent="0.25">
      <c r="C204">
        <v>30</v>
      </c>
      <c r="D204">
        <v>10</v>
      </c>
      <c r="E204">
        <v>5</v>
      </c>
    </row>
    <row r="205" spans="3:5" x14ac:dyDescent="0.25">
      <c r="C205">
        <v>24</v>
      </c>
      <c r="D205">
        <v>13</v>
      </c>
      <c r="E205">
        <v>7</v>
      </c>
    </row>
    <row r="206" spans="3:5" x14ac:dyDescent="0.25">
      <c r="C206">
        <v>6</v>
      </c>
      <c r="D206">
        <v>9</v>
      </c>
      <c r="E206">
        <v>6</v>
      </c>
    </row>
    <row r="207" spans="3:5" x14ac:dyDescent="0.25">
      <c r="C207">
        <v>11</v>
      </c>
      <c r="D207">
        <v>11</v>
      </c>
      <c r="E207">
        <v>7</v>
      </c>
    </row>
    <row r="208" spans="3:5" x14ac:dyDescent="0.25">
      <c r="C208">
        <v>35</v>
      </c>
      <c r="D208">
        <v>12</v>
      </c>
      <c r="E208">
        <v>7</v>
      </c>
    </row>
    <row r="209" spans="3:5" x14ac:dyDescent="0.25">
      <c r="C209">
        <v>31</v>
      </c>
      <c r="D209">
        <v>10</v>
      </c>
      <c r="E209">
        <v>4</v>
      </c>
    </row>
    <row r="210" spans="3:5" x14ac:dyDescent="0.25">
      <c r="C210">
        <v>12</v>
      </c>
      <c r="D210">
        <v>10</v>
      </c>
      <c r="E210">
        <v>7</v>
      </c>
    </row>
    <row r="211" spans="3:5" x14ac:dyDescent="0.25">
      <c r="C211">
        <v>7</v>
      </c>
      <c r="D211">
        <v>10</v>
      </c>
      <c r="E211">
        <v>6</v>
      </c>
    </row>
    <row r="212" spans="3:5" x14ac:dyDescent="0.25">
      <c r="C212">
        <v>20</v>
      </c>
      <c r="D212">
        <v>10</v>
      </c>
      <c r="E212">
        <v>5</v>
      </c>
    </row>
    <row r="213" spans="3:5" x14ac:dyDescent="0.25">
      <c r="C213">
        <v>19</v>
      </c>
      <c r="D213">
        <v>10</v>
      </c>
      <c r="E213">
        <v>5</v>
      </c>
    </row>
    <row r="214" spans="3:5" x14ac:dyDescent="0.25">
      <c r="C214">
        <v>1</v>
      </c>
      <c r="D214">
        <v>10</v>
      </c>
      <c r="E214">
        <v>8</v>
      </c>
    </row>
    <row r="215" spans="3:5" x14ac:dyDescent="0.25">
      <c r="C215">
        <v>27</v>
      </c>
      <c r="D215">
        <v>10</v>
      </c>
      <c r="E215">
        <v>7</v>
      </c>
    </row>
    <row r="216" spans="3:5" x14ac:dyDescent="0.25">
      <c r="C216">
        <v>21</v>
      </c>
      <c r="D216">
        <v>11</v>
      </c>
      <c r="E216">
        <v>6</v>
      </c>
    </row>
    <row r="217" spans="3:5" x14ac:dyDescent="0.25">
      <c r="C217">
        <v>17</v>
      </c>
      <c r="D217">
        <v>11</v>
      </c>
      <c r="E217">
        <v>6</v>
      </c>
    </row>
    <row r="218" spans="3:5" x14ac:dyDescent="0.25">
      <c r="C218">
        <v>0</v>
      </c>
      <c r="D218">
        <v>0</v>
      </c>
      <c r="E218">
        <v>0</v>
      </c>
    </row>
    <row r="219" spans="3:5" x14ac:dyDescent="0.25">
      <c r="C219">
        <v>0</v>
      </c>
      <c r="D219">
        <v>0</v>
      </c>
      <c r="E219">
        <v>0</v>
      </c>
    </row>
    <row r="220" spans="3:5" x14ac:dyDescent="0.25">
      <c r="C220">
        <v>0</v>
      </c>
      <c r="D220">
        <v>0</v>
      </c>
      <c r="E220">
        <v>0</v>
      </c>
    </row>
    <row r="221" spans="3:5" x14ac:dyDescent="0.25">
      <c r="C221">
        <v>0</v>
      </c>
      <c r="D221">
        <v>0</v>
      </c>
      <c r="E221">
        <v>0</v>
      </c>
    </row>
    <row r="222" spans="3:5" x14ac:dyDescent="0.25">
      <c r="C222">
        <v>0</v>
      </c>
      <c r="D222">
        <v>0</v>
      </c>
      <c r="E222">
        <v>0</v>
      </c>
    </row>
    <row r="223" spans="3:5" x14ac:dyDescent="0.25">
      <c r="C223">
        <v>0</v>
      </c>
      <c r="D223">
        <v>0</v>
      </c>
      <c r="E223">
        <v>0</v>
      </c>
    </row>
    <row r="224" spans="3:5" x14ac:dyDescent="0.25">
      <c r="C224">
        <v>0</v>
      </c>
      <c r="D224">
        <v>0</v>
      </c>
      <c r="E224">
        <v>0</v>
      </c>
    </row>
    <row r="225" spans="3:5" x14ac:dyDescent="0.25">
      <c r="C225">
        <v>0</v>
      </c>
      <c r="D225">
        <v>0</v>
      </c>
      <c r="E225">
        <v>0</v>
      </c>
    </row>
    <row r="226" spans="3:5" x14ac:dyDescent="0.25">
      <c r="C226">
        <v>0</v>
      </c>
      <c r="D226">
        <v>0</v>
      </c>
      <c r="E226">
        <v>0</v>
      </c>
    </row>
    <row r="227" spans="3:5" x14ac:dyDescent="0.25">
      <c r="C227">
        <v>0</v>
      </c>
      <c r="D227">
        <v>0</v>
      </c>
      <c r="E227">
        <v>0</v>
      </c>
    </row>
    <row r="228" spans="3:5" x14ac:dyDescent="0.25">
      <c r="C228">
        <v>0</v>
      </c>
      <c r="D228">
        <v>0</v>
      </c>
      <c r="E228">
        <v>0</v>
      </c>
    </row>
    <row r="229" spans="3:5" x14ac:dyDescent="0.25">
      <c r="C229">
        <v>0</v>
      </c>
      <c r="D229">
        <v>0</v>
      </c>
      <c r="E229">
        <v>0</v>
      </c>
    </row>
    <row r="230" spans="3:5" x14ac:dyDescent="0.25">
      <c r="C230">
        <v>0</v>
      </c>
      <c r="D230">
        <v>0</v>
      </c>
      <c r="E230">
        <v>0</v>
      </c>
    </row>
    <row r="231" spans="3:5" x14ac:dyDescent="0.25">
      <c r="C231">
        <v>0</v>
      </c>
      <c r="D231">
        <v>0</v>
      </c>
      <c r="E231">
        <v>0</v>
      </c>
    </row>
    <row r="232" spans="3:5" x14ac:dyDescent="0.25">
      <c r="C232">
        <v>0</v>
      </c>
      <c r="D232">
        <v>0</v>
      </c>
      <c r="E232">
        <v>0</v>
      </c>
    </row>
    <row r="233" spans="3:5" x14ac:dyDescent="0.25">
      <c r="C233">
        <v>0</v>
      </c>
      <c r="D233">
        <v>0</v>
      </c>
      <c r="E233">
        <v>0</v>
      </c>
    </row>
    <row r="234" spans="3:5" x14ac:dyDescent="0.25">
      <c r="C234">
        <v>0</v>
      </c>
      <c r="D234">
        <v>0</v>
      </c>
      <c r="E234">
        <v>0</v>
      </c>
    </row>
    <row r="235" spans="3:5" x14ac:dyDescent="0.25">
      <c r="C235">
        <v>0</v>
      </c>
      <c r="D235">
        <v>0</v>
      </c>
      <c r="E235">
        <v>0</v>
      </c>
    </row>
    <row r="236" spans="3:5" x14ac:dyDescent="0.25">
      <c r="C236">
        <v>0</v>
      </c>
      <c r="D236">
        <v>0</v>
      </c>
      <c r="E236">
        <v>0</v>
      </c>
    </row>
    <row r="237" spans="3:5" x14ac:dyDescent="0.25">
      <c r="C237">
        <v>0</v>
      </c>
      <c r="D237">
        <v>0</v>
      </c>
      <c r="E237">
        <v>0</v>
      </c>
    </row>
    <row r="238" spans="3:5" x14ac:dyDescent="0.25">
      <c r="C238">
        <v>0</v>
      </c>
      <c r="D238">
        <v>0</v>
      </c>
      <c r="E238">
        <v>0</v>
      </c>
    </row>
    <row r="239" spans="3:5" x14ac:dyDescent="0.25">
      <c r="C239">
        <v>0</v>
      </c>
      <c r="D239">
        <v>0</v>
      </c>
      <c r="E239">
        <v>0</v>
      </c>
    </row>
    <row r="240" spans="3:5" x14ac:dyDescent="0.25">
      <c r="C240">
        <v>0</v>
      </c>
      <c r="D240">
        <v>0</v>
      </c>
      <c r="E240">
        <v>0</v>
      </c>
    </row>
    <row r="241" spans="3:5" x14ac:dyDescent="0.25">
      <c r="C241">
        <v>0</v>
      </c>
      <c r="D241">
        <v>0</v>
      </c>
      <c r="E241">
        <v>0</v>
      </c>
    </row>
    <row r="242" spans="3:5" x14ac:dyDescent="0.25">
      <c r="C242">
        <v>0</v>
      </c>
      <c r="D242">
        <v>0</v>
      </c>
      <c r="E242">
        <v>0</v>
      </c>
    </row>
    <row r="243" spans="3:5" x14ac:dyDescent="0.25">
      <c r="C243">
        <v>0</v>
      </c>
      <c r="D243">
        <v>0</v>
      </c>
      <c r="E243">
        <v>0</v>
      </c>
    </row>
    <row r="244" spans="3:5" x14ac:dyDescent="0.25">
      <c r="C244">
        <v>0</v>
      </c>
      <c r="D244">
        <v>0</v>
      </c>
      <c r="E244">
        <v>0</v>
      </c>
    </row>
    <row r="245" spans="3:5" x14ac:dyDescent="0.25">
      <c r="C245">
        <v>0</v>
      </c>
      <c r="D245">
        <v>0</v>
      </c>
      <c r="E245">
        <v>0</v>
      </c>
    </row>
    <row r="246" spans="3:5" x14ac:dyDescent="0.25">
      <c r="C246">
        <v>0</v>
      </c>
      <c r="D246">
        <v>0</v>
      </c>
      <c r="E246">
        <v>0</v>
      </c>
    </row>
    <row r="247" spans="3:5" x14ac:dyDescent="0.25">
      <c r="C247">
        <v>0</v>
      </c>
      <c r="D247">
        <v>0</v>
      </c>
      <c r="E247">
        <v>0</v>
      </c>
    </row>
    <row r="248" spans="3:5" x14ac:dyDescent="0.25">
      <c r="C248">
        <v>0</v>
      </c>
      <c r="D248">
        <v>0</v>
      </c>
      <c r="E248">
        <v>0</v>
      </c>
    </row>
    <row r="249" spans="3:5" x14ac:dyDescent="0.25">
      <c r="C249">
        <v>0</v>
      </c>
      <c r="D249">
        <v>0</v>
      </c>
      <c r="E249">
        <v>0</v>
      </c>
    </row>
    <row r="250" spans="3:5" x14ac:dyDescent="0.25">
      <c r="C250">
        <v>0</v>
      </c>
      <c r="D250">
        <v>0</v>
      </c>
      <c r="E250">
        <v>0</v>
      </c>
    </row>
    <row r="251" spans="3:5" x14ac:dyDescent="0.25">
      <c r="C251">
        <v>0</v>
      </c>
      <c r="D251">
        <v>0</v>
      </c>
      <c r="E251">
        <v>0</v>
      </c>
    </row>
    <row r="252" spans="3:5" x14ac:dyDescent="0.25">
      <c r="C252">
        <v>0</v>
      </c>
      <c r="D252">
        <v>0</v>
      </c>
      <c r="E252">
        <v>0</v>
      </c>
    </row>
    <row r="253" spans="3:5" x14ac:dyDescent="0.25">
      <c r="C253">
        <v>0</v>
      </c>
      <c r="D253">
        <v>0</v>
      </c>
      <c r="E253">
        <v>0</v>
      </c>
    </row>
    <row r="254" spans="3:5" x14ac:dyDescent="0.25">
      <c r="C254">
        <v>0</v>
      </c>
      <c r="D254">
        <v>0</v>
      </c>
      <c r="E254">
        <v>0</v>
      </c>
    </row>
    <row r="255" spans="3:5" x14ac:dyDescent="0.25">
      <c r="C255">
        <v>0</v>
      </c>
      <c r="D255">
        <v>0</v>
      </c>
      <c r="E255">
        <v>0</v>
      </c>
    </row>
    <row r="256" spans="3:5" x14ac:dyDescent="0.25">
      <c r="C256">
        <v>0</v>
      </c>
      <c r="D256">
        <v>0</v>
      </c>
      <c r="E256">
        <v>0</v>
      </c>
    </row>
    <row r="257" spans="3:5" x14ac:dyDescent="0.25">
      <c r="C257">
        <v>0</v>
      </c>
      <c r="D257">
        <v>0</v>
      </c>
      <c r="E257">
        <v>0</v>
      </c>
    </row>
    <row r="258" spans="3:5" x14ac:dyDescent="0.25">
      <c r="C258">
        <v>0</v>
      </c>
      <c r="D258">
        <v>0</v>
      </c>
      <c r="E258">
        <v>0</v>
      </c>
    </row>
    <row r="259" spans="3:5" x14ac:dyDescent="0.25">
      <c r="C259">
        <v>0</v>
      </c>
      <c r="D259">
        <v>0</v>
      </c>
      <c r="E259">
        <v>0</v>
      </c>
    </row>
    <row r="260" spans="3:5" x14ac:dyDescent="0.25">
      <c r="C260">
        <v>0</v>
      </c>
      <c r="D260">
        <v>0</v>
      </c>
      <c r="E260">
        <v>0</v>
      </c>
    </row>
    <row r="261" spans="3:5" x14ac:dyDescent="0.25">
      <c r="C261">
        <v>0</v>
      </c>
      <c r="D261">
        <v>0</v>
      </c>
      <c r="E261">
        <v>0</v>
      </c>
    </row>
    <row r="262" spans="3:5" x14ac:dyDescent="0.25">
      <c r="C262">
        <v>0</v>
      </c>
      <c r="D262">
        <v>0</v>
      </c>
      <c r="E262">
        <v>0</v>
      </c>
    </row>
    <row r="263" spans="3:5" x14ac:dyDescent="0.25">
      <c r="C263">
        <v>0</v>
      </c>
      <c r="D263">
        <v>0</v>
      </c>
      <c r="E263">
        <v>0</v>
      </c>
    </row>
    <row r="264" spans="3:5" x14ac:dyDescent="0.25">
      <c r="C264">
        <v>0</v>
      </c>
      <c r="D264">
        <v>0</v>
      </c>
      <c r="E264">
        <v>0</v>
      </c>
    </row>
    <row r="265" spans="3:5" x14ac:dyDescent="0.25">
      <c r="C265">
        <v>0</v>
      </c>
      <c r="D265">
        <v>0</v>
      </c>
      <c r="E265">
        <v>0</v>
      </c>
    </row>
    <row r="266" spans="3:5" x14ac:dyDescent="0.25">
      <c r="C266">
        <v>21</v>
      </c>
      <c r="D266">
        <v>13</v>
      </c>
      <c r="E266">
        <v>5</v>
      </c>
    </row>
    <row r="267" spans="3:5" x14ac:dyDescent="0.25">
      <c r="C267">
        <v>17</v>
      </c>
      <c r="D267">
        <v>12</v>
      </c>
      <c r="E267">
        <v>7</v>
      </c>
    </row>
    <row r="268" spans="3:5" x14ac:dyDescent="0.25">
      <c r="C268">
        <v>7</v>
      </c>
      <c r="D268">
        <v>12</v>
      </c>
      <c r="E268">
        <v>5</v>
      </c>
    </row>
    <row r="269" spans="3:5" x14ac:dyDescent="0.25">
      <c r="C269">
        <v>33</v>
      </c>
      <c r="D269">
        <v>11</v>
      </c>
      <c r="E269">
        <v>8</v>
      </c>
    </row>
    <row r="270" spans="3:5" x14ac:dyDescent="0.25">
      <c r="C270">
        <v>25</v>
      </c>
      <c r="D270">
        <v>11</v>
      </c>
      <c r="E270">
        <v>8</v>
      </c>
    </row>
    <row r="271" spans="3:5" x14ac:dyDescent="0.25">
      <c r="C271">
        <v>19</v>
      </c>
      <c r="D271">
        <v>11</v>
      </c>
      <c r="E271">
        <v>8</v>
      </c>
    </row>
    <row r="272" spans="3:5" x14ac:dyDescent="0.25">
      <c r="C272">
        <v>31</v>
      </c>
      <c r="D272">
        <v>11</v>
      </c>
      <c r="E272">
        <v>5</v>
      </c>
    </row>
    <row r="273" spans="3:5" x14ac:dyDescent="0.25">
      <c r="C273">
        <v>17</v>
      </c>
      <c r="D273">
        <v>11</v>
      </c>
      <c r="E273">
        <v>5</v>
      </c>
    </row>
    <row r="274" spans="3:5" x14ac:dyDescent="0.25">
      <c r="C274">
        <v>6</v>
      </c>
      <c r="D274">
        <v>11</v>
      </c>
      <c r="E274">
        <v>5</v>
      </c>
    </row>
    <row r="275" spans="3:5" x14ac:dyDescent="0.25">
      <c r="C275">
        <v>36</v>
      </c>
      <c r="D275">
        <v>10</v>
      </c>
      <c r="E275">
        <v>8</v>
      </c>
    </row>
    <row r="276" spans="3:5" x14ac:dyDescent="0.25">
      <c r="C276">
        <v>33</v>
      </c>
      <c r="D276">
        <v>10</v>
      </c>
      <c r="E276">
        <v>8</v>
      </c>
    </row>
    <row r="277" spans="3:5" x14ac:dyDescent="0.25">
      <c r="C277">
        <v>32</v>
      </c>
      <c r="D277">
        <v>10</v>
      </c>
      <c r="E277">
        <v>8</v>
      </c>
    </row>
    <row r="278" spans="3:5" x14ac:dyDescent="0.25">
      <c r="C278">
        <v>31</v>
      </c>
      <c r="D278">
        <v>10</v>
      </c>
      <c r="E278">
        <v>8</v>
      </c>
    </row>
    <row r="279" spans="3:5" x14ac:dyDescent="0.25">
      <c r="C279">
        <v>30</v>
      </c>
      <c r="D279">
        <v>10</v>
      </c>
      <c r="E279">
        <v>8</v>
      </c>
    </row>
    <row r="280" spans="3:5" x14ac:dyDescent="0.25">
      <c r="C280">
        <v>29</v>
      </c>
      <c r="D280">
        <v>10</v>
      </c>
      <c r="E280">
        <v>8</v>
      </c>
    </row>
    <row r="281" spans="3:5" x14ac:dyDescent="0.25">
      <c r="C281">
        <v>28</v>
      </c>
      <c r="D281">
        <v>10</v>
      </c>
      <c r="E281">
        <v>8</v>
      </c>
    </row>
    <row r="282" spans="3:5" x14ac:dyDescent="0.25">
      <c r="C282">
        <v>21</v>
      </c>
      <c r="D282">
        <v>10</v>
      </c>
      <c r="E282">
        <v>8</v>
      </c>
    </row>
    <row r="283" spans="3:5" x14ac:dyDescent="0.25">
      <c r="C283">
        <v>19</v>
      </c>
      <c r="D283">
        <v>10</v>
      </c>
      <c r="E283">
        <v>8</v>
      </c>
    </row>
    <row r="284" spans="3:5" x14ac:dyDescent="0.25">
      <c r="C284">
        <v>18</v>
      </c>
      <c r="D284">
        <v>10</v>
      </c>
      <c r="E284">
        <v>8</v>
      </c>
    </row>
    <row r="285" spans="3:5" x14ac:dyDescent="0.25">
      <c r="C285">
        <v>6</v>
      </c>
      <c r="D285">
        <v>10</v>
      </c>
      <c r="E285">
        <v>8</v>
      </c>
    </row>
    <row r="286" spans="3:5" x14ac:dyDescent="0.25">
      <c r="C286">
        <v>31</v>
      </c>
      <c r="D286">
        <v>10</v>
      </c>
      <c r="E286">
        <v>7</v>
      </c>
    </row>
    <row r="287" spans="3:5" x14ac:dyDescent="0.25">
      <c r="C287">
        <v>28</v>
      </c>
      <c r="D287">
        <v>10</v>
      </c>
      <c r="E287">
        <v>7</v>
      </c>
    </row>
    <row r="288" spans="3:5" x14ac:dyDescent="0.25">
      <c r="C288">
        <v>25</v>
      </c>
      <c r="D288">
        <v>10</v>
      </c>
      <c r="E288">
        <v>5</v>
      </c>
    </row>
    <row r="289" spans="3:5" x14ac:dyDescent="0.25">
      <c r="C289">
        <v>1</v>
      </c>
      <c r="D289">
        <v>10</v>
      </c>
      <c r="E289">
        <v>5</v>
      </c>
    </row>
    <row r="290" spans="3:5" x14ac:dyDescent="0.25">
      <c r="C290">
        <v>5</v>
      </c>
      <c r="D290">
        <v>9</v>
      </c>
      <c r="E290">
        <v>8</v>
      </c>
    </row>
    <row r="291" spans="3:5" x14ac:dyDescent="0.25">
      <c r="C291">
        <v>4</v>
      </c>
      <c r="D291">
        <v>9</v>
      </c>
      <c r="E291">
        <v>8</v>
      </c>
    </row>
    <row r="292" spans="3:5" x14ac:dyDescent="0.25">
      <c r="C292">
        <v>3</v>
      </c>
      <c r="D292">
        <v>9</v>
      </c>
      <c r="E292">
        <v>8</v>
      </c>
    </row>
    <row r="293" spans="3:5" x14ac:dyDescent="0.25">
      <c r="C293">
        <v>2</v>
      </c>
      <c r="D293">
        <v>9</v>
      </c>
      <c r="E293">
        <v>8</v>
      </c>
    </row>
    <row r="294" spans="3:5" x14ac:dyDescent="0.25">
      <c r="C294">
        <v>34</v>
      </c>
      <c r="D294">
        <v>9</v>
      </c>
      <c r="E294">
        <v>7</v>
      </c>
    </row>
    <row r="295" spans="3:5" x14ac:dyDescent="0.25">
      <c r="C295">
        <v>29</v>
      </c>
      <c r="D295">
        <v>9</v>
      </c>
      <c r="E295">
        <v>7</v>
      </c>
    </row>
    <row r="296" spans="3:5" x14ac:dyDescent="0.25">
      <c r="C296">
        <v>23</v>
      </c>
      <c r="D296">
        <v>9</v>
      </c>
      <c r="E296">
        <v>7</v>
      </c>
    </row>
    <row r="297" spans="3:5" x14ac:dyDescent="0.25">
      <c r="C297">
        <v>20</v>
      </c>
      <c r="D297">
        <v>9</v>
      </c>
      <c r="E297">
        <v>7</v>
      </c>
    </row>
    <row r="298" spans="3:5" x14ac:dyDescent="0.25">
      <c r="C298">
        <v>17</v>
      </c>
      <c r="D298">
        <v>9</v>
      </c>
      <c r="E298">
        <v>7</v>
      </c>
    </row>
    <row r="299" spans="3:5" x14ac:dyDescent="0.25">
      <c r="C299">
        <v>16</v>
      </c>
      <c r="D299">
        <v>9</v>
      </c>
      <c r="E299">
        <v>7</v>
      </c>
    </row>
    <row r="300" spans="3:5" x14ac:dyDescent="0.25">
      <c r="C300">
        <v>14</v>
      </c>
      <c r="D300">
        <v>9</v>
      </c>
      <c r="E300">
        <v>7</v>
      </c>
    </row>
    <row r="301" spans="3:5" x14ac:dyDescent="0.25">
      <c r="C301">
        <v>9</v>
      </c>
      <c r="D301">
        <v>9</v>
      </c>
      <c r="E301">
        <v>7</v>
      </c>
    </row>
    <row r="302" spans="3:5" x14ac:dyDescent="0.25">
      <c r="C302">
        <v>8</v>
      </c>
      <c r="D302">
        <v>9</v>
      </c>
      <c r="E302">
        <v>7</v>
      </c>
    </row>
    <row r="303" spans="3:5" x14ac:dyDescent="0.25">
      <c r="C303">
        <v>7</v>
      </c>
      <c r="D303">
        <v>9</v>
      </c>
      <c r="E303">
        <v>7</v>
      </c>
    </row>
    <row r="304" spans="3:5" x14ac:dyDescent="0.25">
      <c r="C304">
        <v>5</v>
      </c>
      <c r="D304">
        <v>9</v>
      </c>
      <c r="E304">
        <v>7</v>
      </c>
    </row>
    <row r="305" spans="3:5" x14ac:dyDescent="0.25">
      <c r="C305">
        <v>4</v>
      </c>
      <c r="D305">
        <v>9</v>
      </c>
      <c r="E305">
        <v>7</v>
      </c>
    </row>
    <row r="306" spans="3:5" x14ac:dyDescent="0.25">
      <c r="C306">
        <v>34</v>
      </c>
      <c r="D306">
        <v>9</v>
      </c>
      <c r="E306">
        <v>6</v>
      </c>
    </row>
    <row r="307" spans="3:5" x14ac:dyDescent="0.25">
      <c r="C307">
        <v>27</v>
      </c>
      <c r="D307">
        <v>9</v>
      </c>
      <c r="E307">
        <v>6</v>
      </c>
    </row>
    <row r="308" spans="3:5" x14ac:dyDescent="0.25">
      <c r="C308">
        <v>31</v>
      </c>
      <c r="D308">
        <v>9</v>
      </c>
      <c r="E308">
        <v>5</v>
      </c>
    </row>
    <row r="309" spans="3:5" x14ac:dyDescent="0.25">
      <c r="C309">
        <v>30</v>
      </c>
      <c r="D309">
        <v>9</v>
      </c>
      <c r="E309">
        <v>5</v>
      </c>
    </row>
    <row r="310" spans="3:5" x14ac:dyDescent="0.25">
      <c r="C310">
        <v>10</v>
      </c>
      <c r="D310">
        <v>9</v>
      </c>
      <c r="E310">
        <v>5</v>
      </c>
    </row>
    <row r="311" spans="3:5" x14ac:dyDescent="0.25">
      <c r="C311">
        <v>1</v>
      </c>
      <c r="D311">
        <v>9</v>
      </c>
      <c r="E311">
        <v>5</v>
      </c>
    </row>
    <row r="312" spans="3:5" x14ac:dyDescent="0.25">
      <c r="C312">
        <v>12</v>
      </c>
      <c r="D312">
        <v>8</v>
      </c>
      <c r="E312">
        <v>6</v>
      </c>
    </row>
    <row r="313" spans="3:5" x14ac:dyDescent="0.25">
      <c r="C313">
        <v>36</v>
      </c>
      <c r="D313">
        <v>8</v>
      </c>
      <c r="E313">
        <v>5</v>
      </c>
    </row>
    <row r="314" spans="3:5" x14ac:dyDescent="0.25">
      <c r="C314">
        <v>35</v>
      </c>
      <c r="D314">
        <v>8</v>
      </c>
      <c r="E314">
        <v>5</v>
      </c>
    </row>
    <row r="315" spans="3:5" x14ac:dyDescent="0.25">
      <c r="C315">
        <v>35</v>
      </c>
      <c r="D315">
        <v>8</v>
      </c>
      <c r="E315">
        <v>5</v>
      </c>
    </row>
    <row r="316" spans="3:5" x14ac:dyDescent="0.25">
      <c r="C316">
        <v>34</v>
      </c>
      <c r="D316">
        <v>8</v>
      </c>
      <c r="E316">
        <v>5</v>
      </c>
    </row>
    <row r="317" spans="3:5" x14ac:dyDescent="0.25">
      <c r="C317">
        <v>25</v>
      </c>
      <c r="D317">
        <v>8</v>
      </c>
      <c r="E317">
        <v>5</v>
      </c>
    </row>
    <row r="318" spans="3:5" x14ac:dyDescent="0.25">
      <c r="C318">
        <v>20</v>
      </c>
      <c r="D318">
        <v>8</v>
      </c>
      <c r="E318">
        <v>5</v>
      </c>
    </row>
    <row r="319" spans="3:5" x14ac:dyDescent="0.25">
      <c r="C319">
        <v>9</v>
      </c>
      <c r="D319">
        <v>8</v>
      </c>
      <c r="E319">
        <v>5</v>
      </c>
    </row>
    <row r="320" spans="3:5" x14ac:dyDescent="0.25">
      <c r="C320">
        <v>8</v>
      </c>
      <c r="D320">
        <v>8</v>
      </c>
      <c r="E320">
        <v>5</v>
      </c>
    </row>
    <row r="321" spans="3:5" x14ac:dyDescent="0.25">
      <c r="C321">
        <v>5</v>
      </c>
      <c r="D321">
        <v>8</v>
      </c>
      <c r="E321">
        <v>5</v>
      </c>
    </row>
    <row r="322" spans="3:5" x14ac:dyDescent="0.25">
      <c r="C322">
        <v>6</v>
      </c>
      <c r="D322">
        <v>8</v>
      </c>
      <c r="E322">
        <v>4</v>
      </c>
    </row>
    <row r="323" spans="3:5" x14ac:dyDescent="0.25">
      <c r="C323">
        <v>5</v>
      </c>
      <c r="D323">
        <v>8</v>
      </c>
      <c r="E323">
        <v>4</v>
      </c>
    </row>
    <row r="324" spans="3:5" x14ac:dyDescent="0.25">
      <c r="C324">
        <v>2</v>
      </c>
      <c r="D324">
        <v>7</v>
      </c>
      <c r="E324">
        <v>5</v>
      </c>
    </row>
    <row r="325" spans="3:5" x14ac:dyDescent="0.25">
      <c r="C325">
        <v>14</v>
      </c>
      <c r="D325">
        <v>7</v>
      </c>
      <c r="E325">
        <v>4</v>
      </c>
    </row>
    <row r="326" spans="3:5" x14ac:dyDescent="0.25">
      <c r="C326">
        <v>5</v>
      </c>
      <c r="D326">
        <v>6</v>
      </c>
      <c r="E326">
        <v>4</v>
      </c>
    </row>
    <row r="327" spans="3:5" x14ac:dyDescent="0.25">
      <c r="C327">
        <v>34</v>
      </c>
      <c r="D327">
        <v>7</v>
      </c>
      <c r="E327">
        <v>4</v>
      </c>
    </row>
    <row r="328" spans="3:5" x14ac:dyDescent="0.25">
      <c r="C328">
        <v>9</v>
      </c>
      <c r="D328">
        <v>8</v>
      </c>
      <c r="E328">
        <v>4</v>
      </c>
    </row>
    <row r="329" spans="3:5" x14ac:dyDescent="0.25">
      <c r="C329">
        <v>29</v>
      </c>
      <c r="D329">
        <v>10</v>
      </c>
      <c r="E329">
        <v>7</v>
      </c>
    </row>
    <row r="330" spans="3:5" x14ac:dyDescent="0.25">
      <c r="C330">
        <v>17</v>
      </c>
      <c r="D330">
        <v>8</v>
      </c>
      <c r="E330">
        <v>5</v>
      </c>
    </row>
    <row r="331" spans="3:5" x14ac:dyDescent="0.25">
      <c r="C331">
        <v>18</v>
      </c>
      <c r="D331">
        <v>10</v>
      </c>
      <c r="E331">
        <v>7</v>
      </c>
    </row>
    <row r="332" spans="3:5" x14ac:dyDescent="0.25">
      <c r="C332">
        <v>23</v>
      </c>
      <c r="D332">
        <v>8</v>
      </c>
      <c r="E332">
        <v>5</v>
      </c>
    </row>
    <row r="333" spans="3:5" x14ac:dyDescent="0.25">
      <c r="C333">
        <v>19</v>
      </c>
      <c r="D333">
        <v>10</v>
      </c>
      <c r="E333">
        <v>7</v>
      </c>
    </row>
    <row r="334" spans="3:5" x14ac:dyDescent="0.25">
      <c r="C334">
        <v>13</v>
      </c>
      <c r="D334">
        <v>9</v>
      </c>
      <c r="E334">
        <v>7</v>
      </c>
    </row>
    <row r="335" spans="3:5" x14ac:dyDescent="0.25">
      <c r="C335">
        <v>30</v>
      </c>
      <c r="D335">
        <v>9</v>
      </c>
      <c r="E335">
        <v>6</v>
      </c>
    </row>
    <row r="336" spans="3:5" x14ac:dyDescent="0.25">
      <c r="C336">
        <v>2</v>
      </c>
      <c r="D336">
        <v>8</v>
      </c>
      <c r="E336">
        <v>6</v>
      </c>
    </row>
    <row r="337" spans="3:5" x14ac:dyDescent="0.25">
      <c r="C337">
        <v>36</v>
      </c>
      <c r="D337">
        <v>10</v>
      </c>
      <c r="E337">
        <v>5</v>
      </c>
    </row>
    <row r="338" spans="3:5" x14ac:dyDescent="0.25">
      <c r="C338">
        <v>3</v>
      </c>
      <c r="D338">
        <v>9</v>
      </c>
      <c r="E338">
        <v>6</v>
      </c>
    </row>
    <row r="339" spans="3:5" x14ac:dyDescent="0.25">
      <c r="C339">
        <v>26</v>
      </c>
      <c r="D339">
        <v>8</v>
      </c>
      <c r="E339">
        <v>5</v>
      </c>
    </row>
    <row r="340" spans="3:5" x14ac:dyDescent="0.25">
      <c r="C340">
        <v>26</v>
      </c>
      <c r="D340">
        <v>12</v>
      </c>
      <c r="E340">
        <v>8</v>
      </c>
    </row>
    <row r="341" spans="3:5" x14ac:dyDescent="0.25">
      <c r="C341">
        <v>29</v>
      </c>
      <c r="D341">
        <v>13</v>
      </c>
      <c r="E341">
        <v>6</v>
      </c>
    </row>
    <row r="342" spans="3:5" x14ac:dyDescent="0.25">
      <c r="C342">
        <v>36</v>
      </c>
      <c r="D342">
        <v>11</v>
      </c>
      <c r="E342">
        <v>6</v>
      </c>
    </row>
    <row r="343" spans="3:5" x14ac:dyDescent="0.25">
      <c r="C343">
        <v>1</v>
      </c>
      <c r="D343">
        <v>11</v>
      </c>
      <c r="E343">
        <v>6</v>
      </c>
    </row>
    <row r="344" spans="3:5" x14ac:dyDescent="0.25">
      <c r="C344">
        <v>7</v>
      </c>
      <c r="D344">
        <v>11</v>
      </c>
      <c r="E344">
        <v>5</v>
      </c>
    </row>
    <row r="345" spans="3:5" x14ac:dyDescent="0.25">
      <c r="C345">
        <v>31</v>
      </c>
      <c r="D345">
        <v>12</v>
      </c>
      <c r="E345">
        <v>5</v>
      </c>
    </row>
    <row r="346" spans="3:5" x14ac:dyDescent="0.25">
      <c r="C346">
        <v>19</v>
      </c>
      <c r="D346">
        <v>11</v>
      </c>
      <c r="E346">
        <v>5</v>
      </c>
    </row>
    <row r="347" spans="3:5" x14ac:dyDescent="0.25">
      <c r="C347">
        <v>30</v>
      </c>
      <c r="D347">
        <v>11</v>
      </c>
      <c r="E347">
        <v>5</v>
      </c>
    </row>
    <row r="348" spans="3:5" x14ac:dyDescent="0.25">
      <c r="C348">
        <v>8</v>
      </c>
      <c r="D348">
        <v>11</v>
      </c>
      <c r="E348">
        <v>5</v>
      </c>
    </row>
    <row r="349" spans="3:5" x14ac:dyDescent="0.25">
      <c r="C349">
        <v>18</v>
      </c>
      <c r="D349">
        <v>11</v>
      </c>
      <c r="E349">
        <v>5</v>
      </c>
    </row>
    <row r="350" spans="3:5" x14ac:dyDescent="0.25">
      <c r="C350">
        <v>30</v>
      </c>
      <c r="D350">
        <v>12</v>
      </c>
      <c r="E350">
        <v>5</v>
      </c>
    </row>
    <row r="351" spans="3:5" x14ac:dyDescent="0.25">
      <c r="C351">
        <v>36</v>
      </c>
      <c r="D351">
        <v>12</v>
      </c>
      <c r="E351">
        <v>6</v>
      </c>
    </row>
    <row r="352" spans="3:5" x14ac:dyDescent="0.25">
      <c r="C352">
        <v>32</v>
      </c>
      <c r="D352">
        <v>12</v>
      </c>
      <c r="E352">
        <v>5</v>
      </c>
    </row>
    <row r="353" spans="3:5" x14ac:dyDescent="0.25">
      <c r="C353">
        <v>26</v>
      </c>
      <c r="D353">
        <v>12</v>
      </c>
      <c r="E353">
        <v>6</v>
      </c>
    </row>
    <row r="354" spans="3:5" x14ac:dyDescent="0.25">
      <c r="C354">
        <v>27</v>
      </c>
      <c r="D354">
        <v>13</v>
      </c>
      <c r="E354">
        <v>6</v>
      </c>
    </row>
    <row r="355" spans="3:5" x14ac:dyDescent="0.25">
      <c r="C355">
        <v>15</v>
      </c>
      <c r="D355">
        <v>12</v>
      </c>
      <c r="E355">
        <v>6</v>
      </c>
    </row>
    <row r="356" spans="3:5" x14ac:dyDescent="0.25">
      <c r="C356">
        <v>16</v>
      </c>
      <c r="D356">
        <v>11</v>
      </c>
      <c r="E356">
        <v>6</v>
      </c>
    </row>
    <row r="357" spans="3:5" x14ac:dyDescent="0.25">
      <c r="C357">
        <v>32</v>
      </c>
      <c r="D357">
        <v>9</v>
      </c>
      <c r="E357">
        <v>5</v>
      </c>
    </row>
    <row r="358" spans="3:5" x14ac:dyDescent="0.25">
      <c r="C358">
        <v>8</v>
      </c>
      <c r="D358">
        <v>10</v>
      </c>
      <c r="E358">
        <v>8</v>
      </c>
    </row>
    <row r="359" spans="3:5" x14ac:dyDescent="0.25">
      <c r="C359">
        <v>12</v>
      </c>
      <c r="D359">
        <v>12</v>
      </c>
      <c r="E359">
        <v>6</v>
      </c>
    </row>
    <row r="360" spans="3:5" x14ac:dyDescent="0.25">
      <c r="C360">
        <v>11</v>
      </c>
      <c r="D360">
        <v>12</v>
      </c>
      <c r="E360">
        <v>6</v>
      </c>
    </row>
    <row r="361" spans="3:5" x14ac:dyDescent="0.25">
      <c r="C361">
        <v>21</v>
      </c>
      <c r="D361">
        <v>9</v>
      </c>
      <c r="E361">
        <v>6</v>
      </c>
    </row>
    <row r="362" spans="3:5" x14ac:dyDescent="0.25">
      <c r="C362">
        <v>25</v>
      </c>
      <c r="D362">
        <v>9</v>
      </c>
      <c r="E362">
        <v>7</v>
      </c>
    </row>
    <row r="363" spans="3:5" x14ac:dyDescent="0.25">
      <c r="C363">
        <v>6</v>
      </c>
      <c r="D363">
        <v>12</v>
      </c>
      <c r="E363">
        <v>6</v>
      </c>
    </row>
    <row r="364" spans="3:5" x14ac:dyDescent="0.25">
      <c r="C364">
        <v>1</v>
      </c>
      <c r="D364">
        <v>11</v>
      </c>
      <c r="E364">
        <v>7</v>
      </c>
    </row>
    <row r="365" spans="3:5" x14ac:dyDescent="0.25">
      <c r="C365">
        <v>33</v>
      </c>
      <c r="D365">
        <v>13</v>
      </c>
      <c r="E365">
        <v>6</v>
      </c>
    </row>
    <row r="366" spans="3:5" x14ac:dyDescent="0.25">
      <c r="C366">
        <v>24</v>
      </c>
      <c r="D366">
        <v>9</v>
      </c>
      <c r="E366">
        <v>7</v>
      </c>
    </row>
    <row r="367" spans="3:5" x14ac:dyDescent="0.25">
      <c r="C367">
        <v>22</v>
      </c>
      <c r="D367">
        <v>10</v>
      </c>
      <c r="E367">
        <v>7</v>
      </c>
    </row>
    <row r="368" spans="3:5" x14ac:dyDescent="0.25">
      <c r="C368">
        <v>35</v>
      </c>
      <c r="D368">
        <v>10</v>
      </c>
      <c r="E368">
        <v>7</v>
      </c>
    </row>
    <row r="369" spans="3:5" x14ac:dyDescent="0.25">
      <c r="C369">
        <v>32</v>
      </c>
      <c r="D369">
        <v>10</v>
      </c>
      <c r="E369">
        <v>7</v>
      </c>
    </row>
    <row r="370" spans="3:5" x14ac:dyDescent="0.25">
      <c r="C370">
        <v>20</v>
      </c>
      <c r="D370">
        <v>10</v>
      </c>
      <c r="E370">
        <v>8</v>
      </c>
    </row>
    <row r="371" spans="3:5" x14ac:dyDescent="0.25">
      <c r="C371">
        <v>19</v>
      </c>
      <c r="D371">
        <v>9</v>
      </c>
      <c r="E371">
        <v>6</v>
      </c>
    </row>
    <row r="372" spans="3:5" x14ac:dyDescent="0.25">
      <c r="C372">
        <v>2</v>
      </c>
      <c r="D372">
        <v>11</v>
      </c>
      <c r="E372">
        <v>6</v>
      </c>
    </row>
    <row r="373" spans="3:5" x14ac:dyDescent="0.25">
      <c r="C373">
        <v>26</v>
      </c>
      <c r="D373">
        <v>10</v>
      </c>
      <c r="E373">
        <v>8</v>
      </c>
    </row>
    <row r="374" spans="3:5" x14ac:dyDescent="0.25">
      <c r="C374">
        <v>12</v>
      </c>
      <c r="D374">
        <v>11</v>
      </c>
      <c r="E374">
        <v>6</v>
      </c>
    </row>
    <row r="375" spans="3:5" x14ac:dyDescent="0.25">
      <c r="C375">
        <v>10</v>
      </c>
      <c r="D375">
        <v>11</v>
      </c>
      <c r="E375">
        <v>6</v>
      </c>
    </row>
    <row r="376" spans="3:5" x14ac:dyDescent="0.25">
      <c r="C376">
        <v>13</v>
      </c>
      <c r="D376">
        <v>12</v>
      </c>
      <c r="E376">
        <v>6</v>
      </c>
    </row>
    <row r="377" spans="3:5" x14ac:dyDescent="0.25">
      <c r="C377">
        <v>5</v>
      </c>
      <c r="D377">
        <v>8</v>
      </c>
      <c r="E377">
        <v>6</v>
      </c>
    </row>
    <row r="378" spans="3:5" x14ac:dyDescent="0.25">
      <c r="C378">
        <v>8</v>
      </c>
      <c r="D378">
        <v>9</v>
      </c>
      <c r="E378">
        <v>6</v>
      </c>
    </row>
    <row r="379" spans="3:5" x14ac:dyDescent="0.25">
      <c r="C379">
        <v>1</v>
      </c>
      <c r="D379">
        <v>12</v>
      </c>
      <c r="E379">
        <v>7</v>
      </c>
    </row>
    <row r="380" spans="3:5" x14ac:dyDescent="0.25">
      <c r="C380">
        <v>31</v>
      </c>
      <c r="D380">
        <v>13</v>
      </c>
      <c r="E380">
        <v>6</v>
      </c>
    </row>
    <row r="381" spans="3:5" x14ac:dyDescent="0.25">
      <c r="C381">
        <v>1</v>
      </c>
      <c r="D381">
        <v>8</v>
      </c>
      <c r="E381">
        <v>6</v>
      </c>
    </row>
    <row r="382" spans="3:5" x14ac:dyDescent="0.25">
      <c r="C382">
        <v>14</v>
      </c>
      <c r="D382">
        <v>12</v>
      </c>
      <c r="E382">
        <v>6</v>
      </c>
    </row>
    <row r="383" spans="3:5" x14ac:dyDescent="0.25">
      <c r="C383">
        <v>23</v>
      </c>
      <c r="D383">
        <v>12</v>
      </c>
      <c r="E383">
        <v>6</v>
      </c>
    </row>
    <row r="384" spans="3:5" x14ac:dyDescent="0.25">
      <c r="C384">
        <v>26</v>
      </c>
      <c r="D384">
        <v>9</v>
      </c>
      <c r="E384">
        <v>7</v>
      </c>
    </row>
    <row r="385" spans="3:5" x14ac:dyDescent="0.25">
      <c r="C385">
        <v>12</v>
      </c>
      <c r="D385">
        <v>8</v>
      </c>
      <c r="E385">
        <v>5</v>
      </c>
    </row>
    <row r="386" spans="3:5" x14ac:dyDescent="0.25">
      <c r="C386">
        <v>10</v>
      </c>
      <c r="D386">
        <v>9</v>
      </c>
      <c r="E386">
        <v>7</v>
      </c>
    </row>
    <row r="387" spans="3:5" x14ac:dyDescent="0.25">
      <c r="C387">
        <v>1</v>
      </c>
      <c r="D387">
        <v>8</v>
      </c>
      <c r="E387">
        <v>5</v>
      </c>
    </row>
    <row r="388" spans="3:5" x14ac:dyDescent="0.25">
      <c r="C388">
        <v>13</v>
      </c>
      <c r="D388">
        <v>11</v>
      </c>
      <c r="E388">
        <v>6</v>
      </c>
    </row>
    <row r="389" spans="3:5" x14ac:dyDescent="0.25">
      <c r="C389">
        <v>21</v>
      </c>
      <c r="D389">
        <v>9</v>
      </c>
      <c r="E389">
        <v>7</v>
      </c>
    </row>
    <row r="390" spans="3:5" x14ac:dyDescent="0.25">
      <c r="C390">
        <v>7</v>
      </c>
      <c r="D390">
        <v>8</v>
      </c>
      <c r="E390">
        <v>6</v>
      </c>
    </row>
    <row r="391" spans="3:5" x14ac:dyDescent="0.25">
      <c r="C391">
        <v>6</v>
      </c>
      <c r="D391">
        <v>8</v>
      </c>
      <c r="E391">
        <v>6</v>
      </c>
    </row>
    <row r="392" spans="3:5" x14ac:dyDescent="0.25">
      <c r="C392">
        <v>28</v>
      </c>
      <c r="D392">
        <v>12</v>
      </c>
      <c r="E392">
        <v>6</v>
      </c>
    </row>
    <row r="393" spans="3:5" x14ac:dyDescent="0.25">
      <c r="C393">
        <v>26</v>
      </c>
      <c r="D393">
        <v>11</v>
      </c>
      <c r="E393">
        <v>6</v>
      </c>
    </row>
    <row r="394" spans="3:5" x14ac:dyDescent="0.25">
      <c r="C394">
        <v>32</v>
      </c>
      <c r="D394">
        <v>12</v>
      </c>
      <c r="E394">
        <v>6</v>
      </c>
    </row>
    <row r="395" spans="3:5" x14ac:dyDescent="0.25">
      <c r="C395">
        <v>21</v>
      </c>
      <c r="D395">
        <v>6</v>
      </c>
      <c r="E395">
        <v>4</v>
      </c>
    </row>
    <row r="396" spans="3:5" x14ac:dyDescent="0.25">
      <c r="C396">
        <v>10</v>
      </c>
      <c r="D396">
        <v>10</v>
      </c>
      <c r="E396">
        <v>8</v>
      </c>
    </row>
    <row r="397" spans="3:5" x14ac:dyDescent="0.25">
      <c r="C397">
        <v>24</v>
      </c>
      <c r="D397">
        <v>12</v>
      </c>
      <c r="E397">
        <v>6</v>
      </c>
    </row>
    <row r="398" spans="3:5" x14ac:dyDescent="0.25">
      <c r="C398">
        <v>25</v>
      </c>
      <c r="D398">
        <v>12</v>
      </c>
      <c r="E398">
        <v>6</v>
      </c>
    </row>
    <row r="399" spans="3:5" x14ac:dyDescent="0.25">
      <c r="C399">
        <v>2</v>
      </c>
      <c r="D399">
        <v>10</v>
      </c>
      <c r="E399">
        <v>8</v>
      </c>
    </row>
    <row r="400" spans="3:5" x14ac:dyDescent="0.25">
      <c r="C400">
        <v>17</v>
      </c>
      <c r="D400">
        <v>10</v>
      </c>
      <c r="E400">
        <v>8</v>
      </c>
    </row>
    <row r="401" spans="3:5" x14ac:dyDescent="0.25">
      <c r="C401">
        <v>4</v>
      </c>
      <c r="D401">
        <v>11</v>
      </c>
      <c r="E401">
        <v>6</v>
      </c>
    </row>
    <row r="402" spans="3:5" x14ac:dyDescent="0.25">
      <c r="C402">
        <v>25</v>
      </c>
      <c r="D402">
        <v>11</v>
      </c>
      <c r="E402">
        <v>6</v>
      </c>
    </row>
    <row r="403" spans="3:5" x14ac:dyDescent="0.25">
      <c r="C403">
        <v>24</v>
      </c>
      <c r="D403">
        <v>11</v>
      </c>
      <c r="E403">
        <v>6</v>
      </c>
    </row>
    <row r="404" spans="3:5" x14ac:dyDescent="0.25">
      <c r="C404">
        <v>7</v>
      </c>
      <c r="D404">
        <v>11</v>
      </c>
      <c r="E404">
        <v>6</v>
      </c>
    </row>
    <row r="405" spans="3:5" x14ac:dyDescent="0.25">
      <c r="C405">
        <v>22</v>
      </c>
      <c r="D405">
        <v>11</v>
      </c>
      <c r="E405">
        <v>6</v>
      </c>
    </row>
    <row r="406" spans="3:5" x14ac:dyDescent="0.25">
      <c r="C406">
        <v>31</v>
      </c>
      <c r="D406">
        <v>11</v>
      </c>
      <c r="E406">
        <v>8</v>
      </c>
    </row>
    <row r="407" spans="3:5" x14ac:dyDescent="0.25">
      <c r="C407">
        <v>13</v>
      </c>
      <c r="D407">
        <v>9</v>
      </c>
      <c r="E407">
        <v>6</v>
      </c>
    </row>
    <row r="408" spans="3:5" x14ac:dyDescent="0.25">
      <c r="C408">
        <v>1</v>
      </c>
      <c r="D408">
        <v>10</v>
      </c>
      <c r="E408">
        <v>6</v>
      </c>
    </row>
    <row r="409" spans="3:5" x14ac:dyDescent="0.25">
      <c r="C409">
        <v>26</v>
      </c>
      <c r="D409">
        <v>8</v>
      </c>
      <c r="E409">
        <v>4</v>
      </c>
    </row>
    <row r="410" spans="3:5" x14ac:dyDescent="0.25">
      <c r="C410">
        <v>15</v>
      </c>
      <c r="D410">
        <v>10</v>
      </c>
      <c r="E410">
        <v>8</v>
      </c>
    </row>
    <row r="411" spans="3:5" x14ac:dyDescent="0.25">
      <c r="C411">
        <v>19</v>
      </c>
      <c r="D411">
        <v>9</v>
      </c>
      <c r="E411">
        <v>5</v>
      </c>
    </row>
    <row r="412" spans="3:5" x14ac:dyDescent="0.25">
      <c r="C412">
        <v>3</v>
      </c>
      <c r="D412">
        <v>11</v>
      </c>
      <c r="E412">
        <v>6</v>
      </c>
    </row>
    <row r="413" spans="3:5" x14ac:dyDescent="0.25">
      <c r="C413">
        <v>16</v>
      </c>
      <c r="D413">
        <v>11</v>
      </c>
      <c r="E413">
        <v>8</v>
      </c>
    </row>
    <row r="414" spans="3:5" x14ac:dyDescent="0.25">
      <c r="C414">
        <v>1</v>
      </c>
      <c r="D414">
        <v>9</v>
      </c>
      <c r="E414">
        <v>6</v>
      </c>
    </row>
    <row r="415" spans="3:5" x14ac:dyDescent="0.25">
      <c r="C415">
        <v>1</v>
      </c>
      <c r="D415">
        <v>9</v>
      </c>
      <c r="E415">
        <v>6</v>
      </c>
    </row>
    <row r="416" spans="3:5" x14ac:dyDescent="0.25">
      <c r="C416">
        <v>20</v>
      </c>
      <c r="D416">
        <v>12</v>
      </c>
      <c r="E416">
        <v>7</v>
      </c>
    </row>
    <row r="417" spans="3:5" x14ac:dyDescent="0.25">
      <c r="C417">
        <v>11</v>
      </c>
      <c r="D417">
        <v>11</v>
      </c>
      <c r="E417">
        <v>6</v>
      </c>
    </row>
    <row r="418" spans="3:5" x14ac:dyDescent="0.25">
      <c r="C418">
        <v>29</v>
      </c>
      <c r="D418">
        <v>12</v>
      </c>
      <c r="E418">
        <v>8</v>
      </c>
    </row>
    <row r="419" spans="3:5" x14ac:dyDescent="0.25">
      <c r="C419">
        <v>0</v>
      </c>
      <c r="D419">
        <v>0</v>
      </c>
      <c r="E419">
        <v>0</v>
      </c>
    </row>
    <row r="420" spans="3:5" x14ac:dyDescent="0.25">
      <c r="C420">
        <v>29</v>
      </c>
      <c r="D420">
        <v>12</v>
      </c>
      <c r="E420">
        <v>8</v>
      </c>
    </row>
    <row r="421" spans="3:5" x14ac:dyDescent="0.25">
      <c r="C421">
        <v>29</v>
      </c>
      <c r="D421">
        <v>12</v>
      </c>
      <c r="E421">
        <v>8</v>
      </c>
    </row>
    <row r="422" spans="3:5" x14ac:dyDescent="0.25">
      <c r="C422">
        <v>29</v>
      </c>
      <c r="D422">
        <v>12</v>
      </c>
      <c r="E422">
        <v>8</v>
      </c>
    </row>
    <row r="423" spans="3:5" x14ac:dyDescent="0.25">
      <c r="C423">
        <v>29</v>
      </c>
      <c r="D423">
        <v>12</v>
      </c>
      <c r="E423">
        <v>8</v>
      </c>
    </row>
    <row r="424" spans="3:5" x14ac:dyDescent="0.25">
      <c r="C424">
        <v>29</v>
      </c>
      <c r="D424">
        <v>12</v>
      </c>
      <c r="E424">
        <v>8</v>
      </c>
    </row>
    <row r="425" spans="3:5" x14ac:dyDescent="0.25">
      <c r="C425">
        <v>29</v>
      </c>
      <c r="D425">
        <v>12</v>
      </c>
      <c r="E425">
        <v>8</v>
      </c>
    </row>
    <row r="426" spans="3:5" x14ac:dyDescent="0.25">
      <c r="C426">
        <v>29</v>
      </c>
      <c r="D426">
        <v>12</v>
      </c>
      <c r="E426">
        <v>8</v>
      </c>
    </row>
    <row r="427" spans="3:5" x14ac:dyDescent="0.25">
      <c r="C427">
        <v>29</v>
      </c>
      <c r="D427">
        <v>12</v>
      </c>
      <c r="E427">
        <v>8</v>
      </c>
    </row>
    <row r="428" spans="3:5" x14ac:dyDescent="0.25">
      <c r="C428">
        <v>9</v>
      </c>
      <c r="D428">
        <v>11</v>
      </c>
      <c r="E428">
        <v>6</v>
      </c>
    </row>
    <row r="429" spans="3:5" x14ac:dyDescent="0.25">
      <c r="C429">
        <v>12</v>
      </c>
      <c r="D429">
        <v>10</v>
      </c>
      <c r="E429">
        <v>6</v>
      </c>
    </row>
    <row r="430" spans="3:5" x14ac:dyDescent="0.25">
      <c r="C430">
        <v>4</v>
      </c>
      <c r="D430">
        <v>9</v>
      </c>
      <c r="E430">
        <v>5</v>
      </c>
    </row>
    <row r="431" spans="3:5" x14ac:dyDescent="0.25">
      <c r="C431">
        <v>13</v>
      </c>
      <c r="D431">
        <v>13</v>
      </c>
      <c r="E431">
        <v>7</v>
      </c>
    </row>
    <row r="432" spans="3:5" x14ac:dyDescent="0.25">
      <c r="C432">
        <v>21</v>
      </c>
      <c r="D432">
        <v>9</v>
      </c>
      <c r="E432">
        <v>5</v>
      </c>
    </row>
    <row r="433" spans="3:5" x14ac:dyDescent="0.25">
      <c r="C433">
        <v>33</v>
      </c>
      <c r="D433">
        <v>9</v>
      </c>
      <c r="E433">
        <v>5</v>
      </c>
    </row>
    <row r="434" spans="3:5" x14ac:dyDescent="0.25">
      <c r="C434">
        <v>7</v>
      </c>
      <c r="D434">
        <v>8</v>
      </c>
      <c r="E434">
        <v>5</v>
      </c>
    </row>
    <row r="435" spans="3:5" x14ac:dyDescent="0.25">
      <c r="C435">
        <v>0</v>
      </c>
      <c r="D435">
        <v>0</v>
      </c>
      <c r="E435">
        <v>0</v>
      </c>
    </row>
    <row r="436" spans="3:5" x14ac:dyDescent="0.25">
      <c r="C436">
        <v>7</v>
      </c>
      <c r="D436">
        <v>9</v>
      </c>
      <c r="E436">
        <v>6</v>
      </c>
    </row>
    <row r="437" spans="3:5" x14ac:dyDescent="0.25">
      <c r="C437">
        <v>18</v>
      </c>
      <c r="D437">
        <v>8</v>
      </c>
      <c r="E437">
        <v>5</v>
      </c>
    </row>
    <row r="438" spans="3:5" x14ac:dyDescent="0.25">
      <c r="C438">
        <v>25</v>
      </c>
      <c r="D438">
        <v>7</v>
      </c>
      <c r="E438">
        <v>4</v>
      </c>
    </row>
    <row r="439" spans="3:5" x14ac:dyDescent="0.25">
      <c r="C439">
        <v>12</v>
      </c>
      <c r="D439">
        <v>6</v>
      </c>
      <c r="E439">
        <v>4</v>
      </c>
    </row>
    <row r="440" spans="3:5" x14ac:dyDescent="0.25">
      <c r="C440">
        <v>32</v>
      </c>
      <c r="D440">
        <v>7</v>
      </c>
      <c r="E440">
        <v>4</v>
      </c>
    </row>
    <row r="441" spans="3:5" x14ac:dyDescent="0.25">
      <c r="C441">
        <v>4</v>
      </c>
      <c r="D441">
        <v>6</v>
      </c>
      <c r="E441">
        <v>4</v>
      </c>
    </row>
    <row r="442" spans="3:5" x14ac:dyDescent="0.25">
      <c r="C442">
        <v>19</v>
      </c>
      <c r="D442">
        <v>7</v>
      </c>
      <c r="E442">
        <v>4</v>
      </c>
    </row>
    <row r="443" spans="3:5" x14ac:dyDescent="0.25">
      <c r="C443">
        <v>23</v>
      </c>
      <c r="D443">
        <v>9</v>
      </c>
      <c r="E443">
        <v>5</v>
      </c>
    </row>
    <row r="444" spans="3:5" x14ac:dyDescent="0.25">
      <c r="C444">
        <v>7</v>
      </c>
      <c r="D444">
        <v>10</v>
      </c>
      <c r="E444">
        <v>5</v>
      </c>
    </row>
    <row r="445" spans="3:5" x14ac:dyDescent="0.25">
      <c r="C445">
        <v>5</v>
      </c>
      <c r="D445">
        <v>10</v>
      </c>
      <c r="E445">
        <v>5</v>
      </c>
    </row>
    <row r="446" spans="3:5" x14ac:dyDescent="0.25">
      <c r="C446">
        <v>27</v>
      </c>
      <c r="D446">
        <v>8</v>
      </c>
      <c r="E446">
        <v>5</v>
      </c>
    </row>
    <row r="447" spans="3:5" x14ac:dyDescent="0.25">
      <c r="C447">
        <v>22</v>
      </c>
      <c r="D447">
        <v>11</v>
      </c>
      <c r="E447">
        <v>8</v>
      </c>
    </row>
    <row r="448" spans="3:5" x14ac:dyDescent="0.25">
      <c r="C448">
        <v>15</v>
      </c>
      <c r="D448">
        <v>11</v>
      </c>
      <c r="E448">
        <v>8</v>
      </c>
    </row>
    <row r="449" spans="1:6" x14ac:dyDescent="0.25">
      <c r="C449">
        <v>27</v>
      </c>
      <c r="D449">
        <v>11</v>
      </c>
      <c r="E449">
        <v>6</v>
      </c>
    </row>
    <row r="450" spans="1:6" x14ac:dyDescent="0.25">
      <c r="C450">
        <v>15</v>
      </c>
      <c r="D450">
        <v>10</v>
      </c>
      <c r="E450">
        <v>6</v>
      </c>
    </row>
    <row r="451" spans="1:6" x14ac:dyDescent="0.25">
      <c r="C451">
        <v>23</v>
      </c>
      <c r="D451">
        <v>13</v>
      </c>
      <c r="E451">
        <v>7</v>
      </c>
    </row>
    <row r="452" spans="1:6" x14ac:dyDescent="0.25">
      <c r="C452">
        <v>26</v>
      </c>
      <c r="D452">
        <v>9</v>
      </c>
      <c r="E452">
        <v>5</v>
      </c>
    </row>
    <row r="453" spans="1:6" x14ac:dyDescent="0.25">
      <c r="C453">
        <v>27</v>
      </c>
      <c r="D453">
        <v>4</v>
      </c>
      <c r="E453">
        <v>6</v>
      </c>
    </row>
    <row r="454" spans="1:6" x14ac:dyDescent="0.25">
      <c r="C454">
        <v>21</v>
      </c>
      <c r="D454">
        <v>10</v>
      </c>
      <c r="E454">
        <v>5</v>
      </c>
    </row>
    <row r="455" spans="1:6" x14ac:dyDescent="0.25">
      <c r="C455">
        <v>31</v>
      </c>
      <c r="D455">
        <v>10</v>
      </c>
      <c r="E455">
        <v>5</v>
      </c>
    </row>
    <row r="456" spans="1:6" x14ac:dyDescent="0.25">
      <c r="C456">
        <v>22</v>
      </c>
      <c r="D456">
        <v>7</v>
      </c>
      <c r="E456">
        <v>4</v>
      </c>
    </row>
    <row r="457" spans="1:6" x14ac:dyDescent="0.25">
      <c r="C457">
        <v>24</v>
      </c>
      <c r="D457">
        <v>7</v>
      </c>
      <c r="E457">
        <v>4</v>
      </c>
    </row>
    <row r="458" spans="1:6" x14ac:dyDescent="0.25">
      <c r="C458">
        <v>0</v>
      </c>
      <c r="D458">
        <v>0</v>
      </c>
      <c r="E458">
        <v>0</v>
      </c>
    </row>
    <row r="459" spans="1:6" x14ac:dyDescent="0.25">
      <c r="C459">
        <v>32</v>
      </c>
      <c r="D459">
        <v>8</v>
      </c>
      <c r="E459">
        <v>4</v>
      </c>
    </row>
    <row r="460" spans="1:6" x14ac:dyDescent="0.25">
      <c r="C460">
        <v>0</v>
      </c>
      <c r="D460">
        <v>0</v>
      </c>
      <c r="E460">
        <v>0</v>
      </c>
    </row>
    <row r="461" spans="1:6" x14ac:dyDescent="0.25">
      <c r="A461">
        <v>6</v>
      </c>
      <c r="C461">
        <v>28</v>
      </c>
      <c r="D461">
        <v>10</v>
      </c>
      <c r="E461">
        <v>5</v>
      </c>
      <c r="F461">
        <v>5</v>
      </c>
    </row>
    <row r="462" spans="1:6" x14ac:dyDescent="0.25">
      <c r="C462">
        <v>36</v>
      </c>
      <c r="D462">
        <v>10</v>
      </c>
      <c r="E462">
        <v>6</v>
      </c>
    </row>
    <row r="463" spans="1:6" x14ac:dyDescent="0.25">
      <c r="C463">
        <v>30</v>
      </c>
      <c r="D463">
        <v>10</v>
      </c>
      <c r="E463">
        <v>5</v>
      </c>
    </row>
    <row r="464" spans="1:6" x14ac:dyDescent="0.25">
      <c r="C464">
        <v>24</v>
      </c>
      <c r="D464">
        <v>13</v>
      </c>
      <c r="E464">
        <v>7</v>
      </c>
    </row>
    <row r="465" spans="3:5" x14ac:dyDescent="0.25">
      <c r="C465">
        <v>6</v>
      </c>
      <c r="D465">
        <v>9</v>
      </c>
      <c r="E465">
        <v>6</v>
      </c>
    </row>
    <row r="466" spans="3:5" x14ac:dyDescent="0.25">
      <c r="C466">
        <v>11</v>
      </c>
      <c r="D466">
        <v>11</v>
      </c>
      <c r="E466">
        <v>7</v>
      </c>
    </row>
    <row r="467" spans="3:5" x14ac:dyDescent="0.25">
      <c r="C467">
        <v>35</v>
      </c>
      <c r="D467">
        <v>12</v>
      </c>
      <c r="E467">
        <v>7</v>
      </c>
    </row>
    <row r="468" spans="3:5" x14ac:dyDescent="0.25">
      <c r="C468">
        <v>31</v>
      </c>
      <c r="D468">
        <v>10</v>
      </c>
      <c r="E468">
        <v>4</v>
      </c>
    </row>
    <row r="469" spans="3:5" x14ac:dyDescent="0.25">
      <c r="C469">
        <v>12</v>
      </c>
      <c r="D469">
        <v>10</v>
      </c>
      <c r="E469">
        <v>7</v>
      </c>
    </row>
    <row r="470" spans="3:5" x14ac:dyDescent="0.25">
      <c r="C470">
        <v>7</v>
      </c>
      <c r="D470">
        <v>10</v>
      </c>
      <c r="E470">
        <v>6</v>
      </c>
    </row>
    <row r="471" spans="3:5" x14ac:dyDescent="0.25">
      <c r="C471">
        <v>20</v>
      </c>
      <c r="D471">
        <v>10</v>
      </c>
      <c r="E471">
        <v>5</v>
      </c>
    </row>
    <row r="472" spans="3:5" x14ac:dyDescent="0.25">
      <c r="C472">
        <v>19</v>
      </c>
      <c r="D472">
        <v>10</v>
      </c>
      <c r="E472">
        <v>5</v>
      </c>
    </row>
    <row r="473" spans="3:5" x14ac:dyDescent="0.25">
      <c r="C473">
        <v>1</v>
      </c>
      <c r="D473">
        <v>10</v>
      </c>
      <c r="E473">
        <v>8</v>
      </c>
    </row>
    <row r="474" spans="3:5" x14ac:dyDescent="0.25">
      <c r="C474">
        <v>27</v>
      </c>
      <c r="D474">
        <v>10</v>
      </c>
      <c r="E474">
        <v>7</v>
      </c>
    </row>
    <row r="475" spans="3:5" x14ac:dyDescent="0.25">
      <c r="C475">
        <v>17</v>
      </c>
      <c r="D475">
        <v>11</v>
      </c>
      <c r="E475">
        <v>6</v>
      </c>
    </row>
    <row r="476" spans="3:5" x14ac:dyDescent="0.25">
      <c r="C476">
        <v>21</v>
      </c>
      <c r="D476">
        <v>11</v>
      </c>
      <c r="E476">
        <v>6</v>
      </c>
    </row>
    <row r="477" spans="3:5" x14ac:dyDescent="0.25">
      <c r="C477">
        <v>0</v>
      </c>
      <c r="D477">
        <v>0</v>
      </c>
      <c r="E477">
        <v>0</v>
      </c>
    </row>
    <row r="478" spans="3:5" x14ac:dyDescent="0.25">
      <c r="C478">
        <v>21</v>
      </c>
      <c r="D478">
        <v>11</v>
      </c>
      <c r="E478">
        <v>6</v>
      </c>
    </row>
    <row r="479" spans="3:5" x14ac:dyDescent="0.25">
      <c r="C479">
        <v>17</v>
      </c>
      <c r="D479">
        <v>11</v>
      </c>
      <c r="E479">
        <v>6</v>
      </c>
    </row>
    <row r="480" spans="3:5" x14ac:dyDescent="0.25">
      <c r="C480">
        <v>0</v>
      </c>
      <c r="D480">
        <v>0</v>
      </c>
      <c r="E480">
        <v>0</v>
      </c>
    </row>
    <row r="517" spans="12:13" x14ac:dyDescent="0.25">
      <c r="L517" s="1"/>
      <c r="M517" s="1"/>
    </row>
    <row r="518" spans="12:13" x14ac:dyDescent="0.25">
      <c r="L518" s="1"/>
      <c r="M518" s="1"/>
    </row>
    <row r="519" spans="12:13" x14ac:dyDescent="0.25">
      <c r="L519" s="1"/>
      <c r="M519" s="1"/>
    </row>
    <row r="525" spans="12:13" x14ac:dyDescent="0.25">
      <c r="L525" s="1"/>
      <c r="M525" s="1"/>
    </row>
    <row r="526" spans="12:13" x14ac:dyDescent="0.25">
      <c r="L526" s="1"/>
      <c r="M526" s="1"/>
    </row>
    <row r="527" spans="12:13" x14ac:dyDescent="0.25">
      <c r="L527" s="1"/>
      <c r="M527" s="1"/>
    </row>
    <row r="528" spans="12:13" x14ac:dyDescent="0.25">
      <c r="L528" s="1"/>
      <c r="M528" s="1"/>
    </row>
    <row r="529" spans="12:13" x14ac:dyDescent="0.25">
      <c r="L529" s="1"/>
      <c r="M529" s="1"/>
    </row>
    <row r="530" spans="12:13" x14ac:dyDescent="0.25">
      <c r="L530" s="1"/>
      <c r="M530" s="1"/>
    </row>
    <row r="531" spans="12:13" x14ac:dyDescent="0.25">
      <c r="L531" s="1"/>
      <c r="M531" s="1"/>
    </row>
    <row r="532" spans="12:13" x14ac:dyDescent="0.25">
      <c r="L532" s="1"/>
      <c r="M532" s="1"/>
    </row>
    <row r="533" spans="12:13" x14ac:dyDescent="0.25">
      <c r="L533" s="1"/>
      <c r="M533" s="1"/>
    </row>
    <row r="534" spans="12:13" x14ac:dyDescent="0.25">
      <c r="L534" s="1"/>
      <c r="M534" s="1"/>
    </row>
    <row r="535" spans="12:13" x14ac:dyDescent="0.25">
      <c r="L535" s="1"/>
      <c r="M535" s="1"/>
    </row>
    <row r="536" spans="12:13" x14ac:dyDescent="0.25">
      <c r="L536" s="1"/>
      <c r="M536" s="1"/>
    </row>
    <row r="537" spans="12:13" x14ac:dyDescent="0.25">
      <c r="L537" s="1"/>
      <c r="M537" s="1"/>
    </row>
    <row r="538" spans="12:13" x14ac:dyDescent="0.25">
      <c r="L538" s="1"/>
      <c r="M538" s="1"/>
    </row>
    <row r="539" spans="12:13" x14ac:dyDescent="0.25">
      <c r="L539" s="1"/>
      <c r="M539" s="1"/>
    </row>
    <row r="540" spans="12:13" x14ac:dyDescent="0.25">
      <c r="L540" s="1"/>
      <c r="M540" s="1"/>
    </row>
    <row r="541" spans="12:13" x14ac:dyDescent="0.25">
      <c r="L541" s="1"/>
      <c r="M541" s="1"/>
    </row>
    <row r="542" spans="12:13" x14ac:dyDescent="0.25">
      <c r="L542" s="1"/>
      <c r="M542" s="1"/>
    </row>
    <row r="543" spans="12:13" x14ac:dyDescent="0.25">
      <c r="L543" s="1"/>
      <c r="M543" s="1"/>
    </row>
    <row r="544" spans="12:13" x14ac:dyDescent="0.25">
      <c r="L544" s="1"/>
      <c r="M544" s="1"/>
    </row>
    <row r="545" spans="12:13" x14ac:dyDescent="0.25">
      <c r="L545" s="1"/>
      <c r="M545" s="1"/>
    </row>
    <row r="546" spans="12:13" x14ac:dyDescent="0.25">
      <c r="L546" s="1"/>
      <c r="M546" s="1"/>
    </row>
    <row r="547" spans="12:13" x14ac:dyDescent="0.25">
      <c r="L547" s="1"/>
    </row>
    <row r="548" spans="12:13" x14ac:dyDescent="0.25">
      <c r="L548" s="1"/>
      <c r="M548" s="1"/>
    </row>
    <row r="549" spans="12:13" x14ac:dyDescent="0.25">
      <c r="L549" s="1"/>
      <c r="M549" s="1"/>
    </row>
    <row r="550" spans="12:13" x14ac:dyDescent="0.25">
      <c r="L550" s="1"/>
    </row>
    <row r="551" spans="12:13" x14ac:dyDescent="0.25">
      <c r="L551" s="1"/>
    </row>
    <row r="552" spans="12:13" x14ac:dyDescent="0.25">
      <c r="L552" s="1"/>
      <c r="M552" s="1"/>
    </row>
    <row r="553" spans="12:13" x14ac:dyDescent="0.25">
      <c r="L553" s="1"/>
      <c r="M553" s="1"/>
    </row>
    <row r="554" spans="12:13" x14ac:dyDescent="0.25">
      <c r="L554" s="1"/>
      <c r="M554" s="1"/>
    </row>
    <row r="555" spans="12:13" x14ac:dyDescent="0.25">
      <c r="L555" s="1"/>
      <c r="M555" s="1"/>
    </row>
    <row r="556" spans="12:13" x14ac:dyDescent="0.25">
      <c r="L556" s="1"/>
      <c r="M556" s="1"/>
    </row>
    <row r="557" spans="12:13" x14ac:dyDescent="0.25">
      <c r="L557" s="1"/>
      <c r="M557" s="1"/>
    </row>
    <row r="558" spans="12:13" x14ac:dyDescent="0.25">
      <c r="L558" s="1"/>
      <c r="M558" s="1"/>
    </row>
    <row r="559" spans="12:13" x14ac:dyDescent="0.25">
      <c r="L559" s="1"/>
      <c r="M559" s="1"/>
    </row>
    <row r="560" spans="12:13" x14ac:dyDescent="0.25">
      <c r="L560" s="1"/>
      <c r="M560" s="1"/>
    </row>
    <row r="561" spans="12:13" x14ac:dyDescent="0.25">
      <c r="L561" s="1"/>
      <c r="M561" s="1"/>
    </row>
    <row r="562" spans="12:13" x14ac:dyDescent="0.25">
      <c r="L562" s="1"/>
      <c r="M562" s="1"/>
    </row>
    <row r="563" spans="12:13" x14ac:dyDescent="0.25">
      <c r="L563" s="1"/>
      <c r="M563" s="1"/>
    </row>
    <row r="564" spans="12:13" x14ac:dyDescent="0.25">
      <c r="L564" s="1"/>
      <c r="M564" s="1"/>
    </row>
    <row r="565" spans="12:13" x14ac:dyDescent="0.25">
      <c r="L565" s="1"/>
      <c r="M565" s="1"/>
    </row>
    <row r="566" spans="12:13" x14ac:dyDescent="0.25">
      <c r="L566" s="1"/>
      <c r="M566" s="1"/>
    </row>
    <row r="567" spans="12:13" x14ac:dyDescent="0.25">
      <c r="L567" s="1"/>
      <c r="M567" s="1"/>
    </row>
    <row r="568" spans="12:13" x14ac:dyDescent="0.25">
      <c r="L568" s="1"/>
    </row>
    <row r="569" spans="12:13" x14ac:dyDescent="0.25">
      <c r="L569" s="1"/>
      <c r="M569" s="1"/>
    </row>
    <row r="570" spans="12:13" x14ac:dyDescent="0.25">
      <c r="L570" s="1"/>
      <c r="M570" s="1"/>
    </row>
    <row r="571" spans="12:13" x14ac:dyDescent="0.25">
      <c r="L571" s="1"/>
      <c r="M571" s="1"/>
    </row>
    <row r="572" spans="12:13" x14ac:dyDescent="0.25">
      <c r="L572" s="1"/>
      <c r="M572" s="1"/>
    </row>
    <row r="573" spans="12:13" x14ac:dyDescent="0.25">
      <c r="L573" s="1"/>
      <c r="M573" s="1"/>
    </row>
    <row r="574" spans="12:13" x14ac:dyDescent="0.25">
      <c r="L574" s="1"/>
      <c r="M574" s="1"/>
    </row>
    <row r="575" spans="12:13" x14ac:dyDescent="0.25">
      <c r="L575" s="1"/>
    </row>
    <row r="576" spans="12:13" x14ac:dyDescent="0.25">
      <c r="L576" s="1"/>
      <c r="M576" s="1"/>
    </row>
    <row r="577" spans="12:13" x14ac:dyDescent="0.25">
      <c r="L577" s="1"/>
    </row>
    <row r="578" spans="12:13" x14ac:dyDescent="0.25">
      <c r="L578" s="1"/>
      <c r="M578" s="1"/>
    </row>
    <row r="579" spans="12:13" x14ac:dyDescent="0.25">
      <c r="L579" s="1"/>
      <c r="M579" s="1"/>
    </row>
    <row r="580" spans="12:13" x14ac:dyDescent="0.25">
      <c r="L580" s="1"/>
      <c r="M580" s="1"/>
    </row>
    <row r="581" spans="12:13" x14ac:dyDescent="0.25">
      <c r="L581" s="1"/>
      <c r="M581" s="1"/>
    </row>
    <row r="582" spans="12:13" x14ac:dyDescent="0.25">
      <c r="L582" s="1"/>
      <c r="M582" s="1"/>
    </row>
    <row r="583" spans="12:13" x14ac:dyDescent="0.25">
      <c r="L583" s="1"/>
      <c r="M583" s="1"/>
    </row>
    <row r="584" spans="12:13" x14ac:dyDescent="0.25">
      <c r="L584" s="1"/>
      <c r="M584" s="1"/>
    </row>
    <row r="585" spans="12:13" x14ac:dyDescent="0.25">
      <c r="L585" s="1"/>
      <c r="M585" s="1"/>
    </row>
    <row r="586" spans="12:13" x14ac:dyDescent="0.25">
      <c r="L586" s="1"/>
      <c r="M586" s="1"/>
    </row>
    <row r="587" spans="12:13" x14ac:dyDescent="0.25">
      <c r="L587" s="1"/>
      <c r="M587" s="1"/>
    </row>
    <row r="588" spans="12:13" x14ac:dyDescent="0.25">
      <c r="L588" s="1"/>
      <c r="M588" s="1"/>
    </row>
    <row r="589" spans="12:13" x14ac:dyDescent="0.25">
      <c r="L589" s="1"/>
      <c r="M589" s="1"/>
    </row>
    <row r="590" spans="12:13" x14ac:dyDescent="0.25">
      <c r="L590" s="1"/>
      <c r="M590" s="1"/>
    </row>
    <row r="591" spans="12:13" x14ac:dyDescent="0.25">
      <c r="L591" s="1"/>
      <c r="M591" s="1"/>
    </row>
    <row r="592" spans="12:13" x14ac:dyDescent="0.25">
      <c r="L592" s="1"/>
      <c r="M592" s="1"/>
    </row>
    <row r="593" spans="12:13" x14ac:dyDescent="0.25">
      <c r="L593" s="1"/>
      <c r="M593" s="1"/>
    </row>
    <row r="594" spans="12:13" x14ac:dyDescent="0.25">
      <c r="L594" s="1"/>
      <c r="M594" s="1"/>
    </row>
    <row r="595" spans="12:13" x14ac:dyDescent="0.25">
      <c r="L595" s="1"/>
      <c r="M595" s="1"/>
    </row>
    <row r="596" spans="12:13" x14ac:dyDescent="0.25">
      <c r="L596" s="1"/>
      <c r="M596" s="1"/>
    </row>
    <row r="597" spans="12:13" x14ac:dyDescent="0.25">
      <c r="L597" s="1"/>
      <c r="M597" s="1"/>
    </row>
    <row r="598" spans="12:13" x14ac:dyDescent="0.25">
      <c r="L598" s="1"/>
      <c r="M598" s="1"/>
    </row>
    <row r="599" spans="12:13" x14ac:dyDescent="0.25">
      <c r="L599" s="1"/>
      <c r="M599" s="1"/>
    </row>
    <row r="600" spans="12:13" x14ac:dyDescent="0.25">
      <c r="L600" s="1"/>
      <c r="M600" s="1"/>
    </row>
    <row r="601" spans="12:13" x14ac:dyDescent="0.25">
      <c r="L601" s="1"/>
    </row>
    <row r="602" spans="12:13" x14ac:dyDescent="0.25">
      <c r="L602" s="1"/>
    </row>
    <row r="608" spans="12:13" x14ac:dyDescent="0.25">
      <c r="L608" s="1"/>
      <c r="M608" s="1"/>
    </row>
    <row r="609" spans="12:13" x14ac:dyDescent="0.25">
      <c r="L609" s="1"/>
      <c r="M609" s="1"/>
    </row>
    <row r="610" spans="12:13" x14ac:dyDescent="0.25">
      <c r="L610" s="1"/>
      <c r="M610" s="1"/>
    </row>
    <row r="611" spans="12:13" x14ac:dyDescent="0.25">
      <c r="L611" s="1"/>
      <c r="M611" s="1"/>
    </row>
    <row r="612" spans="12:13" x14ac:dyDescent="0.25">
      <c r="L612" s="1"/>
      <c r="M612" s="1"/>
    </row>
    <row r="613" spans="12:13" x14ac:dyDescent="0.25">
      <c r="L613" s="1"/>
      <c r="M613" s="1"/>
    </row>
    <row r="614" spans="12:13" x14ac:dyDescent="0.25">
      <c r="L614" s="1"/>
      <c r="M614" s="1"/>
    </row>
    <row r="615" spans="12:13" x14ac:dyDescent="0.25">
      <c r="L615" s="1"/>
      <c r="M615" s="1"/>
    </row>
    <row r="616" spans="12:13" x14ac:dyDescent="0.25">
      <c r="L616" s="1"/>
      <c r="M616" s="1"/>
    </row>
    <row r="617" spans="12:13" x14ac:dyDescent="0.25">
      <c r="L617" s="1"/>
      <c r="M617" s="1"/>
    </row>
    <row r="618" spans="12:13" x14ac:dyDescent="0.25">
      <c r="L618" s="1"/>
      <c r="M618" s="1"/>
    </row>
    <row r="619" spans="12:13" x14ac:dyDescent="0.25">
      <c r="L619" s="1"/>
      <c r="M619" s="1"/>
    </row>
    <row r="620" spans="12:13" x14ac:dyDescent="0.25">
      <c r="L620" s="1"/>
      <c r="M620" s="1"/>
    </row>
    <row r="621" spans="12:13" x14ac:dyDescent="0.25">
      <c r="L621" s="1"/>
      <c r="M621" s="1"/>
    </row>
    <row r="622" spans="12:13" x14ac:dyDescent="0.25">
      <c r="L622" s="1"/>
      <c r="M622" s="1"/>
    </row>
    <row r="623" spans="12:13" x14ac:dyDescent="0.25">
      <c r="L623" s="1"/>
      <c r="M623" s="1"/>
    </row>
    <row r="624" spans="12:13" x14ac:dyDescent="0.25">
      <c r="L624" s="1"/>
      <c r="M624" s="1"/>
    </row>
    <row r="625" spans="12:13" x14ac:dyDescent="0.25">
      <c r="L625" s="1"/>
      <c r="M625" s="1"/>
    </row>
    <row r="626" spans="12:13" x14ac:dyDescent="0.25">
      <c r="L626" s="1"/>
      <c r="M626" s="1"/>
    </row>
    <row r="627" spans="12:13" x14ac:dyDescent="0.25">
      <c r="L627" s="1"/>
      <c r="M627" s="1"/>
    </row>
    <row r="628" spans="12:13" x14ac:dyDescent="0.25">
      <c r="L628" s="1"/>
      <c r="M628" s="1"/>
    </row>
    <row r="629" spans="12:13" x14ac:dyDescent="0.25">
      <c r="L629" s="1"/>
      <c r="M629" s="1"/>
    </row>
    <row r="630" spans="12:13" x14ac:dyDescent="0.25">
      <c r="L630" s="1"/>
      <c r="M630" s="1"/>
    </row>
    <row r="631" spans="12:13" x14ac:dyDescent="0.25">
      <c r="L631" s="1"/>
      <c r="M631" s="1"/>
    </row>
    <row r="632" spans="12:13" x14ac:dyDescent="0.25">
      <c r="L632" s="1"/>
      <c r="M632" s="1"/>
    </row>
    <row r="633" spans="12:13" x14ac:dyDescent="0.25">
      <c r="L633" s="1"/>
      <c r="M633" s="1"/>
    </row>
    <row r="634" spans="12:13" x14ac:dyDescent="0.25">
      <c r="L634" s="1"/>
      <c r="M634" s="1"/>
    </row>
    <row r="635" spans="12:13" x14ac:dyDescent="0.25">
      <c r="L635" s="1"/>
      <c r="M635" s="1"/>
    </row>
    <row r="636" spans="12:13" x14ac:dyDescent="0.25">
      <c r="L636" s="1"/>
      <c r="M636" s="1"/>
    </row>
    <row r="637" spans="12:13" x14ac:dyDescent="0.25">
      <c r="L637" s="1"/>
    </row>
    <row r="638" spans="12:13" x14ac:dyDescent="0.25">
      <c r="L638" s="1"/>
      <c r="M638" s="1"/>
    </row>
    <row r="639" spans="12:13" x14ac:dyDescent="0.25">
      <c r="L639" s="1"/>
      <c r="M639" s="1"/>
    </row>
    <row r="640" spans="12:13" x14ac:dyDescent="0.25">
      <c r="L640" s="1"/>
      <c r="M640" s="1"/>
    </row>
    <row r="641" spans="12:13" x14ac:dyDescent="0.25">
      <c r="L641" s="1"/>
    </row>
    <row r="642" spans="12:13" x14ac:dyDescent="0.25">
      <c r="L642" s="1"/>
      <c r="M642" s="1"/>
    </row>
    <row r="643" spans="12:13" x14ac:dyDescent="0.25">
      <c r="L643" s="1"/>
      <c r="M643" s="1"/>
    </row>
    <row r="644" spans="12:13" x14ac:dyDescent="0.25">
      <c r="L644" s="1"/>
    </row>
    <row r="645" spans="12:13" x14ac:dyDescent="0.25">
      <c r="L645" s="1"/>
      <c r="M645" s="1"/>
    </row>
    <row r="646" spans="12:13" x14ac:dyDescent="0.25">
      <c r="L646" s="1"/>
      <c r="M646" s="1"/>
    </row>
    <row r="647" spans="12:13" x14ac:dyDescent="0.25">
      <c r="L647" s="1"/>
      <c r="M647" s="1"/>
    </row>
    <row r="648" spans="12:13" x14ac:dyDescent="0.25">
      <c r="L648" s="1"/>
      <c r="M648" s="1"/>
    </row>
    <row r="649" spans="12:13" x14ac:dyDescent="0.25">
      <c r="L649" s="1"/>
    </row>
    <row r="650" spans="12:13" x14ac:dyDescent="0.25">
      <c r="L650" s="1"/>
    </row>
    <row r="651" spans="12:13" x14ac:dyDescent="0.25">
      <c r="L651" s="1"/>
    </row>
    <row r="652" spans="12:13" x14ac:dyDescent="0.25">
      <c r="L652" s="1"/>
      <c r="M652" s="1"/>
    </row>
    <row r="653" spans="12:13" x14ac:dyDescent="0.25">
      <c r="L653" s="1"/>
    </row>
    <row r="654" spans="12:13" x14ac:dyDescent="0.25">
      <c r="L654" s="1"/>
    </row>
    <row r="655" spans="12:13" x14ac:dyDescent="0.25">
      <c r="L655" s="1"/>
      <c r="M655" s="1"/>
    </row>
    <row r="656" spans="12:13" x14ac:dyDescent="0.25">
      <c r="L656" s="1"/>
      <c r="M656" s="1"/>
    </row>
    <row r="657" spans="12:13" x14ac:dyDescent="0.25">
      <c r="L657" s="1"/>
      <c r="M657" s="1"/>
    </row>
    <row r="658" spans="12:13" x14ac:dyDescent="0.25">
      <c r="L658" s="1"/>
    </row>
    <row r="659" spans="12:13" x14ac:dyDescent="0.25">
      <c r="L659" s="1"/>
      <c r="M659" s="1"/>
    </row>
    <row r="660" spans="12:13" x14ac:dyDescent="0.25">
      <c r="L660" s="1"/>
      <c r="M660" s="1"/>
    </row>
    <row r="661" spans="12:13" x14ac:dyDescent="0.25">
      <c r="L661" s="1"/>
      <c r="M661" s="1"/>
    </row>
    <row r="662" spans="12:13" x14ac:dyDescent="0.25">
      <c r="L662" s="1"/>
      <c r="M662" s="1"/>
    </row>
    <row r="663" spans="12:13" x14ac:dyDescent="0.25">
      <c r="L663" s="1"/>
      <c r="M663" s="1"/>
    </row>
    <row r="664" spans="12:13" x14ac:dyDescent="0.25">
      <c r="L664" s="1"/>
      <c r="M664" s="1"/>
    </row>
    <row r="665" spans="12:13" x14ac:dyDescent="0.25">
      <c r="L665" s="1"/>
      <c r="M665" s="1"/>
    </row>
    <row r="666" spans="12:13" x14ac:dyDescent="0.25">
      <c r="L666" s="1"/>
    </row>
    <row r="667" spans="12:13" x14ac:dyDescent="0.25">
      <c r="L667" s="1"/>
      <c r="M667" s="1"/>
    </row>
    <row r="668" spans="12:13" x14ac:dyDescent="0.25">
      <c r="L668" s="1"/>
    </row>
    <row r="669" spans="12:13" x14ac:dyDescent="0.25">
      <c r="L669" s="1"/>
      <c r="M669" s="1"/>
    </row>
    <row r="670" spans="12:13" x14ac:dyDescent="0.25">
      <c r="L670" s="1"/>
      <c r="M670" s="1"/>
    </row>
    <row r="671" spans="12:13" x14ac:dyDescent="0.25">
      <c r="L671" s="1"/>
      <c r="M671" s="1"/>
    </row>
    <row r="672" spans="12:13" x14ac:dyDescent="0.25">
      <c r="L672" s="1"/>
      <c r="M672" s="1"/>
    </row>
    <row r="673" spans="12:13" x14ac:dyDescent="0.25">
      <c r="L673" s="1"/>
      <c r="M673" s="1"/>
    </row>
    <row r="674" spans="12:13" x14ac:dyDescent="0.25">
      <c r="L674" s="1"/>
      <c r="M674" s="1"/>
    </row>
    <row r="675" spans="12:13" x14ac:dyDescent="0.25">
      <c r="L675" s="1"/>
      <c r="M675" s="1"/>
    </row>
    <row r="676" spans="12:13" x14ac:dyDescent="0.25">
      <c r="L676" s="1"/>
      <c r="M676" s="1"/>
    </row>
    <row r="677" spans="12:13" x14ac:dyDescent="0.25">
      <c r="L677" s="1"/>
      <c r="M677" s="1"/>
    </row>
    <row r="678" spans="12:13" x14ac:dyDescent="0.25">
      <c r="L678" s="1"/>
    </row>
    <row r="679" spans="12:13" x14ac:dyDescent="0.25">
      <c r="L679" s="1"/>
    </row>
    <row r="680" spans="12:13" x14ac:dyDescent="0.25">
      <c r="L680" s="1"/>
    </row>
    <row r="681" spans="12:13" x14ac:dyDescent="0.25">
      <c r="L681" s="1"/>
    </row>
    <row r="682" spans="12:13" x14ac:dyDescent="0.25">
      <c r="L682" s="1"/>
    </row>
    <row r="683" spans="12:13" x14ac:dyDescent="0.25">
      <c r="L683" s="1"/>
    </row>
    <row r="684" spans="12:13" x14ac:dyDescent="0.25">
      <c r="L684" s="1"/>
    </row>
    <row r="685" spans="12:13" x14ac:dyDescent="0.25">
      <c r="L685" s="1"/>
    </row>
    <row r="686" spans="12:13" x14ac:dyDescent="0.25">
      <c r="L686" s="1"/>
    </row>
    <row r="687" spans="12:13" x14ac:dyDescent="0.25">
      <c r="L687" s="1"/>
    </row>
    <row r="688" spans="12:13" x14ac:dyDescent="0.25">
      <c r="L688" s="1"/>
      <c r="M688" s="1"/>
    </row>
    <row r="689" spans="12:13" x14ac:dyDescent="0.25">
      <c r="L689" s="1"/>
      <c r="M689" s="1"/>
    </row>
    <row r="690" spans="12:13" x14ac:dyDescent="0.25">
      <c r="L690" s="1"/>
      <c r="M690" s="1"/>
    </row>
    <row r="691" spans="12:13" x14ac:dyDescent="0.25">
      <c r="L691" s="1"/>
      <c r="M691" s="1"/>
    </row>
    <row r="692" spans="12:13" x14ac:dyDescent="0.25">
      <c r="L692" s="1"/>
      <c r="M692" s="1"/>
    </row>
    <row r="693" spans="12:13" x14ac:dyDescent="0.25">
      <c r="L693" s="1"/>
      <c r="M693" s="1"/>
    </row>
    <row r="694" spans="12:13" x14ac:dyDescent="0.25">
      <c r="L694" s="1"/>
      <c r="M694" s="1"/>
    </row>
    <row r="695" spans="12:13" x14ac:dyDescent="0.25">
      <c r="L695" s="1"/>
      <c r="M695" s="1"/>
    </row>
    <row r="696" spans="12:13" x14ac:dyDescent="0.25">
      <c r="L696" s="1"/>
      <c r="M696" s="1"/>
    </row>
    <row r="697" spans="12:13" x14ac:dyDescent="0.25">
      <c r="L697" s="1"/>
      <c r="M697" s="1"/>
    </row>
    <row r="698" spans="12:13" x14ac:dyDescent="0.25">
      <c r="L698" s="1"/>
    </row>
    <row r="699" spans="12:13" x14ac:dyDescent="0.25">
      <c r="L699" s="1"/>
    </row>
    <row r="700" spans="12:13" x14ac:dyDescent="0.25">
      <c r="L700" s="1"/>
    </row>
    <row r="701" spans="12:13" x14ac:dyDescent="0.25">
      <c r="L701" s="1"/>
      <c r="M701" s="1"/>
    </row>
    <row r="702" spans="12:13" x14ac:dyDescent="0.25">
      <c r="L702" s="1"/>
    </row>
    <row r="703" spans="12:13" x14ac:dyDescent="0.25">
      <c r="L703" s="1"/>
      <c r="M703" s="1"/>
    </row>
    <row r="704" spans="12:13" x14ac:dyDescent="0.25">
      <c r="L704" s="1"/>
      <c r="M704" s="1"/>
    </row>
    <row r="705" spans="12:13" x14ac:dyDescent="0.25">
      <c r="L705" s="1"/>
    </row>
    <row r="706" spans="12:13" x14ac:dyDescent="0.25">
      <c r="L706" s="1"/>
    </row>
    <row r="707" spans="12:13" x14ac:dyDescent="0.25">
      <c r="L707" s="1"/>
      <c r="M707" s="1"/>
    </row>
    <row r="708" spans="12:13" x14ac:dyDescent="0.25">
      <c r="L708" s="1"/>
      <c r="M708" s="1"/>
    </row>
    <row r="709" spans="12:13" x14ac:dyDescent="0.25">
      <c r="L709" s="1"/>
      <c r="M709" s="1"/>
    </row>
    <row r="710" spans="12:13" x14ac:dyDescent="0.25">
      <c r="L710" s="1"/>
      <c r="M710" s="1"/>
    </row>
    <row r="711" spans="12:13" x14ac:dyDescent="0.25">
      <c r="L711" s="1"/>
      <c r="M711" s="1"/>
    </row>
    <row r="712" spans="12:13" x14ac:dyDescent="0.25">
      <c r="L712" s="1"/>
      <c r="M712" s="1"/>
    </row>
    <row r="713" spans="12:13" x14ac:dyDescent="0.25">
      <c r="L713" s="1"/>
      <c r="M713" s="1"/>
    </row>
    <row r="714" spans="12:13" x14ac:dyDescent="0.25">
      <c r="L714" s="1"/>
      <c r="M714" s="1"/>
    </row>
    <row r="715" spans="12:13" x14ac:dyDescent="0.25">
      <c r="L715" s="1"/>
      <c r="M715" s="1"/>
    </row>
    <row r="716" spans="12:13" x14ac:dyDescent="0.25">
      <c r="L716" s="1"/>
      <c r="M716" s="1"/>
    </row>
    <row r="717" spans="12:13" x14ac:dyDescent="0.25">
      <c r="L717" s="1"/>
      <c r="M717" s="1"/>
    </row>
    <row r="718" spans="12:13" x14ac:dyDescent="0.25">
      <c r="L718" s="1"/>
      <c r="M718" s="1"/>
    </row>
    <row r="719" spans="12:13" x14ac:dyDescent="0.25">
      <c r="L719" s="1"/>
      <c r="M719" s="1"/>
    </row>
    <row r="720" spans="12:13" x14ac:dyDescent="0.25">
      <c r="L720" s="1"/>
      <c r="M720" s="1"/>
    </row>
    <row r="721" spans="12:13" x14ac:dyDescent="0.25">
      <c r="L721" s="1"/>
    </row>
    <row r="722" spans="12:13" x14ac:dyDescent="0.25">
      <c r="L722" s="1"/>
    </row>
    <row r="723" spans="12:13" x14ac:dyDescent="0.25">
      <c r="L723" s="1"/>
      <c r="M723" s="1"/>
    </row>
    <row r="724" spans="12:13" x14ac:dyDescent="0.25">
      <c r="L724" s="1"/>
      <c r="M724" s="1"/>
    </row>
    <row r="725" spans="12:13" x14ac:dyDescent="0.25">
      <c r="L725" s="1"/>
      <c r="M725" s="1"/>
    </row>
    <row r="726" spans="12:13" x14ac:dyDescent="0.25">
      <c r="L726" s="1"/>
      <c r="M726" s="1"/>
    </row>
    <row r="727" spans="12:13" x14ac:dyDescent="0.25">
      <c r="L727" s="1"/>
      <c r="M727" s="1"/>
    </row>
    <row r="728" spans="12:13" x14ac:dyDescent="0.25">
      <c r="L728" s="1"/>
      <c r="M728" s="1"/>
    </row>
    <row r="729" spans="12:13" x14ac:dyDescent="0.25">
      <c r="L729" s="1"/>
      <c r="M729" s="1"/>
    </row>
    <row r="730" spans="12:13" x14ac:dyDescent="0.25">
      <c r="L730" s="1"/>
      <c r="M730" s="1"/>
    </row>
    <row r="731" spans="12:13" x14ac:dyDescent="0.25">
      <c r="L731" s="1"/>
      <c r="M731" s="1"/>
    </row>
    <row r="732" spans="12:13" x14ac:dyDescent="0.25">
      <c r="L732" s="1"/>
      <c r="M732" s="1"/>
    </row>
    <row r="733" spans="12:13" x14ac:dyDescent="0.25">
      <c r="L733" s="1"/>
      <c r="M733" s="1"/>
    </row>
    <row r="734" spans="12:13" x14ac:dyDescent="0.25">
      <c r="L734" s="1"/>
      <c r="M734" s="1"/>
    </row>
    <row r="735" spans="12:13" x14ac:dyDescent="0.25">
      <c r="L735" s="1"/>
      <c r="M735" s="1"/>
    </row>
    <row r="736" spans="12:13" x14ac:dyDescent="0.25">
      <c r="L736" s="1"/>
      <c r="M736" s="1"/>
    </row>
    <row r="737" spans="12:13" x14ac:dyDescent="0.25">
      <c r="L737" s="1"/>
      <c r="M737" s="1"/>
    </row>
    <row r="738" spans="12:13" x14ac:dyDescent="0.25">
      <c r="L738" s="1"/>
      <c r="M738" s="1"/>
    </row>
    <row r="739" spans="12:13" x14ac:dyDescent="0.25">
      <c r="L739" s="1"/>
      <c r="M739" s="1"/>
    </row>
    <row r="740" spans="12:13" x14ac:dyDescent="0.25">
      <c r="L740" s="1"/>
      <c r="M740" s="1"/>
    </row>
    <row r="741" spans="12:13" x14ac:dyDescent="0.25">
      <c r="L741" s="1"/>
      <c r="M741" s="1"/>
    </row>
    <row r="742" spans="12:13" x14ac:dyDescent="0.25">
      <c r="L742" s="1"/>
      <c r="M742" s="1"/>
    </row>
    <row r="743" spans="12:13" x14ac:dyDescent="0.25">
      <c r="L743" s="1"/>
    </row>
    <row r="744" spans="12:13" x14ac:dyDescent="0.25">
      <c r="L744" s="1"/>
    </row>
    <row r="745" spans="12:13" x14ac:dyDescent="0.25">
      <c r="L745" s="1"/>
      <c r="M745" s="1"/>
    </row>
    <row r="746" spans="12:13" x14ac:dyDescent="0.25">
      <c r="L746" s="1"/>
      <c r="M746" s="1"/>
    </row>
    <row r="747" spans="12:13" x14ac:dyDescent="0.25">
      <c r="L747" s="1"/>
      <c r="M747" s="1"/>
    </row>
    <row r="748" spans="12:13" x14ac:dyDescent="0.25">
      <c r="L748" s="1"/>
    </row>
    <row r="749" spans="12:13" x14ac:dyDescent="0.25">
      <c r="L749" s="1"/>
    </row>
    <row r="750" spans="12:13" x14ac:dyDescent="0.25">
      <c r="L750" s="1"/>
      <c r="M750" s="1"/>
    </row>
    <row r="751" spans="12:13" x14ac:dyDescent="0.25">
      <c r="L751" s="1"/>
    </row>
    <row r="752" spans="12:13" x14ac:dyDescent="0.25">
      <c r="L752" s="1"/>
    </row>
    <row r="753" spans="12:13" x14ac:dyDescent="0.25">
      <c r="L753" s="1"/>
    </row>
    <row r="754" spans="12:13" x14ac:dyDescent="0.25">
      <c r="L754" s="1"/>
    </row>
    <row r="755" spans="12:13" x14ac:dyDescent="0.25">
      <c r="L755" s="1"/>
    </row>
    <row r="756" spans="12:13" x14ac:dyDescent="0.25">
      <c r="L756" s="1"/>
    </row>
    <row r="757" spans="12:13" x14ac:dyDescent="0.25">
      <c r="L757" s="1"/>
    </row>
    <row r="758" spans="12:13" x14ac:dyDescent="0.25">
      <c r="L758" s="1"/>
    </row>
    <row r="761" spans="12:13" x14ac:dyDescent="0.25">
      <c r="L761" s="1"/>
      <c r="M761" s="1"/>
    </row>
    <row r="762" spans="12:13" x14ac:dyDescent="0.25">
      <c r="L762" s="1"/>
      <c r="M762" s="1"/>
    </row>
    <row r="763" spans="12:13" x14ac:dyDescent="0.25">
      <c r="L763" s="1"/>
      <c r="M763" s="1"/>
    </row>
    <row r="764" spans="12:13" x14ac:dyDescent="0.25">
      <c r="L764" s="1"/>
      <c r="M764" s="1"/>
    </row>
    <row r="765" spans="12:13" x14ac:dyDescent="0.25">
      <c r="L765" s="1"/>
      <c r="M765" s="1"/>
    </row>
    <row r="766" spans="12:13" x14ac:dyDescent="0.25">
      <c r="L766" s="1"/>
    </row>
    <row r="767" spans="12:13" x14ac:dyDescent="0.25">
      <c r="L767" s="1"/>
      <c r="M767" s="1"/>
    </row>
    <row r="768" spans="12:13" x14ac:dyDescent="0.25">
      <c r="L768" s="1"/>
      <c r="M768" s="1"/>
    </row>
    <row r="769" spans="12:13" x14ac:dyDescent="0.25">
      <c r="L769" s="1"/>
      <c r="M769" s="1"/>
    </row>
    <row r="770" spans="12:13" x14ac:dyDescent="0.25">
      <c r="L770" s="1"/>
      <c r="M770" s="1"/>
    </row>
    <row r="771" spans="12:13" x14ac:dyDescent="0.25">
      <c r="L771" s="1"/>
      <c r="M771" s="1"/>
    </row>
    <row r="772" spans="12:13" x14ac:dyDescent="0.25">
      <c r="L772" s="1"/>
      <c r="M772" s="1"/>
    </row>
    <row r="773" spans="12:13" x14ac:dyDescent="0.25">
      <c r="L773" s="1"/>
      <c r="M773" s="1"/>
    </row>
    <row r="774" spans="12:13" x14ac:dyDescent="0.25">
      <c r="L774" s="1"/>
      <c r="M774" s="1"/>
    </row>
    <row r="775" spans="12:13" x14ac:dyDescent="0.25">
      <c r="L775" s="1"/>
    </row>
    <row r="776" spans="12:13" x14ac:dyDescent="0.25">
      <c r="L776" s="1"/>
      <c r="M776" s="1"/>
    </row>
    <row r="777" spans="12:13" x14ac:dyDescent="0.25">
      <c r="L777" s="1"/>
    </row>
    <row r="778" spans="12:13" x14ac:dyDescent="0.25">
      <c r="L778" s="1"/>
    </row>
    <row r="779" spans="12:13" x14ac:dyDescent="0.25">
      <c r="L779" s="1"/>
      <c r="M779" s="1"/>
    </row>
    <row r="780" spans="12:13" x14ac:dyDescent="0.25">
      <c r="L780" s="1"/>
      <c r="M780" s="1"/>
    </row>
    <row r="781" spans="12:13" x14ac:dyDescent="0.25">
      <c r="L781" s="1"/>
      <c r="M781" s="1"/>
    </row>
    <row r="782" spans="12:13" x14ac:dyDescent="0.25">
      <c r="L782" s="1"/>
      <c r="M782" s="1"/>
    </row>
    <row r="783" spans="12:13" x14ac:dyDescent="0.25">
      <c r="L783" s="1"/>
      <c r="M783" s="1"/>
    </row>
    <row r="784" spans="12:13" x14ac:dyDescent="0.25">
      <c r="L784" s="1"/>
      <c r="M784" s="1"/>
    </row>
    <row r="785" spans="12:13" x14ac:dyDescent="0.25">
      <c r="L785" s="1"/>
      <c r="M785" s="1"/>
    </row>
    <row r="786" spans="12:13" x14ac:dyDescent="0.25">
      <c r="L786" s="1"/>
    </row>
    <row r="787" spans="12:13" x14ac:dyDescent="0.25">
      <c r="L787" s="1"/>
      <c r="M787" s="1"/>
    </row>
    <row r="788" spans="12:13" x14ac:dyDescent="0.25">
      <c r="L788" s="1"/>
    </row>
    <row r="789" spans="12:13" x14ac:dyDescent="0.25">
      <c r="L789" s="1"/>
      <c r="M789" s="1"/>
    </row>
    <row r="790" spans="12:13" x14ac:dyDescent="0.25">
      <c r="L790" s="1"/>
      <c r="M790" s="1"/>
    </row>
    <row r="791" spans="12:13" x14ac:dyDescent="0.25">
      <c r="L791" s="1"/>
    </row>
    <row r="792" spans="12:13" x14ac:dyDescent="0.25">
      <c r="L792" s="1"/>
      <c r="M792" s="1"/>
    </row>
    <row r="793" spans="12:13" x14ac:dyDescent="0.25">
      <c r="L793" s="1"/>
    </row>
    <row r="794" spans="12:13" x14ac:dyDescent="0.25">
      <c r="L794" s="1"/>
      <c r="M794" s="1"/>
    </row>
    <row r="795" spans="12:13" x14ac:dyDescent="0.25">
      <c r="L795" s="1"/>
      <c r="M795" s="1"/>
    </row>
    <row r="796" spans="12:13" x14ac:dyDescent="0.25">
      <c r="L796" s="1"/>
      <c r="M796" s="1"/>
    </row>
    <row r="797" spans="12:13" x14ac:dyDescent="0.25">
      <c r="L797" s="1"/>
    </row>
    <row r="798" spans="12:13" x14ac:dyDescent="0.25">
      <c r="L798" s="1"/>
    </row>
    <row r="799" spans="12:13" x14ac:dyDescent="0.25">
      <c r="L799" s="1"/>
      <c r="M799" s="1"/>
    </row>
    <row r="800" spans="12:13" x14ac:dyDescent="0.25">
      <c r="L800" s="1"/>
    </row>
    <row r="801" spans="12:13" x14ac:dyDescent="0.25">
      <c r="L801" s="1"/>
    </row>
    <row r="802" spans="12:13" x14ac:dyDescent="0.25">
      <c r="L802" s="1"/>
      <c r="M802" s="1"/>
    </row>
    <row r="803" spans="12:13" x14ac:dyDescent="0.25">
      <c r="L803" s="1"/>
      <c r="M803" s="1"/>
    </row>
    <row r="804" spans="12:13" x14ac:dyDescent="0.25">
      <c r="L804" s="1"/>
      <c r="M804" s="1"/>
    </row>
    <row r="805" spans="12:13" x14ac:dyDescent="0.25">
      <c r="L805" s="1"/>
      <c r="M805" s="1"/>
    </row>
    <row r="806" spans="12:13" x14ac:dyDescent="0.25">
      <c r="L806" s="1"/>
      <c r="M806" s="1"/>
    </row>
    <row r="807" spans="12:13" x14ac:dyDescent="0.25">
      <c r="L807" s="1"/>
      <c r="M807" s="1"/>
    </row>
    <row r="808" spans="12:13" x14ac:dyDescent="0.25">
      <c r="L808" s="1"/>
      <c r="M808" s="1"/>
    </row>
    <row r="809" spans="12:13" x14ac:dyDescent="0.25">
      <c r="L809" s="1"/>
      <c r="M809" s="1"/>
    </row>
    <row r="810" spans="12:13" x14ac:dyDescent="0.25">
      <c r="L810" s="1"/>
      <c r="M810" s="1"/>
    </row>
    <row r="811" spans="12:13" x14ac:dyDescent="0.25">
      <c r="L811" s="1"/>
      <c r="M811" s="1"/>
    </row>
    <row r="812" spans="12:13" x14ac:dyDescent="0.25">
      <c r="L812" s="1"/>
    </row>
    <row r="813" spans="12:13" x14ac:dyDescent="0.25">
      <c r="L813" s="1"/>
      <c r="M813" s="1"/>
    </row>
    <row r="814" spans="12:13" x14ac:dyDescent="0.25">
      <c r="L814" s="1"/>
      <c r="M814" s="1"/>
    </row>
    <row r="815" spans="12:13" x14ac:dyDescent="0.25">
      <c r="L815" s="1"/>
      <c r="M815" s="1"/>
    </row>
    <row r="816" spans="12:13" x14ac:dyDescent="0.25">
      <c r="L816" s="1"/>
      <c r="M816" s="1"/>
    </row>
    <row r="817" spans="12:13" x14ac:dyDescent="0.25">
      <c r="L817" s="1"/>
      <c r="M817" s="1"/>
    </row>
    <row r="818" spans="12:13" x14ac:dyDescent="0.25">
      <c r="L818" s="1"/>
    </row>
    <row r="819" spans="12:13" x14ac:dyDescent="0.25">
      <c r="L819" s="1"/>
    </row>
    <row r="820" spans="12:13" x14ac:dyDescent="0.25">
      <c r="L820" s="1"/>
    </row>
    <row r="821" spans="12:13" x14ac:dyDescent="0.25">
      <c r="L821" s="1"/>
    </row>
    <row r="822" spans="12:13" x14ac:dyDescent="0.25">
      <c r="L822" s="1"/>
    </row>
    <row r="823" spans="12:13" x14ac:dyDescent="0.25">
      <c r="L823" s="1"/>
    </row>
    <row r="824" spans="12:13" x14ac:dyDescent="0.25">
      <c r="L824" s="1"/>
      <c r="M824" s="1"/>
    </row>
    <row r="825" spans="12:13" x14ac:dyDescent="0.25">
      <c r="L825" s="1"/>
      <c r="M825" s="1"/>
    </row>
    <row r="826" spans="12:13" x14ac:dyDescent="0.25">
      <c r="L826" s="1"/>
      <c r="M826" s="1"/>
    </row>
    <row r="827" spans="12:13" x14ac:dyDescent="0.25">
      <c r="L827" s="1"/>
      <c r="M827" s="1"/>
    </row>
    <row r="828" spans="12:13" x14ac:dyDescent="0.25">
      <c r="L828" s="1"/>
      <c r="M828" s="1"/>
    </row>
    <row r="829" spans="12:13" x14ac:dyDescent="0.25">
      <c r="L829" s="1"/>
    </row>
    <row r="830" spans="12:13" x14ac:dyDescent="0.25">
      <c r="L830" s="1"/>
      <c r="M830" s="1"/>
    </row>
    <row r="831" spans="12:13" x14ac:dyDescent="0.25">
      <c r="L831" s="1"/>
      <c r="M831" s="1"/>
    </row>
    <row r="832" spans="12:13" x14ac:dyDescent="0.25">
      <c r="L832" s="1"/>
      <c r="M832" s="1"/>
    </row>
    <row r="833" spans="12:13" x14ac:dyDescent="0.25">
      <c r="L833" s="1"/>
      <c r="M833" s="1"/>
    </row>
    <row r="834" spans="12:13" x14ac:dyDescent="0.25">
      <c r="L834" s="1"/>
      <c r="M834" s="1"/>
    </row>
    <row r="835" spans="12:13" x14ac:dyDescent="0.25">
      <c r="L835" s="1"/>
      <c r="M835" s="1"/>
    </row>
    <row r="836" spans="12:13" x14ac:dyDescent="0.25">
      <c r="L836" s="1"/>
      <c r="M836" s="1"/>
    </row>
    <row r="837" spans="12:13" x14ac:dyDescent="0.25">
      <c r="L837" s="1"/>
      <c r="M837" s="1"/>
    </row>
    <row r="838" spans="12:13" x14ac:dyDescent="0.25">
      <c r="L838" s="1"/>
      <c r="M838" s="1"/>
    </row>
    <row r="839" spans="12:13" x14ac:dyDescent="0.25">
      <c r="L839" s="1"/>
      <c r="M839" s="1"/>
    </row>
    <row r="840" spans="12:13" x14ac:dyDescent="0.25">
      <c r="L840" s="1"/>
      <c r="M840" s="1"/>
    </row>
    <row r="841" spans="12:13" x14ac:dyDescent="0.25">
      <c r="L841" s="1"/>
      <c r="M841" s="1"/>
    </row>
    <row r="842" spans="12:13" x14ac:dyDescent="0.25">
      <c r="L842" s="1"/>
      <c r="M842" s="1"/>
    </row>
    <row r="843" spans="12:13" x14ac:dyDescent="0.25">
      <c r="L843" s="1"/>
    </row>
    <row r="844" spans="12:13" x14ac:dyDescent="0.25">
      <c r="L844" s="1"/>
    </row>
    <row r="845" spans="12:13" x14ac:dyDescent="0.25">
      <c r="L845" s="1"/>
    </row>
    <row r="846" spans="12:13" x14ac:dyDescent="0.25">
      <c r="L846" s="1"/>
    </row>
    <row r="847" spans="12:13" x14ac:dyDescent="0.25">
      <c r="L847" s="1"/>
      <c r="M847" s="1"/>
    </row>
    <row r="848" spans="12:13" x14ac:dyDescent="0.25">
      <c r="L848" s="1"/>
    </row>
    <row r="849" spans="12:13" x14ac:dyDescent="0.25">
      <c r="L849" s="1"/>
      <c r="M849" s="1"/>
    </row>
    <row r="850" spans="12:13" x14ac:dyDescent="0.25">
      <c r="L850" s="1"/>
      <c r="M850" s="1"/>
    </row>
    <row r="851" spans="12:13" x14ac:dyDescent="0.25">
      <c r="L851" s="1"/>
      <c r="M851" s="1"/>
    </row>
    <row r="852" spans="12:13" x14ac:dyDescent="0.25">
      <c r="L852" s="1"/>
      <c r="M852" s="1"/>
    </row>
    <row r="853" spans="12:13" x14ac:dyDescent="0.25">
      <c r="L853" s="1"/>
      <c r="M853" s="1"/>
    </row>
    <row r="854" spans="12:13" x14ac:dyDescent="0.25">
      <c r="L854" s="1"/>
      <c r="M854" s="1"/>
    </row>
    <row r="855" spans="12:13" x14ac:dyDescent="0.25">
      <c r="L855" s="1"/>
      <c r="M855" s="1"/>
    </row>
    <row r="856" spans="12:13" x14ac:dyDescent="0.25">
      <c r="L856" s="1"/>
      <c r="M856" s="1"/>
    </row>
    <row r="857" spans="12:13" x14ac:dyDescent="0.25">
      <c r="L857" s="1"/>
      <c r="M857" s="1"/>
    </row>
    <row r="858" spans="12:13" x14ac:dyDescent="0.25">
      <c r="L858" s="1"/>
      <c r="M858" s="1"/>
    </row>
    <row r="859" spans="12:13" x14ac:dyDescent="0.25">
      <c r="L859" s="1"/>
      <c r="M859" s="1"/>
    </row>
    <row r="860" spans="12:13" x14ac:dyDescent="0.25">
      <c r="L860" s="1"/>
      <c r="M860" s="1"/>
    </row>
    <row r="861" spans="12:13" x14ac:dyDescent="0.25">
      <c r="L861" s="1"/>
      <c r="M861" s="1"/>
    </row>
    <row r="862" spans="12:13" x14ac:dyDescent="0.25">
      <c r="L862" s="1"/>
      <c r="M862" s="1"/>
    </row>
    <row r="863" spans="12:13" x14ac:dyDescent="0.25">
      <c r="L863" s="1"/>
      <c r="M863" s="1"/>
    </row>
    <row r="864" spans="12:13" x14ac:dyDescent="0.25">
      <c r="L864" s="1"/>
      <c r="M864" s="1"/>
    </row>
    <row r="865" spans="12:13" x14ac:dyDescent="0.25">
      <c r="L865" s="1"/>
      <c r="M865" s="1"/>
    </row>
    <row r="866" spans="12:13" x14ac:dyDescent="0.25">
      <c r="L866" s="1"/>
      <c r="M866" s="1"/>
    </row>
    <row r="867" spans="12:13" x14ac:dyDescent="0.25">
      <c r="L867" s="1"/>
      <c r="M867" s="1"/>
    </row>
    <row r="868" spans="12:13" x14ac:dyDescent="0.25">
      <c r="L868" s="1"/>
      <c r="M868" s="1"/>
    </row>
    <row r="869" spans="12:13" x14ac:dyDescent="0.25">
      <c r="L869" s="1"/>
      <c r="M869" s="1"/>
    </row>
    <row r="870" spans="12:13" x14ac:dyDescent="0.25">
      <c r="L870" s="1"/>
      <c r="M870" s="1"/>
    </row>
    <row r="871" spans="12:13" x14ac:dyDescent="0.25">
      <c r="L871" s="1"/>
    </row>
    <row r="872" spans="12:13" x14ac:dyDescent="0.25">
      <c r="L872" s="1"/>
      <c r="M872" s="1"/>
    </row>
    <row r="873" spans="12:13" x14ac:dyDescent="0.25">
      <c r="L873" s="1"/>
      <c r="M873" s="1"/>
    </row>
    <row r="874" spans="12:13" x14ac:dyDescent="0.25">
      <c r="L874" s="1"/>
    </row>
    <row r="875" spans="12:13" x14ac:dyDescent="0.25">
      <c r="L875" s="1"/>
      <c r="M875" s="1"/>
    </row>
    <row r="876" spans="12:13" x14ac:dyDescent="0.25">
      <c r="L876" s="1"/>
    </row>
    <row r="877" spans="12:13" x14ac:dyDescent="0.25">
      <c r="L877" s="1"/>
    </row>
    <row r="878" spans="12:13" x14ac:dyDescent="0.25">
      <c r="L878" s="1"/>
      <c r="M878" s="1"/>
    </row>
    <row r="879" spans="12:13" x14ac:dyDescent="0.25">
      <c r="L879" s="1"/>
      <c r="M879" s="1"/>
    </row>
    <row r="880" spans="12:13" x14ac:dyDescent="0.25">
      <c r="L880" s="1"/>
      <c r="M880" s="1"/>
    </row>
    <row r="881" spans="12:13" x14ac:dyDescent="0.25">
      <c r="L881" s="1"/>
      <c r="M881" s="1"/>
    </row>
    <row r="882" spans="12:13" x14ac:dyDescent="0.25">
      <c r="L882" s="1"/>
      <c r="M882" s="1"/>
    </row>
    <row r="883" spans="12:13" x14ac:dyDescent="0.25">
      <c r="L883" s="1"/>
      <c r="M883" s="1"/>
    </row>
    <row r="884" spans="12:13" x14ac:dyDescent="0.25">
      <c r="L884" s="1"/>
      <c r="M884" s="1"/>
    </row>
    <row r="885" spans="12:13" x14ac:dyDescent="0.25">
      <c r="L885" s="1"/>
      <c r="M885" s="1"/>
    </row>
    <row r="886" spans="12:13" x14ac:dyDescent="0.25">
      <c r="L886" s="1"/>
      <c r="M886" s="1"/>
    </row>
    <row r="887" spans="12:13" x14ac:dyDescent="0.25">
      <c r="L887" s="1"/>
      <c r="M887" s="1"/>
    </row>
    <row r="888" spans="12:13" x14ac:dyDescent="0.25">
      <c r="L888" s="1"/>
      <c r="M888" s="1"/>
    </row>
    <row r="889" spans="12:13" x14ac:dyDescent="0.25">
      <c r="L889" s="1"/>
      <c r="M889" s="1"/>
    </row>
    <row r="890" spans="12:13" x14ac:dyDescent="0.25">
      <c r="L890" s="1"/>
    </row>
    <row r="891" spans="12:13" x14ac:dyDescent="0.25">
      <c r="L891" s="1"/>
    </row>
    <row r="892" spans="12:13" x14ac:dyDescent="0.25">
      <c r="L892" s="1"/>
    </row>
    <row r="893" spans="12:13" x14ac:dyDescent="0.25">
      <c r="L893" s="1"/>
    </row>
    <row r="894" spans="12:13" x14ac:dyDescent="0.25">
      <c r="L894" s="1"/>
    </row>
    <row r="895" spans="12:13" x14ac:dyDescent="0.25">
      <c r="L895" s="1"/>
    </row>
    <row r="896" spans="12:13" x14ac:dyDescent="0.25">
      <c r="L896" s="1"/>
    </row>
    <row r="898" spans="12:13" x14ac:dyDescent="0.25">
      <c r="L898" s="1"/>
      <c r="M898" s="1"/>
    </row>
    <row r="899" spans="12:13" x14ac:dyDescent="0.25">
      <c r="L899" s="1"/>
      <c r="M899" s="1"/>
    </row>
    <row r="900" spans="12:13" x14ac:dyDescent="0.25">
      <c r="L900" s="1"/>
      <c r="M900" s="1"/>
    </row>
    <row r="901" spans="12:13" x14ac:dyDescent="0.25">
      <c r="L901" s="1"/>
      <c r="M901" s="1"/>
    </row>
    <row r="902" spans="12:13" x14ac:dyDescent="0.25">
      <c r="L902" s="1"/>
      <c r="M902" s="1"/>
    </row>
    <row r="903" spans="12:13" x14ac:dyDescent="0.25">
      <c r="L903" s="1"/>
      <c r="M903" s="1"/>
    </row>
    <row r="904" spans="12:13" x14ac:dyDescent="0.25">
      <c r="L904" s="1"/>
      <c r="M904" s="1"/>
    </row>
    <row r="905" spans="12:13" x14ac:dyDescent="0.25">
      <c r="L905" s="1"/>
      <c r="M905" s="1"/>
    </row>
    <row r="906" spans="12:13" x14ac:dyDescent="0.25">
      <c r="L906" s="1"/>
      <c r="M906" s="1"/>
    </row>
    <row r="907" spans="12:13" x14ac:dyDescent="0.25">
      <c r="L907" s="1"/>
      <c r="M907" s="1"/>
    </row>
    <row r="908" spans="12:13" x14ac:dyDescent="0.25">
      <c r="L908" s="1"/>
      <c r="M908" s="1"/>
    </row>
    <row r="909" spans="12:13" x14ac:dyDescent="0.25">
      <c r="L909" s="1"/>
      <c r="M909" s="1"/>
    </row>
    <row r="910" spans="12:13" x14ac:dyDescent="0.25">
      <c r="L910" s="1"/>
      <c r="M910" s="1"/>
    </row>
    <row r="911" spans="12:13" x14ac:dyDescent="0.25">
      <c r="L911" s="1"/>
    </row>
    <row r="912" spans="12:13" x14ac:dyDescent="0.25">
      <c r="L912" s="1"/>
    </row>
    <row r="913" spans="12:13" x14ac:dyDescent="0.25">
      <c r="L913" s="1"/>
    </row>
    <row r="914" spans="12:13" x14ac:dyDescent="0.25">
      <c r="L914" s="1"/>
    </row>
    <row r="915" spans="12:13" x14ac:dyDescent="0.25">
      <c r="L915" s="1"/>
    </row>
    <row r="916" spans="12:13" x14ac:dyDescent="0.25">
      <c r="L916" s="1"/>
      <c r="M916" s="1"/>
    </row>
    <row r="917" spans="12:13" x14ac:dyDescent="0.25">
      <c r="L917" s="1"/>
      <c r="M917" s="1"/>
    </row>
    <row r="918" spans="12:13" x14ac:dyDescent="0.25">
      <c r="L918" s="1"/>
      <c r="M918" s="1"/>
    </row>
    <row r="919" spans="12:13" x14ac:dyDescent="0.25">
      <c r="L919" s="1"/>
      <c r="M919" s="1"/>
    </row>
    <row r="920" spans="12:13" x14ac:dyDescent="0.25">
      <c r="L920" s="1"/>
      <c r="M920" s="1"/>
    </row>
    <row r="921" spans="12:13" x14ac:dyDescent="0.25">
      <c r="L921" s="1"/>
      <c r="M921" s="1"/>
    </row>
    <row r="922" spans="12:13" x14ac:dyDescent="0.25">
      <c r="L922" s="1"/>
    </row>
    <row r="923" spans="12:13" x14ac:dyDescent="0.25">
      <c r="L923" s="1"/>
    </row>
    <row r="924" spans="12:13" x14ac:dyDescent="0.25">
      <c r="L924" s="1"/>
      <c r="M924" s="1"/>
    </row>
    <row r="925" spans="12:13" x14ac:dyDescent="0.25">
      <c r="L925" s="1"/>
      <c r="M925" s="1"/>
    </row>
    <row r="926" spans="12:13" x14ac:dyDescent="0.25">
      <c r="L926" s="1"/>
      <c r="M926" s="1"/>
    </row>
    <row r="927" spans="12:13" x14ac:dyDescent="0.25">
      <c r="L927" s="1"/>
    </row>
    <row r="928" spans="12:13" x14ac:dyDescent="0.25">
      <c r="L928" s="1"/>
      <c r="M928" s="1"/>
    </row>
    <row r="929" spans="12:13" x14ac:dyDescent="0.25">
      <c r="L929" s="1"/>
      <c r="M929" s="1"/>
    </row>
    <row r="930" spans="12:13" x14ac:dyDescent="0.25">
      <c r="L930" s="1"/>
      <c r="M930" s="1"/>
    </row>
    <row r="931" spans="12:13" x14ac:dyDescent="0.25">
      <c r="L931" s="1"/>
    </row>
    <row r="932" spans="12:13" x14ac:dyDescent="0.25">
      <c r="L932" s="1"/>
      <c r="M932" s="1"/>
    </row>
    <row r="933" spans="12:13" x14ac:dyDescent="0.25">
      <c r="L933" s="1"/>
      <c r="M933" s="1"/>
    </row>
    <row r="934" spans="12:13" x14ac:dyDescent="0.25">
      <c r="L934" s="1"/>
      <c r="M934" s="1"/>
    </row>
    <row r="935" spans="12:13" x14ac:dyDescent="0.25">
      <c r="L935" s="1"/>
      <c r="M935" s="1"/>
    </row>
    <row r="936" spans="12:13" x14ac:dyDescent="0.25">
      <c r="L936" s="1"/>
      <c r="M936" s="1"/>
    </row>
    <row r="937" spans="12:13" x14ac:dyDescent="0.25">
      <c r="L937" s="1"/>
      <c r="M937" s="1"/>
    </row>
    <row r="938" spans="12:13" x14ac:dyDescent="0.25">
      <c r="L938" s="1"/>
      <c r="M938" s="1"/>
    </row>
    <row r="939" spans="12:13" x14ac:dyDescent="0.25">
      <c r="L939" s="1"/>
      <c r="M939" s="1"/>
    </row>
    <row r="940" spans="12:13" x14ac:dyDescent="0.25">
      <c r="L940" s="1"/>
    </row>
    <row r="941" spans="12:13" x14ac:dyDescent="0.25">
      <c r="L941" s="1"/>
      <c r="M941" s="1"/>
    </row>
    <row r="942" spans="12:13" x14ac:dyDescent="0.25">
      <c r="L942" s="1"/>
      <c r="M942" s="1"/>
    </row>
    <row r="943" spans="12:13" x14ac:dyDescent="0.25">
      <c r="L943" s="1"/>
      <c r="M943" s="1"/>
    </row>
    <row r="944" spans="12:13" x14ac:dyDescent="0.25">
      <c r="L944" s="1"/>
    </row>
    <row r="945" spans="12:13" x14ac:dyDescent="0.25">
      <c r="L945" s="1"/>
      <c r="M945" s="1"/>
    </row>
    <row r="946" spans="12:13" x14ac:dyDescent="0.25">
      <c r="L946" s="1"/>
    </row>
    <row r="947" spans="12:13" x14ac:dyDescent="0.25">
      <c r="L947" s="1"/>
    </row>
    <row r="948" spans="12:13" x14ac:dyDescent="0.25">
      <c r="L948" s="1"/>
    </row>
    <row r="949" spans="12:13" x14ac:dyDescent="0.25">
      <c r="L949" s="1"/>
    </row>
    <row r="950" spans="12:13" x14ac:dyDescent="0.25">
      <c r="L950" s="1"/>
    </row>
    <row r="951" spans="12:13" x14ac:dyDescent="0.25">
      <c r="L951" s="1"/>
    </row>
    <row r="952" spans="12:13" x14ac:dyDescent="0.25">
      <c r="L952" s="1"/>
    </row>
    <row r="953" spans="12:13" x14ac:dyDescent="0.25">
      <c r="L953" s="1"/>
    </row>
    <row r="954" spans="12:13" x14ac:dyDescent="0.25">
      <c r="L954" s="1"/>
    </row>
    <row r="955" spans="12:13" x14ac:dyDescent="0.25">
      <c r="L955" s="1"/>
    </row>
    <row r="956" spans="12:13" x14ac:dyDescent="0.25">
      <c r="L956" s="1"/>
    </row>
    <row r="957" spans="12:13" x14ac:dyDescent="0.25">
      <c r="L957" s="1"/>
    </row>
    <row r="958" spans="12:13" x14ac:dyDescent="0.25">
      <c r="L958" s="1"/>
    </row>
    <row r="959" spans="12:13" x14ac:dyDescent="0.25">
      <c r="L959" s="1"/>
    </row>
    <row r="960" spans="12:13" x14ac:dyDescent="0.25">
      <c r="L960" s="1"/>
      <c r="M960" s="1"/>
    </row>
    <row r="961" spans="12:13" x14ac:dyDescent="0.25">
      <c r="L961" s="1"/>
      <c r="M961" s="1"/>
    </row>
    <row r="962" spans="12:13" x14ac:dyDescent="0.25">
      <c r="L962" s="1"/>
      <c r="M962" s="1"/>
    </row>
    <row r="963" spans="12:13" x14ac:dyDescent="0.25">
      <c r="L963" s="1"/>
      <c r="M963" s="1"/>
    </row>
    <row r="964" spans="12:13" x14ac:dyDescent="0.25">
      <c r="L964" s="1"/>
      <c r="M964" s="1"/>
    </row>
    <row r="965" spans="12:13" x14ac:dyDescent="0.25">
      <c r="L965" s="1"/>
      <c r="M965" s="1"/>
    </row>
    <row r="966" spans="12:13" x14ac:dyDescent="0.25">
      <c r="L966" s="1"/>
    </row>
    <row r="967" spans="12:13" x14ac:dyDescent="0.25">
      <c r="L967" s="1"/>
    </row>
    <row r="968" spans="12:13" x14ac:dyDescent="0.25">
      <c r="L968" s="1"/>
    </row>
    <row r="969" spans="12:13" x14ac:dyDescent="0.25">
      <c r="L969" s="1"/>
    </row>
    <row r="970" spans="12:13" x14ac:dyDescent="0.25">
      <c r="L970" s="1"/>
    </row>
    <row r="971" spans="12:13" x14ac:dyDescent="0.25">
      <c r="L971" s="1"/>
    </row>
    <row r="972" spans="12:13" x14ac:dyDescent="0.25">
      <c r="L972" s="1"/>
    </row>
    <row r="973" spans="12:13" x14ac:dyDescent="0.25">
      <c r="L973" s="1"/>
    </row>
    <row r="974" spans="12:13" x14ac:dyDescent="0.25">
      <c r="L974" s="1"/>
    </row>
    <row r="975" spans="12:13" x14ac:dyDescent="0.25">
      <c r="L975" s="1"/>
    </row>
    <row r="976" spans="12:13" x14ac:dyDescent="0.25">
      <c r="L976" s="1"/>
    </row>
    <row r="977" spans="12:13" x14ac:dyDescent="0.25">
      <c r="L977" s="1"/>
    </row>
    <row r="978" spans="12:13" x14ac:dyDescent="0.25">
      <c r="L978" s="1"/>
    </row>
    <row r="979" spans="12:13" x14ac:dyDescent="0.25">
      <c r="L979" s="1"/>
    </row>
    <row r="980" spans="12:13" x14ac:dyDescent="0.25">
      <c r="L980" s="1"/>
    </row>
    <row r="981" spans="12:13" x14ac:dyDescent="0.25">
      <c r="L981" s="1"/>
    </row>
    <row r="982" spans="12:13" x14ac:dyDescent="0.25">
      <c r="L982" s="1"/>
    </row>
    <row r="983" spans="12:13" x14ac:dyDescent="0.25">
      <c r="L983" s="1"/>
    </row>
    <row r="984" spans="12:13" x14ac:dyDescent="0.25">
      <c r="L984" s="1"/>
    </row>
    <row r="985" spans="12:13" x14ac:dyDescent="0.25">
      <c r="L985" s="1"/>
      <c r="M985" s="1"/>
    </row>
    <row r="986" spans="12:13" x14ac:dyDescent="0.25">
      <c r="L986" s="1"/>
      <c r="M986" s="1"/>
    </row>
    <row r="987" spans="12:13" x14ac:dyDescent="0.25">
      <c r="L987" s="1"/>
      <c r="M987" s="1"/>
    </row>
    <row r="988" spans="12:13" x14ac:dyDescent="0.25">
      <c r="L988" s="1"/>
    </row>
    <row r="989" spans="12:13" x14ac:dyDescent="0.25">
      <c r="L989" s="1"/>
      <c r="M989" s="1"/>
    </row>
    <row r="990" spans="12:13" x14ac:dyDescent="0.25">
      <c r="L990" s="1"/>
    </row>
    <row r="991" spans="12:13" x14ac:dyDescent="0.25">
      <c r="L991" s="1"/>
      <c r="M991" s="1"/>
    </row>
    <row r="992" spans="12:13" x14ac:dyDescent="0.25">
      <c r="L992" s="1"/>
      <c r="M992" s="1"/>
    </row>
    <row r="993" spans="12:13" x14ac:dyDescent="0.25">
      <c r="L993" s="1"/>
      <c r="M993" s="1"/>
    </row>
    <row r="994" spans="12:13" x14ac:dyDescent="0.25">
      <c r="L994" s="1"/>
      <c r="M994" s="1"/>
    </row>
    <row r="995" spans="12:13" x14ac:dyDescent="0.25">
      <c r="L995" s="1"/>
      <c r="M995" s="1"/>
    </row>
    <row r="996" spans="12:13" x14ac:dyDescent="0.25">
      <c r="L996" s="1"/>
    </row>
    <row r="997" spans="12:13" x14ac:dyDescent="0.25">
      <c r="L997" s="1"/>
    </row>
    <row r="998" spans="12:13" x14ac:dyDescent="0.25">
      <c r="L998" s="1"/>
      <c r="M998" s="1"/>
    </row>
    <row r="999" spans="12:13" x14ac:dyDescent="0.25">
      <c r="L999" s="1"/>
      <c r="M999" s="1"/>
    </row>
    <row r="1000" spans="12:13" x14ac:dyDescent="0.25">
      <c r="L1000" s="1"/>
      <c r="M1000" s="1"/>
    </row>
    <row r="1001" spans="12:13" x14ac:dyDescent="0.25">
      <c r="L1001" s="1"/>
      <c r="M1001" s="1"/>
    </row>
    <row r="1002" spans="12:13" x14ac:dyDescent="0.25">
      <c r="L1002" s="1"/>
      <c r="M1002" s="1"/>
    </row>
    <row r="1003" spans="12:13" x14ac:dyDescent="0.25">
      <c r="L1003" s="1"/>
      <c r="M1003" s="1"/>
    </row>
    <row r="1004" spans="12:13" x14ac:dyDescent="0.25">
      <c r="L1004" s="1"/>
    </row>
    <row r="1005" spans="12:13" x14ac:dyDescent="0.25">
      <c r="L1005" s="1"/>
    </row>
    <row r="1006" spans="12:13" x14ac:dyDescent="0.25">
      <c r="L1006" s="1"/>
      <c r="M1006" s="1"/>
    </row>
    <row r="1007" spans="12:13" x14ac:dyDescent="0.25">
      <c r="L1007" s="1"/>
      <c r="M1007" s="1"/>
    </row>
    <row r="1008" spans="12:13" x14ac:dyDescent="0.25">
      <c r="L1008" s="1"/>
      <c r="M1008" s="1"/>
    </row>
    <row r="1009" spans="12:13" x14ac:dyDescent="0.25">
      <c r="L1009" s="1"/>
      <c r="M1009" s="1"/>
    </row>
    <row r="1010" spans="12:13" x14ac:dyDescent="0.25">
      <c r="L1010" s="1"/>
      <c r="M1010" s="1"/>
    </row>
    <row r="1011" spans="12:13" x14ac:dyDescent="0.25">
      <c r="L1011" s="1"/>
    </row>
    <row r="1012" spans="12:13" x14ac:dyDescent="0.25">
      <c r="L1012" s="1"/>
      <c r="M1012" s="1"/>
    </row>
    <row r="1013" spans="12:13" x14ac:dyDescent="0.25">
      <c r="L1013" s="1"/>
      <c r="M1013" s="1"/>
    </row>
    <row r="1014" spans="12:13" x14ac:dyDescent="0.25">
      <c r="L1014" s="1"/>
      <c r="M1014" s="1"/>
    </row>
    <row r="1015" spans="12:13" x14ac:dyDescent="0.25">
      <c r="L1015" s="1"/>
      <c r="M1015" s="1"/>
    </row>
    <row r="1016" spans="12:13" x14ac:dyDescent="0.25">
      <c r="L1016" s="1"/>
      <c r="M1016" s="1"/>
    </row>
    <row r="1017" spans="12:13" x14ac:dyDescent="0.25">
      <c r="L1017" s="1"/>
      <c r="M1017" s="1"/>
    </row>
    <row r="1018" spans="12:13" x14ac:dyDescent="0.25">
      <c r="L1018" s="1"/>
    </row>
    <row r="1019" spans="12:13" x14ac:dyDescent="0.25">
      <c r="L1019" s="1"/>
      <c r="M1019" s="1"/>
    </row>
    <row r="1020" spans="12:13" x14ac:dyDescent="0.25">
      <c r="L1020" s="1"/>
    </row>
    <row r="1021" spans="12:13" x14ac:dyDescent="0.25">
      <c r="L1021" s="1"/>
      <c r="M1021" s="1"/>
    </row>
    <row r="1022" spans="12:13" x14ac:dyDescent="0.25">
      <c r="L1022" s="1"/>
      <c r="M1022" s="1"/>
    </row>
    <row r="1023" spans="12:13" x14ac:dyDescent="0.25">
      <c r="L1023" s="1"/>
    </row>
    <row r="1024" spans="12:13" x14ac:dyDescent="0.25">
      <c r="L1024" s="1"/>
      <c r="M1024" s="1"/>
    </row>
    <row r="1025" spans="12:13" x14ac:dyDescent="0.25">
      <c r="L1025" s="1"/>
      <c r="M1025" s="1"/>
    </row>
    <row r="1026" spans="12:13" x14ac:dyDescent="0.25">
      <c r="L1026" s="1"/>
    </row>
    <row r="1027" spans="12:13" x14ac:dyDescent="0.25">
      <c r="L1027" s="1"/>
      <c r="M1027" s="1"/>
    </row>
    <row r="1028" spans="12:13" x14ac:dyDescent="0.25">
      <c r="L1028" s="1"/>
      <c r="M1028" s="1"/>
    </row>
    <row r="1029" spans="12:13" x14ac:dyDescent="0.25">
      <c r="L1029" s="1"/>
      <c r="M1029" s="1"/>
    </row>
    <row r="1030" spans="12:13" x14ac:dyDescent="0.25">
      <c r="L1030" s="1"/>
      <c r="M1030" s="1"/>
    </row>
    <row r="1031" spans="12:13" x14ac:dyDescent="0.25">
      <c r="L1031" s="1"/>
      <c r="M1031" s="1"/>
    </row>
    <row r="1032" spans="12:13" x14ac:dyDescent="0.25">
      <c r="L1032" s="1"/>
      <c r="M1032" s="1"/>
    </row>
    <row r="1033" spans="12:13" x14ac:dyDescent="0.25">
      <c r="L1033" s="1"/>
    </row>
    <row r="1034" spans="12:13" x14ac:dyDescent="0.25">
      <c r="L1034" s="1"/>
    </row>
    <row r="1035" spans="12:13" x14ac:dyDescent="0.25">
      <c r="L1035" s="1"/>
    </row>
    <row r="1036" spans="12:13" x14ac:dyDescent="0.25">
      <c r="L1036" s="1"/>
      <c r="M1036" s="1"/>
    </row>
    <row r="1037" spans="12:13" x14ac:dyDescent="0.25">
      <c r="L1037" s="1"/>
    </row>
    <row r="1038" spans="12:13" x14ac:dyDescent="0.25">
      <c r="L1038" s="1"/>
      <c r="M1038" s="1"/>
    </row>
    <row r="1039" spans="12:13" x14ac:dyDescent="0.25">
      <c r="L1039" s="1"/>
      <c r="M1039" s="1"/>
    </row>
    <row r="1040" spans="12:13" x14ac:dyDescent="0.25">
      <c r="L1040" s="1"/>
    </row>
    <row r="1041" spans="12:13" x14ac:dyDescent="0.25">
      <c r="L1041" s="1"/>
      <c r="M1041" s="1"/>
    </row>
    <row r="1042" spans="12:13" x14ac:dyDescent="0.25">
      <c r="L1042" s="1"/>
      <c r="M1042" s="1"/>
    </row>
    <row r="1043" spans="12:13" x14ac:dyDescent="0.25">
      <c r="L1043" s="1"/>
      <c r="M1043" s="1"/>
    </row>
    <row r="1044" spans="12:13" x14ac:dyDescent="0.25">
      <c r="L1044" s="1"/>
      <c r="M1044" s="1"/>
    </row>
    <row r="1045" spans="12:13" x14ac:dyDescent="0.25">
      <c r="L1045" s="1"/>
      <c r="M1045" s="1"/>
    </row>
    <row r="1046" spans="12:13" x14ac:dyDescent="0.25">
      <c r="L1046" s="1"/>
    </row>
    <row r="1047" spans="12:13" x14ac:dyDescent="0.25">
      <c r="L1047" s="1"/>
      <c r="M1047" s="1"/>
    </row>
    <row r="1048" spans="12:13" x14ac:dyDescent="0.25">
      <c r="L1048" s="1"/>
      <c r="M1048" s="1"/>
    </row>
    <row r="1049" spans="12:13" x14ac:dyDescent="0.25">
      <c r="L1049" s="1"/>
      <c r="M1049" s="1"/>
    </row>
    <row r="1050" spans="12:13" x14ac:dyDescent="0.25">
      <c r="L1050" s="1"/>
      <c r="M1050" s="1"/>
    </row>
    <row r="1051" spans="12:13" x14ac:dyDescent="0.25">
      <c r="L1051" s="1"/>
      <c r="M1051" s="1"/>
    </row>
    <row r="1052" spans="12:13" x14ac:dyDescent="0.25">
      <c r="L1052" s="1"/>
      <c r="M1052" s="1"/>
    </row>
    <row r="1053" spans="12:13" x14ac:dyDescent="0.25">
      <c r="L1053" s="1"/>
      <c r="M1053" s="1"/>
    </row>
    <row r="1054" spans="12:13" x14ac:dyDescent="0.25">
      <c r="L1054" s="1"/>
      <c r="M1054" s="1"/>
    </row>
    <row r="1055" spans="12:13" x14ac:dyDescent="0.25">
      <c r="L1055" s="1"/>
      <c r="M1055" s="1"/>
    </row>
    <row r="1056" spans="12:13" x14ac:dyDescent="0.25">
      <c r="L1056" s="1"/>
    </row>
    <row r="1057" spans="12:13" x14ac:dyDescent="0.25">
      <c r="L1057" s="1"/>
      <c r="M1057" s="1"/>
    </row>
    <row r="1058" spans="12:13" x14ac:dyDescent="0.25">
      <c r="L1058" s="1"/>
    </row>
    <row r="1059" spans="12:13" x14ac:dyDescent="0.25">
      <c r="L1059" s="1"/>
    </row>
    <row r="1060" spans="12:13" x14ac:dyDescent="0.25">
      <c r="L1060" s="1"/>
      <c r="M1060" s="1"/>
    </row>
    <row r="1061" spans="12:13" x14ac:dyDescent="0.25">
      <c r="L1061" s="1"/>
      <c r="M1061" s="1"/>
    </row>
    <row r="1062" spans="12:13" x14ac:dyDescent="0.25">
      <c r="L1062" s="1"/>
      <c r="M1062" s="1"/>
    </row>
    <row r="1063" spans="12:13" x14ac:dyDescent="0.25">
      <c r="L1063" s="1"/>
      <c r="M1063" s="1"/>
    </row>
    <row r="1064" spans="12:13" x14ac:dyDescent="0.25">
      <c r="L1064" s="1"/>
      <c r="M1064" s="1"/>
    </row>
    <row r="1065" spans="12:13" x14ac:dyDescent="0.25">
      <c r="L1065" s="1"/>
      <c r="M1065" s="1"/>
    </row>
    <row r="1066" spans="12:13" x14ac:dyDescent="0.25">
      <c r="L1066" s="1"/>
      <c r="M1066" s="1"/>
    </row>
    <row r="1067" spans="12:13" x14ac:dyDescent="0.25">
      <c r="L1067" s="1"/>
      <c r="M1067" s="1"/>
    </row>
    <row r="1068" spans="12:13" x14ac:dyDescent="0.25">
      <c r="L1068" s="1"/>
      <c r="M1068" s="1"/>
    </row>
    <row r="1069" spans="12:13" x14ac:dyDescent="0.25">
      <c r="L1069" s="1"/>
      <c r="M1069" s="1"/>
    </row>
    <row r="1070" spans="12:13" x14ac:dyDescent="0.25">
      <c r="L1070" s="1"/>
      <c r="M1070" s="1"/>
    </row>
    <row r="1071" spans="12:13" x14ac:dyDescent="0.25">
      <c r="L1071" s="1"/>
      <c r="M1071" s="1"/>
    </row>
    <row r="1072" spans="12:13" x14ac:dyDescent="0.25">
      <c r="L1072" s="1"/>
      <c r="M1072" s="1"/>
    </row>
    <row r="1073" spans="12:13" x14ac:dyDescent="0.25">
      <c r="L1073" s="1"/>
      <c r="M1073" s="1"/>
    </row>
    <row r="1074" spans="12:13" x14ac:dyDescent="0.25">
      <c r="L1074" s="1"/>
      <c r="M1074" s="1"/>
    </row>
    <row r="1075" spans="12:13" x14ac:dyDescent="0.25">
      <c r="L1075" s="1"/>
      <c r="M1075" s="1"/>
    </row>
    <row r="1076" spans="12:13" x14ac:dyDescent="0.25">
      <c r="L1076" s="1"/>
      <c r="M1076" s="1"/>
    </row>
    <row r="1077" spans="12:13" x14ac:dyDescent="0.25">
      <c r="L1077" s="1"/>
      <c r="M1077" s="1"/>
    </row>
    <row r="1078" spans="12:13" x14ac:dyDescent="0.25">
      <c r="L1078" s="1"/>
    </row>
    <row r="1079" spans="12:13" x14ac:dyDescent="0.25">
      <c r="L1079" s="1"/>
    </row>
    <row r="1080" spans="12:13" x14ac:dyDescent="0.25">
      <c r="L1080" s="1"/>
      <c r="M1080" s="1"/>
    </row>
    <row r="1081" spans="12:13" x14ac:dyDescent="0.25">
      <c r="L1081" s="1"/>
      <c r="M1081" s="1"/>
    </row>
    <row r="1082" spans="12:13" x14ac:dyDescent="0.25">
      <c r="L1082" s="1"/>
      <c r="M1082" s="1"/>
    </row>
    <row r="1083" spans="12:13" x14ac:dyDescent="0.25">
      <c r="L1083" s="1"/>
      <c r="M1083" s="1"/>
    </row>
    <row r="1084" spans="12:13" x14ac:dyDescent="0.25">
      <c r="L1084" s="1"/>
    </row>
    <row r="1085" spans="12:13" x14ac:dyDescent="0.25">
      <c r="L1085" s="1"/>
      <c r="M1085" s="1"/>
    </row>
    <row r="1086" spans="12:13" x14ac:dyDescent="0.25">
      <c r="L1086" s="1"/>
      <c r="M1086" s="1"/>
    </row>
    <row r="1087" spans="12:13" x14ac:dyDescent="0.25">
      <c r="L1087" s="1"/>
      <c r="M1087" s="1"/>
    </row>
    <row r="1088" spans="12:13" x14ac:dyDescent="0.25">
      <c r="L1088" s="1"/>
    </row>
    <row r="1089" spans="12:13" x14ac:dyDescent="0.25">
      <c r="L1089" s="1"/>
      <c r="M1089" s="1"/>
    </row>
    <row r="1090" spans="12:13" x14ac:dyDescent="0.25">
      <c r="L1090" s="1"/>
      <c r="M1090" s="1"/>
    </row>
    <row r="1091" spans="12:13" x14ac:dyDescent="0.25">
      <c r="L1091" s="1"/>
      <c r="M1091" s="1"/>
    </row>
    <row r="1092" spans="12:13" x14ac:dyDescent="0.25">
      <c r="L1092" s="1"/>
      <c r="M1092" s="1"/>
    </row>
    <row r="1093" spans="12:13" x14ac:dyDescent="0.25">
      <c r="L1093" s="1"/>
      <c r="M1093" s="1"/>
    </row>
    <row r="1094" spans="12:13" x14ac:dyDescent="0.25">
      <c r="L1094" s="1"/>
    </row>
    <row r="1095" spans="12:13" x14ac:dyDescent="0.25">
      <c r="L1095" s="1"/>
    </row>
    <row r="1096" spans="12:13" x14ac:dyDescent="0.25">
      <c r="L1096" s="1"/>
      <c r="M1096" s="1"/>
    </row>
    <row r="1097" spans="12:13" x14ac:dyDescent="0.25">
      <c r="L1097" s="1"/>
    </row>
    <row r="1098" spans="12:13" x14ac:dyDescent="0.25">
      <c r="L1098" s="1"/>
      <c r="M1098" s="1"/>
    </row>
    <row r="1099" spans="12:13" x14ac:dyDescent="0.25">
      <c r="L1099" s="1"/>
      <c r="M1099" s="1"/>
    </row>
    <row r="1100" spans="12:13" x14ac:dyDescent="0.25">
      <c r="L1100" s="1"/>
      <c r="M1100" s="1"/>
    </row>
    <row r="1101" spans="12:13" x14ac:dyDescent="0.25">
      <c r="L1101" s="1"/>
      <c r="M1101" s="1"/>
    </row>
    <row r="1102" spans="12:13" x14ac:dyDescent="0.25">
      <c r="L1102" s="1"/>
      <c r="M1102" s="1"/>
    </row>
    <row r="1103" spans="12:13" x14ac:dyDescent="0.25">
      <c r="L1103" s="1"/>
      <c r="M1103" s="1"/>
    </row>
    <row r="1104" spans="12:13" x14ac:dyDescent="0.25">
      <c r="L1104" s="1"/>
    </row>
    <row r="1105" spans="12:13" x14ac:dyDescent="0.25">
      <c r="L1105" s="1"/>
      <c r="M1105" s="1"/>
    </row>
    <row r="1106" spans="12:13" x14ac:dyDescent="0.25">
      <c r="L1106" s="1"/>
    </row>
    <row r="1107" spans="12:13" x14ac:dyDescent="0.25">
      <c r="L1107" s="1"/>
      <c r="M1107" s="1"/>
    </row>
    <row r="1108" spans="12:13" x14ac:dyDescent="0.25">
      <c r="L1108" s="1"/>
      <c r="M1108" s="1"/>
    </row>
    <row r="1109" spans="12:13" x14ac:dyDescent="0.25">
      <c r="L1109" s="1"/>
      <c r="M1109" s="1"/>
    </row>
    <row r="1110" spans="12:13" x14ac:dyDescent="0.25">
      <c r="L1110" s="1"/>
    </row>
    <row r="1111" spans="12:13" x14ac:dyDescent="0.25">
      <c r="L1111" s="1"/>
      <c r="M1111" s="1"/>
    </row>
    <row r="1112" spans="12:13" x14ac:dyDescent="0.25">
      <c r="L1112" s="1"/>
      <c r="M1112" s="1"/>
    </row>
    <row r="1113" spans="12:13" x14ac:dyDescent="0.25">
      <c r="L1113" s="1"/>
      <c r="M1113" s="1"/>
    </row>
    <row r="1114" spans="12:13" x14ac:dyDescent="0.25">
      <c r="L1114" s="1"/>
    </row>
    <row r="1115" spans="12:13" x14ac:dyDescent="0.25">
      <c r="L1115" s="1"/>
      <c r="M1115" s="1"/>
    </row>
    <row r="1116" spans="12:13" x14ac:dyDescent="0.25">
      <c r="L1116" s="1"/>
      <c r="M1116" s="1"/>
    </row>
    <row r="1117" spans="12:13" x14ac:dyDescent="0.25">
      <c r="L1117" s="1"/>
      <c r="M1117" s="1"/>
    </row>
    <row r="1118" spans="12:13" x14ac:dyDescent="0.25">
      <c r="L1118" s="1"/>
      <c r="M1118" s="1"/>
    </row>
    <row r="1119" spans="12:13" x14ac:dyDescent="0.25">
      <c r="L1119" s="1"/>
      <c r="M1119" s="1"/>
    </row>
    <row r="1120" spans="12:13" x14ac:dyDescent="0.25">
      <c r="L1120" s="1"/>
      <c r="M1120" s="1"/>
    </row>
    <row r="1121" spans="12:13" x14ac:dyDescent="0.25">
      <c r="L1121" s="1"/>
    </row>
    <row r="1122" spans="12:13" x14ac:dyDescent="0.25">
      <c r="L1122" s="1"/>
    </row>
    <row r="1123" spans="12:13" x14ac:dyDescent="0.25">
      <c r="L1123" s="1"/>
      <c r="M1123" s="1"/>
    </row>
    <row r="1124" spans="12:13" x14ac:dyDescent="0.25">
      <c r="L1124" s="1"/>
      <c r="M1124" s="1"/>
    </row>
    <row r="1125" spans="12:13" x14ac:dyDescent="0.25">
      <c r="L1125" s="1"/>
      <c r="M1125" s="1"/>
    </row>
    <row r="1126" spans="12:13" x14ac:dyDescent="0.25">
      <c r="L1126" s="1"/>
      <c r="M1126" s="1"/>
    </row>
    <row r="1127" spans="12:13" x14ac:dyDescent="0.25">
      <c r="L1127" s="1"/>
    </row>
    <row r="1128" spans="12:13" x14ac:dyDescent="0.25">
      <c r="L1128" s="1"/>
      <c r="M1128" s="1"/>
    </row>
    <row r="1129" spans="12:13" x14ac:dyDescent="0.25">
      <c r="L1129" s="1"/>
      <c r="M1129" s="1"/>
    </row>
    <row r="1130" spans="12:13" x14ac:dyDescent="0.25">
      <c r="L1130" s="1"/>
      <c r="M1130" s="1"/>
    </row>
    <row r="1131" spans="12:13" x14ac:dyDescent="0.25">
      <c r="L1131" s="1"/>
      <c r="M1131" s="1"/>
    </row>
    <row r="1132" spans="12:13" x14ac:dyDescent="0.25">
      <c r="L1132" s="1"/>
    </row>
    <row r="1133" spans="12:13" x14ac:dyDescent="0.25">
      <c r="L1133" s="1"/>
      <c r="M1133" s="1"/>
    </row>
    <row r="1134" spans="12:13" x14ac:dyDescent="0.25">
      <c r="L1134" s="1"/>
      <c r="M1134" s="1"/>
    </row>
    <row r="1135" spans="12:13" x14ac:dyDescent="0.25">
      <c r="L1135" s="1"/>
    </row>
    <row r="1136" spans="12:13" x14ac:dyDescent="0.25">
      <c r="L1136" s="1"/>
      <c r="M1136" s="1"/>
    </row>
    <row r="1137" spans="12:13" x14ac:dyDescent="0.25">
      <c r="L1137" s="1"/>
    </row>
    <row r="1138" spans="12:13" x14ac:dyDescent="0.25">
      <c r="L1138" s="1"/>
    </row>
    <row r="1139" spans="12:13" x14ac:dyDescent="0.25">
      <c r="L1139" s="1"/>
      <c r="M1139" s="1"/>
    </row>
    <row r="1140" spans="12:13" x14ac:dyDescent="0.25">
      <c r="L1140" s="1"/>
      <c r="M1140" s="1"/>
    </row>
    <row r="1141" spans="12:13" x14ac:dyDescent="0.25">
      <c r="L1141" s="1"/>
      <c r="M1141" s="1"/>
    </row>
    <row r="1142" spans="12:13" x14ac:dyDescent="0.25">
      <c r="L1142" s="1"/>
      <c r="M1142" s="1"/>
    </row>
    <row r="1143" spans="12:13" x14ac:dyDescent="0.25">
      <c r="L1143" s="1"/>
      <c r="M1143" s="1"/>
    </row>
    <row r="1144" spans="12:13" x14ac:dyDescent="0.25">
      <c r="L1144" s="1"/>
      <c r="M1144" s="1"/>
    </row>
    <row r="1145" spans="12:13" x14ac:dyDescent="0.25">
      <c r="L1145" s="1"/>
      <c r="M1145" s="1"/>
    </row>
    <row r="1146" spans="12:13" x14ac:dyDescent="0.25">
      <c r="L1146" s="1"/>
      <c r="M1146" s="1"/>
    </row>
    <row r="1147" spans="12:13" x14ac:dyDescent="0.25">
      <c r="L1147" s="1"/>
      <c r="M1147" s="1"/>
    </row>
    <row r="1148" spans="12:13" x14ac:dyDescent="0.25">
      <c r="L1148" s="1"/>
      <c r="M1148" s="1"/>
    </row>
    <row r="1149" spans="12:13" x14ac:dyDescent="0.25">
      <c r="L1149" s="1"/>
    </row>
    <row r="1150" spans="12:13" x14ac:dyDescent="0.25">
      <c r="L1150" s="1"/>
      <c r="M1150" s="1"/>
    </row>
    <row r="1151" spans="12:13" x14ac:dyDescent="0.25">
      <c r="L1151" s="1"/>
    </row>
    <row r="1152" spans="12:13" x14ac:dyDescent="0.25">
      <c r="L1152" s="1"/>
    </row>
    <row r="1153" spans="12:13" x14ac:dyDescent="0.25">
      <c r="L1153" s="1"/>
      <c r="M1153" s="1"/>
    </row>
    <row r="1154" spans="12:13" x14ac:dyDescent="0.25">
      <c r="L1154" s="1"/>
      <c r="M1154" s="1"/>
    </row>
    <row r="1155" spans="12:13" x14ac:dyDescent="0.25">
      <c r="L1155" s="1"/>
    </row>
    <row r="1156" spans="12:13" x14ac:dyDescent="0.25">
      <c r="L1156" s="1"/>
      <c r="M1156" s="1"/>
    </row>
    <row r="1157" spans="12:13" x14ac:dyDescent="0.25">
      <c r="L1157" s="1"/>
      <c r="M1157" s="1"/>
    </row>
    <row r="1158" spans="12:13" x14ac:dyDescent="0.25">
      <c r="L1158" s="1"/>
      <c r="M1158" s="1"/>
    </row>
    <row r="1159" spans="12:13" x14ac:dyDescent="0.25">
      <c r="L1159" s="1"/>
    </row>
    <row r="1160" spans="12:13" x14ac:dyDescent="0.25">
      <c r="L1160" s="1"/>
      <c r="M1160" s="1"/>
    </row>
    <row r="1161" spans="12:13" x14ac:dyDescent="0.25">
      <c r="L1161" s="1"/>
      <c r="M1161" s="1"/>
    </row>
    <row r="1162" spans="12:13" x14ac:dyDescent="0.25">
      <c r="L1162" s="1"/>
      <c r="M1162" s="1"/>
    </row>
    <row r="1163" spans="12:13" x14ac:dyDescent="0.25">
      <c r="L1163" s="1"/>
      <c r="M1163" s="1"/>
    </row>
    <row r="1164" spans="12:13" x14ac:dyDescent="0.25">
      <c r="L1164" s="1"/>
    </row>
    <row r="1165" spans="12:13" x14ac:dyDescent="0.25">
      <c r="L1165" s="1"/>
    </row>
    <row r="1166" spans="12:13" x14ac:dyDescent="0.25">
      <c r="L1166" s="1"/>
      <c r="M1166" s="1"/>
    </row>
    <row r="1167" spans="12:13" x14ac:dyDescent="0.25">
      <c r="L1167" s="1"/>
      <c r="M1167" s="1"/>
    </row>
    <row r="1168" spans="12:13" x14ac:dyDescent="0.25">
      <c r="L1168" s="1"/>
      <c r="M1168" s="1"/>
    </row>
    <row r="1169" spans="12:13" x14ac:dyDescent="0.25">
      <c r="L1169" s="1"/>
      <c r="M1169" s="1"/>
    </row>
    <row r="1170" spans="12:13" x14ac:dyDescent="0.25">
      <c r="L1170" s="1"/>
      <c r="M1170" s="1"/>
    </row>
    <row r="1171" spans="12:13" x14ac:dyDescent="0.25">
      <c r="L1171" s="1"/>
      <c r="M1171" s="1"/>
    </row>
    <row r="1172" spans="12:13" x14ac:dyDescent="0.25">
      <c r="L1172" s="1"/>
      <c r="M1172" s="1"/>
    </row>
    <row r="1173" spans="12:13" x14ac:dyDescent="0.25">
      <c r="L1173" s="1"/>
      <c r="M1173" s="1"/>
    </row>
    <row r="1174" spans="12:13" x14ac:dyDescent="0.25">
      <c r="L1174" s="1"/>
    </row>
    <row r="1175" spans="12:13" x14ac:dyDescent="0.25">
      <c r="L1175" s="1"/>
      <c r="M1175" s="1"/>
    </row>
    <row r="1176" spans="12:13" x14ac:dyDescent="0.25">
      <c r="L1176" s="1"/>
    </row>
    <row r="1177" spans="12:13" x14ac:dyDescent="0.25">
      <c r="L1177" s="1"/>
    </row>
    <row r="1178" spans="12:13" x14ac:dyDescent="0.25">
      <c r="L1178" s="1"/>
      <c r="M1178" s="1"/>
    </row>
    <row r="1179" spans="12:13" x14ac:dyDescent="0.25">
      <c r="L1179" s="1"/>
    </row>
    <row r="1180" spans="12:13" x14ac:dyDescent="0.25">
      <c r="L1180" s="1"/>
      <c r="M1180" s="1"/>
    </row>
    <row r="1181" spans="12:13" x14ac:dyDescent="0.25">
      <c r="L1181" s="1"/>
      <c r="M1181" s="1"/>
    </row>
    <row r="1182" spans="12:13" x14ac:dyDescent="0.25">
      <c r="L1182" s="1"/>
      <c r="M1182" s="1"/>
    </row>
    <row r="1183" spans="12:13" x14ac:dyDescent="0.25">
      <c r="L1183" s="1"/>
      <c r="M1183" s="1"/>
    </row>
    <row r="1184" spans="12:13" x14ac:dyDescent="0.25">
      <c r="L1184" s="1"/>
      <c r="M1184" s="1"/>
    </row>
    <row r="1185" spans="12:13" x14ac:dyDescent="0.25">
      <c r="L1185" s="1"/>
      <c r="M1185" s="1"/>
    </row>
    <row r="1186" spans="12:13" x14ac:dyDescent="0.25">
      <c r="L1186" s="1"/>
      <c r="M1186" s="1"/>
    </row>
    <row r="1187" spans="12:13" x14ac:dyDescent="0.25">
      <c r="L1187" s="1"/>
      <c r="M1187" s="1"/>
    </row>
    <row r="1188" spans="12:13" x14ac:dyDescent="0.25">
      <c r="L1188" s="1"/>
      <c r="M1188" s="1"/>
    </row>
    <row r="1189" spans="12:13" x14ac:dyDescent="0.25">
      <c r="L1189" s="1"/>
      <c r="M1189" s="1"/>
    </row>
    <row r="1190" spans="12:13" x14ac:dyDescent="0.25">
      <c r="L1190" s="1"/>
      <c r="M1190" s="1"/>
    </row>
    <row r="1191" spans="12:13" x14ac:dyDescent="0.25">
      <c r="L1191" s="1"/>
      <c r="M1191" s="1"/>
    </row>
    <row r="1192" spans="12:13" x14ac:dyDescent="0.25">
      <c r="L1192" s="1"/>
      <c r="M1192" s="1"/>
    </row>
    <row r="1193" spans="12:13" x14ac:dyDescent="0.25">
      <c r="L1193" s="1"/>
    </row>
    <row r="1194" spans="12:13" x14ac:dyDescent="0.25">
      <c r="L1194" s="1"/>
    </row>
    <row r="1195" spans="12:13" x14ac:dyDescent="0.25">
      <c r="L1195" s="1"/>
      <c r="M1195" s="1"/>
    </row>
    <row r="1196" spans="12:13" x14ac:dyDescent="0.25">
      <c r="L1196" s="1"/>
      <c r="M1196" s="1"/>
    </row>
    <row r="1197" spans="12:13" x14ac:dyDescent="0.25">
      <c r="L1197" s="1"/>
    </row>
    <row r="1198" spans="12:13" x14ac:dyDescent="0.25">
      <c r="L1198" s="1"/>
      <c r="M1198" s="1"/>
    </row>
    <row r="1199" spans="12:13" x14ac:dyDescent="0.25">
      <c r="L1199" s="1"/>
      <c r="M1199" s="1"/>
    </row>
    <row r="1200" spans="12:13" x14ac:dyDescent="0.25">
      <c r="L1200" s="1"/>
    </row>
    <row r="1201" spans="12:13" x14ac:dyDescent="0.25">
      <c r="L1201" s="1"/>
      <c r="M1201" s="1"/>
    </row>
    <row r="1202" spans="12:13" x14ac:dyDescent="0.25">
      <c r="L1202" s="1"/>
      <c r="M1202" s="1"/>
    </row>
    <row r="1203" spans="12:13" x14ac:dyDescent="0.25">
      <c r="L1203" s="1"/>
      <c r="M1203" s="1"/>
    </row>
    <row r="1204" spans="12:13" x14ac:dyDescent="0.25">
      <c r="L1204" s="1"/>
      <c r="M1204" s="1"/>
    </row>
    <row r="1205" spans="12:13" x14ac:dyDescent="0.25">
      <c r="L1205" s="1"/>
      <c r="M1205" s="1"/>
    </row>
    <row r="1206" spans="12:13" x14ac:dyDescent="0.25">
      <c r="L1206" s="1"/>
    </row>
    <row r="1207" spans="12:13" x14ac:dyDescent="0.25">
      <c r="L1207" s="1"/>
    </row>
    <row r="1208" spans="12:13" x14ac:dyDescent="0.25">
      <c r="L1208" s="1"/>
      <c r="M1208" s="1"/>
    </row>
    <row r="1209" spans="12:13" x14ac:dyDescent="0.25">
      <c r="L1209" s="1"/>
      <c r="M1209" s="1"/>
    </row>
    <row r="1210" spans="12:13" x14ac:dyDescent="0.25">
      <c r="L1210" s="1"/>
    </row>
    <row r="1211" spans="12:13" x14ac:dyDescent="0.25">
      <c r="L1211" s="1"/>
      <c r="M1211" s="1"/>
    </row>
    <row r="1212" spans="12:13" x14ac:dyDescent="0.25">
      <c r="L1212" s="1"/>
      <c r="M1212" s="1"/>
    </row>
    <row r="1213" spans="12:13" x14ac:dyDescent="0.25">
      <c r="L1213" s="1"/>
      <c r="M1213" s="1"/>
    </row>
    <row r="1214" spans="12:13" x14ac:dyDescent="0.25">
      <c r="L1214" s="1"/>
      <c r="M1214" s="1"/>
    </row>
    <row r="1215" spans="12:13" x14ac:dyDescent="0.25">
      <c r="L1215" s="1"/>
      <c r="M1215" s="1"/>
    </row>
    <row r="1216" spans="12:13" x14ac:dyDescent="0.25">
      <c r="L1216" s="1"/>
      <c r="M1216" s="1"/>
    </row>
    <row r="1217" spans="12:13" x14ac:dyDescent="0.25">
      <c r="L1217" s="1"/>
      <c r="M1217" s="1"/>
    </row>
    <row r="1218" spans="12:13" x14ac:dyDescent="0.25">
      <c r="L1218" s="1"/>
    </row>
    <row r="1219" spans="12:13" x14ac:dyDescent="0.25">
      <c r="L1219" s="1"/>
    </row>
    <row r="1220" spans="12:13" x14ac:dyDescent="0.25">
      <c r="L1220" s="1"/>
      <c r="M1220" s="1"/>
    </row>
    <row r="1221" spans="12:13" x14ac:dyDescent="0.25">
      <c r="L1221" s="1"/>
      <c r="M1221" s="1"/>
    </row>
    <row r="1222" spans="12:13" x14ac:dyDescent="0.25">
      <c r="L1222" s="1"/>
      <c r="M1222" s="1"/>
    </row>
    <row r="1223" spans="12:13" x14ac:dyDescent="0.25">
      <c r="L1223" s="1"/>
      <c r="M1223" s="1"/>
    </row>
    <row r="1224" spans="12:13" x14ac:dyDescent="0.25">
      <c r="L1224" s="1"/>
    </row>
    <row r="1225" spans="12:13" x14ac:dyDescent="0.25">
      <c r="L1225" s="1"/>
      <c r="M1225" s="1"/>
    </row>
    <row r="1226" spans="12:13" x14ac:dyDescent="0.25">
      <c r="L1226" s="1"/>
    </row>
    <row r="1227" spans="12:13" x14ac:dyDescent="0.25">
      <c r="L1227" s="1"/>
      <c r="M1227" s="1"/>
    </row>
    <row r="1228" spans="12:13" x14ac:dyDescent="0.25">
      <c r="L1228" s="1"/>
    </row>
    <row r="1229" spans="12:13" x14ac:dyDescent="0.25">
      <c r="L1229" s="1"/>
      <c r="M1229" s="1"/>
    </row>
    <row r="1230" spans="12:13" x14ac:dyDescent="0.25">
      <c r="L1230" s="1"/>
      <c r="M1230" s="1"/>
    </row>
    <row r="1231" spans="12:13" x14ac:dyDescent="0.25">
      <c r="L1231" s="1"/>
      <c r="M1231" s="1"/>
    </row>
    <row r="1232" spans="12:13" x14ac:dyDescent="0.25">
      <c r="L1232" s="1"/>
      <c r="M1232" s="1"/>
    </row>
    <row r="1233" spans="12:13" x14ac:dyDescent="0.25">
      <c r="L1233" s="1"/>
      <c r="M1233" s="1"/>
    </row>
    <row r="1234" spans="12:13" x14ac:dyDescent="0.25">
      <c r="L1234" s="1"/>
    </row>
    <row r="1235" spans="12:13" x14ac:dyDescent="0.25">
      <c r="L1235" s="1"/>
      <c r="M1235" s="1"/>
    </row>
    <row r="1236" spans="12:13" x14ac:dyDescent="0.25">
      <c r="L1236" s="1"/>
      <c r="M1236" s="1"/>
    </row>
    <row r="1237" spans="12:13" x14ac:dyDescent="0.25">
      <c r="L1237" s="1"/>
    </row>
    <row r="1238" spans="12:13" x14ac:dyDescent="0.25">
      <c r="L1238" s="1"/>
      <c r="M1238" s="1"/>
    </row>
    <row r="1239" spans="12:13" x14ac:dyDescent="0.25">
      <c r="L1239" s="1"/>
      <c r="M1239" s="1"/>
    </row>
    <row r="1240" spans="12:13" x14ac:dyDescent="0.25">
      <c r="L1240" s="1"/>
      <c r="M1240" s="1"/>
    </row>
    <row r="1241" spans="12:13" x14ac:dyDescent="0.25">
      <c r="L1241" s="1"/>
      <c r="M1241" s="1"/>
    </row>
    <row r="1242" spans="12:13" x14ac:dyDescent="0.25">
      <c r="L1242" s="1"/>
      <c r="M1242" s="1"/>
    </row>
    <row r="1243" spans="12:13" x14ac:dyDescent="0.25">
      <c r="L1243" s="1"/>
    </row>
    <row r="1244" spans="12:13" x14ac:dyDescent="0.25">
      <c r="L1244" s="1"/>
      <c r="M1244" s="1"/>
    </row>
    <row r="1245" spans="12:13" x14ac:dyDescent="0.25">
      <c r="L1245" s="1"/>
      <c r="M1245" s="1"/>
    </row>
    <row r="1246" spans="12:13" x14ac:dyDescent="0.25">
      <c r="L1246" s="1"/>
      <c r="M1246" s="1"/>
    </row>
    <row r="1247" spans="12:13" x14ac:dyDescent="0.25">
      <c r="L1247" s="1"/>
      <c r="M1247" s="1"/>
    </row>
    <row r="1248" spans="12:13" x14ac:dyDescent="0.25">
      <c r="L1248" s="1"/>
    </row>
    <row r="1249" spans="12:13" x14ac:dyDescent="0.25">
      <c r="L1249" s="1"/>
      <c r="M1249" s="1"/>
    </row>
    <row r="1250" spans="12:13" x14ac:dyDescent="0.25">
      <c r="L1250" s="1"/>
      <c r="M1250" s="1"/>
    </row>
    <row r="1251" spans="12:13" x14ac:dyDescent="0.25">
      <c r="L1251" s="1"/>
      <c r="M1251" s="1"/>
    </row>
    <row r="1252" spans="12:13" x14ac:dyDescent="0.25">
      <c r="L1252" s="1"/>
      <c r="M1252" s="1"/>
    </row>
    <row r="1253" spans="12:13" x14ac:dyDescent="0.25">
      <c r="L1253" s="1"/>
      <c r="M1253" s="1"/>
    </row>
    <row r="1254" spans="12:13" x14ac:dyDescent="0.25">
      <c r="L1254" s="1"/>
      <c r="M1254" s="1"/>
    </row>
    <row r="1255" spans="12:13" x14ac:dyDescent="0.25">
      <c r="L1255" s="1"/>
      <c r="M1255" s="1"/>
    </row>
    <row r="1256" spans="12:13" x14ac:dyDescent="0.25">
      <c r="L1256" s="1"/>
      <c r="M1256" s="1"/>
    </row>
    <row r="1257" spans="12:13" x14ac:dyDescent="0.25">
      <c r="L1257" s="1"/>
      <c r="M1257" s="1"/>
    </row>
    <row r="1258" spans="12:13" x14ac:dyDescent="0.25">
      <c r="L1258" s="1"/>
      <c r="M1258" s="1"/>
    </row>
    <row r="1259" spans="12:13" x14ac:dyDescent="0.25">
      <c r="L1259" s="1"/>
      <c r="M1259" s="1"/>
    </row>
    <row r="1260" spans="12:13" x14ac:dyDescent="0.25">
      <c r="L1260" s="1"/>
      <c r="M1260" s="1"/>
    </row>
    <row r="1261" spans="12:13" x14ac:dyDescent="0.25">
      <c r="L1261" s="1"/>
      <c r="M1261" s="1"/>
    </row>
    <row r="1262" spans="12:13" x14ac:dyDescent="0.25">
      <c r="L1262" s="1"/>
      <c r="M1262" s="1"/>
    </row>
    <row r="1263" spans="12:13" x14ac:dyDescent="0.25">
      <c r="L1263" s="1"/>
      <c r="M1263" s="1"/>
    </row>
    <row r="1264" spans="12:13" x14ac:dyDescent="0.25">
      <c r="L1264" s="1"/>
      <c r="M1264" s="1"/>
    </row>
    <row r="1265" spans="12:13" x14ac:dyDescent="0.25">
      <c r="L1265" s="1"/>
    </row>
    <row r="1266" spans="12:13" x14ac:dyDescent="0.25">
      <c r="L1266" s="1"/>
    </row>
    <row r="1267" spans="12:13" x14ac:dyDescent="0.25">
      <c r="L1267" s="1"/>
      <c r="M1267" s="1"/>
    </row>
    <row r="1268" spans="12:13" x14ac:dyDescent="0.25">
      <c r="L1268" s="1"/>
    </row>
    <row r="1269" spans="12:13" x14ac:dyDescent="0.25">
      <c r="L1269" s="1"/>
      <c r="M1269" s="1"/>
    </row>
    <row r="1270" spans="12:13" x14ac:dyDescent="0.25">
      <c r="L1270" s="1"/>
      <c r="M1270" s="1"/>
    </row>
    <row r="1271" spans="12:13" x14ac:dyDescent="0.25">
      <c r="L1271" s="1"/>
      <c r="M1271" s="1"/>
    </row>
    <row r="1272" spans="12:13" x14ac:dyDescent="0.25">
      <c r="L1272" s="1"/>
    </row>
    <row r="1273" spans="12:13" x14ac:dyDescent="0.25">
      <c r="L1273" s="1"/>
      <c r="M1273" s="1"/>
    </row>
    <row r="1274" spans="12:13" x14ac:dyDescent="0.25">
      <c r="L1274" s="1"/>
      <c r="M1274" s="1"/>
    </row>
    <row r="1275" spans="12:13" x14ac:dyDescent="0.25">
      <c r="L1275" s="1"/>
      <c r="M1275" s="1"/>
    </row>
    <row r="1276" spans="12:13" x14ac:dyDescent="0.25">
      <c r="L1276" s="1"/>
      <c r="M1276" s="1"/>
    </row>
    <row r="1277" spans="12:13" x14ac:dyDescent="0.25">
      <c r="L1277" s="1"/>
      <c r="M1277" s="1"/>
    </row>
    <row r="1278" spans="12:13" x14ac:dyDescent="0.25">
      <c r="L1278" s="1"/>
      <c r="M1278" s="1"/>
    </row>
    <row r="1279" spans="12:13" x14ac:dyDescent="0.25">
      <c r="L1279" s="1"/>
      <c r="M1279" s="1"/>
    </row>
    <row r="1280" spans="12:13" x14ac:dyDescent="0.25">
      <c r="L1280" s="1"/>
    </row>
    <row r="1281" spans="12:13" x14ac:dyDescent="0.25">
      <c r="L1281" s="1"/>
      <c r="M1281" s="1"/>
    </row>
    <row r="1282" spans="12:13" x14ac:dyDescent="0.25">
      <c r="L1282" s="1"/>
      <c r="M1282" s="1"/>
    </row>
    <row r="1283" spans="12:13" x14ac:dyDescent="0.25">
      <c r="L1283" s="1"/>
      <c r="M1283" s="1"/>
    </row>
    <row r="1284" spans="12:13" x14ac:dyDescent="0.25">
      <c r="L1284" s="1"/>
    </row>
    <row r="1285" spans="12:13" x14ac:dyDescent="0.25">
      <c r="L1285" s="1"/>
      <c r="M1285" s="1"/>
    </row>
    <row r="1286" spans="12:13" x14ac:dyDescent="0.25">
      <c r="L1286" s="1"/>
      <c r="M1286" s="1"/>
    </row>
    <row r="1287" spans="12:13" x14ac:dyDescent="0.25">
      <c r="L1287" s="1"/>
      <c r="M1287" s="1"/>
    </row>
    <row r="1288" spans="12:13" x14ac:dyDescent="0.25">
      <c r="L1288" s="1"/>
      <c r="M1288" s="1"/>
    </row>
    <row r="1289" spans="12:13" x14ac:dyDescent="0.25">
      <c r="L1289" s="1"/>
      <c r="M1289" s="1"/>
    </row>
    <row r="1290" spans="12:13" x14ac:dyDescent="0.25">
      <c r="L1290" s="1"/>
      <c r="M1290" s="1"/>
    </row>
    <row r="1291" spans="12:13" x14ac:dyDescent="0.25">
      <c r="L1291" s="1"/>
      <c r="M1291" s="1"/>
    </row>
    <row r="1292" spans="12:13" x14ac:dyDescent="0.25">
      <c r="L1292" s="1"/>
      <c r="M1292" s="1"/>
    </row>
    <row r="1293" spans="12:13" x14ac:dyDescent="0.25">
      <c r="L1293" s="1"/>
      <c r="M1293" s="1"/>
    </row>
    <row r="1294" spans="12:13" x14ac:dyDescent="0.25">
      <c r="L1294" s="1"/>
      <c r="M1294" s="1"/>
    </row>
    <row r="1295" spans="12:13" x14ac:dyDescent="0.25">
      <c r="L1295" s="1"/>
      <c r="M1295" s="1"/>
    </row>
    <row r="1296" spans="12:13" x14ac:dyDescent="0.25">
      <c r="L1296" s="1"/>
      <c r="M1296" s="1"/>
    </row>
    <row r="1297" spans="12:13" x14ac:dyDescent="0.25">
      <c r="L1297" s="1"/>
      <c r="M1297" s="1"/>
    </row>
    <row r="1298" spans="12:13" x14ac:dyDescent="0.25">
      <c r="L1298" s="1"/>
    </row>
    <row r="1299" spans="12:13" x14ac:dyDescent="0.25">
      <c r="L1299" s="1"/>
      <c r="M1299" s="1"/>
    </row>
    <row r="1300" spans="12:13" x14ac:dyDescent="0.25">
      <c r="L1300" s="1"/>
      <c r="M1300" s="1"/>
    </row>
    <row r="1301" spans="12:13" x14ac:dyDescent="0.25">
      <c r="L1301" s="1"/>
      <c r="M1301" s="1"/>
    </row>
    <row r="1302" spans="12:13" x14ac:dyDescent="0.25">
      <c r="L1302" s="1"/>
      <c r="M1302" s="1"/>
    </row>
    <row r="1303" spans="12:13" x14ac:dyDescent="0.25">
      <c r="L1303" s="1"/>
      <c r="M1303" s="1"/>
    </row>
    <row r="1304" spans="12:13" x14ac:dyDescent="0.25">
      <c r="L1304" s="1"/>
      <c r="M1304" s="1"/>
    </row>
    <row r="1305" spans="12:13" x14ac:dyDescent="0.25">
      <c r="L1305" s="1"/>
    </row>
    <row r="1306" spans="12:13" x14ac:dyDescent="0.25">
      <c r="L1306" s="1"/>
      <c r="M1306" s="1"/>
    </row>
    <row r="1307" spans="12:13" x14ac:dyDescent="0.25">
      <c r="L1307" s="1"/>
      <c r="M1307" s="1"/>
    </row>
    <row r="1308" spans="12:13" x14ac:dyDescent="0.25">
      <c r="L1308" s="1"/>
      <c r="M1308" s="1"/>
    </row>
    <row r="1309" spans="12:13" x14ac:dyDescent="0.25">
      <c r="L1309" s="1"/>
      <c r="M1309" s="1"/>
    </row>
    <row r="1310" spans="12:13" x14ac:dyDescent="0.25">
      <c r="L1310" s="1"/>
      <c r="M1310" s="1"/>
    </row>
    <row r="1311" spans="12:13" x14ac:dyDescent="0.25">
      <c r="L1311" s="1"/>
      <c r="M1311" s="1"/>
    </row>
    <row r="1312" spans="12:13" x14ac:dyDescent="0.25">
      <c r="L1312" s="1"/>
      <c r="M1312" s="1"/>
    </row>
    <row r="1313" spans="12:13" x14ac:dyDescent="0.25">
      <c r="L1313" s="1"/>
      <c r="M1313" s="1"/>
    </row>
    <row r="1314" spans="12:13" x14ac:dyDescent="0.25">
      <c r="L1314" s="1"/>
      <c r="M1314" s="1"/>
    </row>
    <row r="1315" spans="12:13" x14ac:dyDescent="0.25">
      <c r="L1315" s="1"/>
    </row>
    <row r="1316" spans="12:13" x14ac:dyDescent="0.25">
      <c r="L1316" s="1"/>
      <c r="M1316" s="1"/>
    </row>
    <row r="1317" spans="12:13" x14ac:dyDescent="0.25">
      <c r="L1317" s="1"/>
      <c r="M1317" s="1"/>
    </row>
    <row r="1318" spans="12:13" x14ac:dyDescent="0.25">
      <c r="L1318" s="1"/>
      <c r="M1318" s="1"/>
    </row>
    <row r="1319" spans="12:13" x14ac:dyDescent="0.25">
      <c r="L1319" s="1"/>
      <c r="M1319" s="1"/>
    </row>
    <row r="1321" spans="12:13" x14ac:dyDescent="0.25">
      <c r="L1321" s="1"/>
      <c r="M1321" s="1"/>
    </row>
    <row r="1322" spans="12:13" x14ac:dyDescent="0.25">
      <c r="L1322" s="1"/>
      <c r="M1322" s="1"/>
    </row>
    <row r="1323" spans="12:13" x14ac:dyDescent="0.25">
      <c r="L1323" s="1"/>
      <c r="M1323" s="1"/>
    </row>
    <row r="1324" spans="12:13" x14ac:dyDescent="0.25">
      <c r="L1324" s="1"/>
    </row>
    <row r="1325" spans="12:13" x14ac:dyDescent="0.25">
      <c r="L1325" s="1"/>
      <c r="M1325" s="1"/>
    </row>
    <row r="1326" spans="12:13" x14ac:dyDescent="0.25">
      <c r="L1326" s="1"/>
    </row>
    <row r="1327" spans="12:13" x14ac:dyDescent="0.25">
      <c r="L1327" s="1"/>
      <c r="M1327" s="1"/>
    </row>
    <row r="1328" spans="12:13" x14ac:dyDescent="0.25">
      <c r="L1328" s="1"/>
      <c r="M1328" s="1"/>
    </row>
    <row r="1329" spans="12:13" x14ac:dyDescent="0.25">
      <c r="L1329" s="1"/>
      <c r="M1329" s="1"/>
    </row>
    <row r="1330" spans="12:13" x14ac:dyDescent="0.25">
      <c r="L1330" s="1"/>
      <c r="M1330" s="1"/>
    </row>
    <row r="1331" spans="12:13" x14ac:dyDescent="0.25">
      <c r="L1331" s="1"/>
    </row>
    <row r="1332" spans="12:13" x14ac:dyDescent="0.25">
      <c r="L1332" s="1"/>
    </row>
    <row r="1333" spans="12:13" x14ac:dyDescent="0.25">
      <c r="L1333" s="1"/>
      <c r="M1333" s="1"/>
    </row>
    <row r="1334" spans="12:13" x14ac:dyDescent="0.25">
      <c r="L1334" s="1"/>
      <c r="M1334" s="1"/>
    </row>
    <row r="1335" spans="12:13" x14ac:dyDescent="0.25">
      <c r="L1335" s="1"/>
      <c r="M1335" s="1"/>
    </row>
    <row r="1336" spans="12:13" x14ac:dyDescent="0.25">
      <c r="L1336" s="1"/>
      <c r="M1336" s="1"/>
    </row>
    <row r="1337" spans="12:13" x14ac:dyDescent="0.25">
      <c r="L1337" s="1"/>
      <c r="M1337" s="1"/>
    </row>
    <row r="1338" spans="12:13" x14ac:dyDescent="0.25">
      <c r="L1338" s="1"/>
      <c r="M1338" s="1"/>
    </row>
    <row r="1339" spans="12:13" x14ac:dyDescent="0.25">
      <c r="L1339" s="1"/>
      <c r="M1339" s="1"/>
    </row>
    <row r="1340" spans="12:13" x14ac:dyDescent="0.25">
      <c r="L1340" s="1"/>
      <c r="M1340" s="1"/>
    </row>
    <row r="1341" spans="12:13" x14ac:dyDescent="0.25">
      <c r="L1341" s="1"/>
    </row>
    <row r="1342" spans="12:13" x14ac:dyDescent="0.25">
      <c r="L1342" s="1"/>
      <c r="M1342" s="1"/>
    </row>
    <row r="1343" spans="12:13" x14ac:dyDescent="0.25">
      <c r="L1343" s="1"/>
      <c r="M1343" s="1"/>
    </row>
    <row r="1344" spans="12:13" x14ac:dyDescent="0.25">
      <c r="L1344" s="1"/>
    </row>
    <row r="1345" spans="12:13" x14ac:dyDescent="0.25">
      <c r="L1345" s="1"/>
      <c r="M1345" s="1"/>
    </row>
    <row r="1346" spans="12:13" x14ac:dyDescent="0.25">
      <c r="L1346" s="1"/>
      <c r="M1346" s="1"/>
    </row>
    <row r="1347" spans="12:13" x14ac:dyDescent="0.25">
      <c r="L1347" s="1"/>
      <c r="M1347" s="1"/>
    </row>
    <row r="1348" spans="12:13" x14ac:dyDescent="0.25">
      <c r="L1348" s="1"/>
      <c r="M1348" s="1"/>
    </row>
    <row r="1349" spans="12:13" x14ac:dyDescent="0.25">
      <c r="L1349" s="1"/>
      <c r="M1349" s="1"/>
    </row>
    <row r="1350" spans="12:13" x14ac:dyDescent="0.25">
      <c r="L1350" s="1"/>
      <c r="M1350" s="1"/>
    </row>
    <row r="1351" spans="12:13" x14ac:dyDescent="0.25">
      <c r="L1351" s="1"/>
      <c r="M1351" s="1"/>
    </row>
    <row r="1352" spans="12:13" x14ac:dyDescent="0.25">
      <c r="L1352" s="1"/>
      <c r="M1352" s="1"/>
    </row>
    <row r="1353" spans="12:13" x14ac:dyDescent="0.25">
      <c r="L1353" s="1"/>
      <c r="M1353" s="1"/>
    </row>
    <row r="1354" spans="12:13" x14ac:dyDescent="0.25">
      <c r="L1354" s="1"/>
      <c r="M1354" s="1"/>
    </row>
    <row r="1355" spans="12:13" x14ac:dyDescent="0.25">
      <c r="L1355" s="1"/>
      <c r="M1355" s="1"/>
    </row>
    <row r="1356" spans="12:13" x14ac:dyDescent="0.25">
      <c r="L1356" s="1"/>
      <c r="M1356" s="1"/>
    </row>
    <row r="1357" spans="12:13" x14ac:dyDescent="0.25">
      <c r="L1357" s="1"/>
      <c r="M1357" s="1"/>
    </row>
    <row r="1358" spans="12:13" x14ac:dyDescent="0.25">
      <c r="L1358" s="1"/>
      <c r="M1358" s="1"/>
    </row>
    <row r="1359" spans="12:13" x14ac:dyDescent="0.25">
      <c r="L1359" s="1"/>
      <c r="M1359" s="1"/>
    </row>
    <row r="1360" spans="12:13" x14ac:dyDescent="0.25">
      <c r="L1360" s="1"/>
      <c r="M1360" s="1"/>
    </row>
    <row r="1361" spans="12:13" x14ac:dyDescent="0.25">
      <c r="L1361" s="1"/>
      <c r="M1361" s="1"/>
    </row>
    <row r="1362" spans="12:13" x14ac:dyDescent="0.25">
      <c r="L1362" s="1"/>
      <c r="M1362" s="1"/>
    </row>
    <row r="1363" spans="12:13" x14ac:dyDescent="0.25">
      <c r="L1363" s="1"/>
      <c r="M1363" s="1"/>
    </row>
    <row r="1364" spans="12:13" x14ac:dyDescent="0.25">
      <c r="L1364" s="1"/>
      <c r="M1364" s="1"/>
    </row>
    <row r="1365" spans="12:13" x14ac:dyDescent="0.25">
      <c r="L1365" s="1"/>
      <c r="M1365" s="1"/>
    </row>
    <row r="1366" spans="12:13" x14ac:dyDescent="0.25">
      <c r="L1366" s="1"/>
      <c r="M1366" s="1"/>
    </row>
    <row r="1367" spans="12:13" x14ac:dyDescent="0.25">
      <c r="L1367" s="1"/>
    </row>
    <row r="1368" spans="12:13" x14ac:dyDescent="0.25">
      <c r="L1368" s="1"/>
      <c r="M1368" s="1"/>
    </row>
    <row r="1369" spans="12:13" x14ac:dyDescent="0.25">
      <c r="L1369" s="1"/>
    </row>
    <row r="1370" spans="12:13" x14ac:dyDescent="0.25">
      <c r="L1370" s="1"/>
    </row>
    <row r="1371" spans="12:13" x14ac:dyDescent="0.25">
      <c r="L1371" s="1"/>
      <c r="M1371" s="1"/>
    </row>
    <row r="1372" spans="12:13" x14ac:dyDescent="0.25">
      <c r="L1372" s="1"/>
      <c r="M1372" s="1"/>
    </row>
    <row r="1373" spans="12:13" x14ac:dyDescent="0.25">
      <c r="L1373" s="1"/>
      <c r="M1373" s="1"/>
    </row>
    <row r="1374" spans="12:13" x14ac:dyDescent="0.25">
      <c r="L1374" s="1"/>
      <c r="M1374" s="1"/>
    </row>
    <row r="1375" spans="12:13" x14ac:dyDescent="0.25">
      <c r="L1375" s="1"/>
      <c r="M1375" s="1"/>
    </row>
    <row r="1376" spans="12:13" x14ac:dyDescent="0.25">
      <c r="L1376" s="1"/>
      <c r="M1376" s="1"/>
    </row>
    <row r="1377" spans="12:13" x14ac:dyDescent="0.25">
      <c r="L1377" s="1"/>
      <c r="M1377" s="1"/>
    </row>
    <row r="1378" spans="12:13" x14ac:dyDescent="0.25">
      <c r="L1378" s="1"/>
      <c r="M1378" s="1"/>
    </row>
    <row r="1379" spans="12:13" x14ac:dyDescent="0.25">
      <c r="L1379" s="1"/>
      <c r="M1379" s="1"/>
    </row>
    <row r="1380" spans="12:13" x14ac:dyDescent="0.25">
      <c r="L1380" s="1"/>
    </row>
    <row r="1381" spans="12:13" x14ac:dyDescent="0.25">
      <c r="L1381" s="1"/>
      <c r="M1381" s="1"/>
    </row>
    <row r="1382" spans="12:13" x14ac:dyDescent="0.25">
      <c r="L1382" s="1"/>
    </row>
    <row r="1383" spans="12:13" x14ac:dyDescent="0.25">
      <c r="L1383" s="1"/>
    </row>
    <row r="1384" spans="12:13" x14ac:dyDescent="0.25">
      <c r="L1384" s="1"/>
      <c r="M1384" s="1"/>
    </row>
    <row r="1385" spans="12:13" x14ac:dyDescent="0.25">
      <c r="L1385" s="1"/>
      <c r="M1385" s="1"/>
    </row>
    <row r="1386" spans="12:13" x14ac:dyDescent="0.25">
      <c r="L1386" s="1"/>
    </row>
    <row r="1387" spans="12:13" x14ac:dyDescent="0.25">
      <c r="L1387" s="1"/>
      <c r="M1387" s="1"/>
    </row>
    <row r="1388" spans="12:13" x14ac:dyDescent="0.25">
      <c r="L1388" s="1"/>
      <c r="M1388" s="1"/>
    </row>
    <row r="1389" spans="12:13" x14ac:dyDescent="0.25">
      <c r="L1389" s="1"/>
    </row>
    <row r="1390" spans="12:13" x14ac:dyDescent="0.25">
      <c r="L1390" s="1"/>
      <c r="M1390" s="1"/>
    </row>
    <row r="1391" spans="12:13" x14ac:dyDescent="0.25">
      <c r="L1391" s="1"/>
      <c r="M1391" s="1"/>
    </row>
    <row r="1392" spans="12:13" x14ac:dyDescent="0.25">
      <c r="L1392" s="1"/>
      <c r="M1392" s="1"/>
    </row>
    <row r="1393" spans="12:13" x14ac:dyDescent="0.25">
      <c r="L1393" s="1"/>
    </row>
    <row r="1394" spans="12:13" x14ac:dyDescent="0.25">
      <c r="L1394" s="1"/>
    </row>
    <row r="1395" spans="12:13" x14ac:dyDescent="0.25">
      <c r="L1395" s="1"/>
    </row>
    <row r="1396" spans="12:13" x14ac:dyDescent="0.25">
      <c r="L1396" s="1"/>
    </row>
    <row r="1397" spans="12:13" x14ac:dyDescent="0.25">
      <c r="L1397" s="1"/>
      <c r="M1397" s="1"/>
    </row>
    <row r="1398" spans="12:13" x14ac:dyDescent="0.25">
      <c r="L1398" s="1"/>
      <c r="M1398" s="1"/>
    </row>
    <row r="1399" spans="12:13" x14ac:dyDescent="0.25">
      <c r="L1399" s="1"/>
      <c r="M1399" s="1"/>
    </row>
    <row r="1400" spans="12:13" x14ac:dyDescent="0.25">
      <c r="L1400" s="1"/>
      <c r="M1400" s="1"/>
    </row>
    <row r="1401" spans="12:13" x14ac:dyDescent="0.25">
      <c r="L1401" s="1"/>
      <c r="M1401" s="1"/>
    </row>
    <row r="1402" spans="12:13" x14ac:dyDescent="0.25">
      <c r="L1402" s="1"/>
    </row>
    <row r="1403" spans="12:13" x14ac:dyDescent="0.25">
      <c r="L1403" s="1"/>
      <c r="M1403" s="1"/>
    </row>
    <row r="1404" spans="12:13" x14ac:dyDescent="0.25">
      <c r="L1404" s="1"/>
      <c r="M1404" s="1"/>
    </row>
    <row r="1405" spans="12:13" x14ac:dyDescent="0.25">
      <c r="L1405" s="1"/>
    </row>
    <row r="1406" spans="12:13" x14ac:dyDescent="0.25">
      <c r="L1406" s="1"/>
      <c r="M1406" s="1"/>
    </row>
    <row r="1407" spans="12:13" x14ac:dyDescent="0.25">
      <c r="L1407" s="1"/>
      <c r="M1407" s="1"/>
    </row>
    <row r="1408" spans="12:13" x14ac:dyDescent="0.25">
      <c r="L1408" s="1"/>
      <c r="M1408" s="1"/>
    </row>
    <row r="1409" spans="12:13" x14ac:dyDescent="0.25">
      <c r="L1409" s="1"/>
      <c r="M1409" s="1"/>
    </row>
    <row r="1410" spans="12:13" x14ac:dyDescent="0.25">
      <c r="L1410" s="1"/>
      <c r="M1410" s="1"/>
    </row>
    <row r="1411" spans="12:13" x14ac:dyDescent="0.25">
      <c r="L1411" s="1"/>
      <c r="M1411" s="1"/>
    </row>
    <row r="1412" spans="12:13" x14ac:dyDescent="0.25">
      <c r="L1412" s="1"/>
      <c r="M1412" s="1"/>
    </row>
    <row r="1413" spans="12:13" x14ac:dyDescent="0.25">
      <c r="L1413" s="1"/>
      <c r="M1413" s="1"/>
    </row>
    <row r="1414" spans="12:13" x14ac:dyDescent="0.25">
      <c r="L1414" s="1"/>
      <c r="M1414" s="1"/>
    </row>
    <row r="1415" spans="12:13" x14ac:dyDescent="0.25">
      <c r="L1415" s="1"/>
      <c r="M1415" s="1"/>
    </row>
    <row r="1416" spans="12:13" x14ac:dyDescent="0.25">
      <c r="L1416" s="1"/>
      <c r="M1416" s="1"/>
    </row>
    <row r="1417" spans="12:13" x14ac:dyDescent="0.25">
      <c r="L1417" s="1"/>
      <c r="M1417" s="1"/>
    </row>
    <row r="1418" spans="12:13" x14ac:dyDescent="0.25">
      <c r="L1418" s="1"/>
      <c r="M1418" s="1"/>
    </row>
    <row r="1419" spans="12:13" x14ac:dyDescent="0.25">
      <c r="L1419" s="1"/>
      <c r="M1419" s="1"/>
    </row>
    <row r="1420" spans="12:13" x14ac:dyDescent="0.25">
      <c r="L1420" s="1"/>
      <c r="M1420" s="1"/>
    </row>
    <row r="1421" spans="12:13" x14ac:dyDescent="0.25">
      <c r="L1421" s="1"/>
    </row>
    <row r="1422" spans="12:13" x14ac:dyDescent="0.25">
      <c r="L1422" s="1"/>
      <c r="M1422" s="1"/>
    </row>
    <row r="1423" spans="12:13" x14ac:dyDescent="0.25">
      <c r="L1423" s="1"/>
    </row>
    <row r="1424" spans="12:13" x14ac:dyDescent="0.25">
      <c r="L1424" s="1"/>
    </row>
    <row r="1425" spans="12:13" x14ac:dyDescent="0.25">
      <c r="L1425" s="1"/>
      <c r="M1425" s="1"/>
    </row>
    <row r="1426" spans="12:13" x14ac:dyDescent="0.25">
      <c r="L1426" s="1"/>
    </row>
    <row r="1427" spans="12:13" x14ac:dyDescent="0.25">
      <c r="L1427" s="1"/>
      <c r="M1427" s="1"/>
    </row>
    <row r="1428" spans="12:13" x14ac:dyDescent="0.25">
      <c r="L1428" s="1"/>
      <c r="M1428" s="1"/>
    </row>
    <row r="1429" spans="12:13" x14ac:dyDescent="0.25">
      <c r="L1429" s="1"/>
    </row>
    <row r="1430" spans="12:13" x14ac:dyDescent="0.25">
      <c r="L1430" s="1"/>
      <c r="M1430" s="1"/>
    </row>
    <row r="1431" spans="12:13" x14ac:dyDescent="0.25">
      <c r="L1431" s="1"/>
      <c r="M1431" s="1"/>
    </row>
    <row r="1432" spans="12:13" x14ac:dyDescent="0.25">
      <c r="L1432" s="1"/>
    </row>
    <row r="1433" spans="12:13" x14ac:dyDescent="0.25">
      <c r="L1433" s="1"/>
      <c r="M1433" s="1"/>
    </row>
    <row r="1434" spans="12:13" x14ac:dyDescent="0.25">
      <c r="L1434" s="1"/>
    </row>
    <row r="1435" spans="12:13" x14ac:dyDescent="0.25">
      <c r="L1435" s="1"/>
    </row>
    <row r="1436" spans="12:13" x14ac:dyDescent="0.25">
      <c r="L1436" s="1"/>
      <c r="M1436" s="1"/>
    </row>
    <row r="1437" spans="12:13" x14ac:dyDescent="0.25">
      <c r="L1437" s="1"/>
      <c r="M1437" s="1"/>
    </row>
    <row r="1438" spans="12:13" x14ac:dyDescent="0.25">
      <c r="L1438" s="1"/>
      <c r="M1438" s="1"/>
    </row>
    <row r="1439" spans="12:13" x14ac:dyDescent="0.25">
      <c r="L1439" s="1"/>
      <c r="M1439" s="1"/>
    </row>
    <row r="1440" spans="12:13" x14ac:dyDescent="0.25">
      <c r="L1440" s="1"/>
      <c r="M1440" s="1"/>
    </row>
    <row r="1441" spans="12:13" x14ac:dyDescent="0.25">
      <c r="L1441" s="1"/>
    </row>
    <row r="1442" spans="12:13" x14ac:dyDescent="0.25">
      <c r="L1442" s="1"/>
      <c r="M1442" s="1"/>
    </row>
    <row r="1443" spans="12:13" x14ac:dyDescent="0.25">
      <c r="L1443" s="1"/>
      <c r="M1443" s="1"/>
    </row>
    <row r="1444" spans="12:13" x14ac:dyDescent="0.25">
      <c r="L1444" s="1"/>
    </row>
    <row r="1445" spans="12:13" x14ac:dyDescent="0.25">
      <c r="L1445" s="1"/>
      <c r="M1445" s="1"/>
    </row>
    <row r="1446" spans="12:13" x14ac:dyDescent="0.25">
      <c r="L1446" s="1"/>
      <c r="M1446" s="1"/>
    </row>
    <row r="1447" spans="12:13" x14ac:dyDescent="0.25">
      <c r="L1447" s="1"/>
      <c r="M1447" s="1"/>
    </row>
    <row r="1448" spans="12:13" x14ac:dyDescent="0.25">
      <c r="L1448" s="1"/>
      <c r="M1448" s="1"/>
    </row>
    <row r="1449" spans="12:13" x14ac:dyDescent="0.25">
      <c r="L1449" s="1"/>
      <c r="M1449" s="1"/>
    </row>
    <row r="1450" spans="12:13" x14ac:dyDescent="0.25">
      <c r="L1450" s="1"/>
      <c r="M1450" s="1"/>
    </row>
    <row r="1451" spans="12:13" x14ac:dyDescent="0.25">
      <c r="L1451" s="1"/>
      <c r="M1451" s="1"/>
    </row>
    <row r="1452" spans="12:13" x14ac:dyDescent="0.25">
      <c r="L1452" s="1"/>
      <c r="M1452" s="1"/>
    </row>
    <row r="1453" spans="12:13" x14ac:dyDescent="0.25">
      <c r="L1453" s="1"/>
      <c r="M1453" s="1"/>
    </row>
    <row r="1454" spans="12:13" x14ac:dyDescent="0.25">
      <c r="L1454" s="1"/>
      <c r="M1454" s="1"/>
    </row>
    <row r="1457" spans="12:13" x14ac:dyDescent="0.25">
      <c r="L1457" s="1"/>
      <c r="M1457" s="1"/>
    </row>
    <row r="1458" spans="12:13" x14ac:dyDescent="0.25">
      <c r="L1458" s="1"/>
      <c r="M1458" s="1"/>
    </row>
    <row r="1459" spans="12:13" x14ac:dyDescent="0.25">
      <c r="L1459" s="1"/>
      <c r="M1459" s="1"/>
    </row>
    <row r="1460" spans="12:13" x14ac:dyDescent="0.25">
      <c r="L1460" s="1"/>
      <c r="M1460" s="1"/>
    </row>
    <row r="1461" spans="12:13" x14ac:dyDescent="0.25">
      <c r="L1461" s="1"/>
      <c r="M1461" s="1"/>
    </row>
    <row r="1474" spans="12:13" x14ac:dyDescent="0.25">
      <c r="L1474" s="1"/>
      <c r="M1474" s="1"/>
    </row>
    <row r="1475" spans="12:13" x14ac:dyDescent="0.25">
      <c r="L1475" s="1"/>
    </row>
    <row r="1476" spans="12:13" x14ac:dyDescent="0.25">
      <c r="L1476" s="1"/>
      <c r="M1476" s="1"/>
    </row>
    <row r="1477" spans="12:13" x14ac:dyDescent="0.25">
      <c r="L1477" s="1"/>
      <c r="M1477" s="1"/>
    </row>
    <row r="1478" spans="12:13" x14ac:dyDescent="0.25">
      <c r="L1478" s="1"/>
      <c r="M1478" s="1"/>
    </row>
    <row r="1479" spans="12:13" x14ac:dyDescent="0.25">
      <c r="L1479" s="1"/>
      <c r="M1479" s="1"/>
    </row>
    <row r="1480" spans="12:13" x14ac:dyDescent="0.25">
      <c r="L1480" s="1"/>
      <c r="M1480" s="1"/>
    </row>
    <row r="1481" spans="12:13" x14ac:dyDescent="0.25">
      <c r="L1481" s="1"/>
      <c r="M1481" s="1"/>
    </row>
    <row r="1482" spans="12:13" x14ac:dyDescent="0.25">
      <c r="L1482" s="1"/>
      <c r="M1482" s="1"/>
    </row>
    <row r="1483" spans="12:13" x14ac:dyDescent="0.25">
      <c r="L1483" s="1"/>
      <c r="M1483" s="1"/>
    </row>
    <row r="1484" spans="12:13" x14ac:dyDescent="0.25">
      <c r="L1484" s="1"/>
      <c r="M1484" s="1"/>
    </row>
    <row r="1485" spans="12:13" x14ac:dyDescent="0.25">
      <c r="L1485" s="1"/>
      <c r="M1485" s="1"/>
    </row>
    <row r="1486" spans="12:13" x14ac:dyDescent="0.25">
      <c r="L1486" s="1"/>
      <c r="M1486" s="1"/>
    </row>
    <row r="1487" spans="12:13" x14ac:dyDescent="0.25">
      <c r="L1487" s="1"/>
      <c r="M1487" s="1"/>
    </row>
    <row r="1488" spans="12:13" x14ac:dyDescent="0.25">
      <c r="L1488" s="1"/>
      <c r="M1488" s="1"/>
    </row>
    <row r="1489" spans="12:13" x14ac:dyDescent="0.25">
      <c r="L1489" s="1"/>
      <c r="M1489" s="1"/>
    </row>
    <row r="1490" spans="12:13" x14ac:dyDescent="0.25">
      <c r="L1490" s="1"/>
      <c r="M1490" s="1"/>
    </row>
    <row r="1491" spans="12:13" x14ac:dyDescent="0.25">
      <c r="L1491" s="1"/>
      <c r="M1491" s="1"/>
    </row>
    <row r="1492" spans="12:13" x14ac:dyDescent="0.25">
      <c r="L1492" s="1"/>
      <c r="M1492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B104"/>
  <sheetViews>
    <sheetView topLeftCell="A10" zoomScale="55" zoomScaleNormal="55" workbookViewId="0">
      <selection activeCell="BN28" sqref="BN28"/>
    </sheetView>
    <sheetView zoomScale="48" zoomScaleNormal="48" workbookViewId="1">
      <selection activeCell="CI47" sqref="CI47"/>
    </sheetView>
    <sheetView workbookViewId="2"/>
  </sheetViews>
  <sheetFormatPr defaultColWidth="3.140625" defaultRowHeight="15" x14ac:dyDescent="0.25"/>
  <cols>
    <col min="1" max="80" width="3.140625" style="4"/>
  </cols>
  <sheetData>
    <row r="1" spans="1:77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</row>
    <row r="2" spans="1:77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x14ac:dyDescent="0.25">
      <c r="A3" s="3"/>
      <c r="B3" s="3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3"/>
      <c r="BX3" s="3"/>
      <c r="BY3" s="3"/>
    </row>
    <row r="4" spans="1:77" ht="18.75" x14ac:dyDescent="0.3">
      <c r="A4" s="3"/>
      <c r="B4" s="3"/>
      <c r="C4" s="5"/>
      <c r="D4" s="5"/>
      <c r="E4" s="5"/>
      <c r="F4" s="5"/>
      <c r="G4" s="6" t="s">
        <v>191</v>
      </c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3"/>
      <c r="BX4" s="3"/>
      <c r="BY4" s="3"/>
    </row>
    <row r="5" spans="1:77" x14ac:dyDescent="0.25">
      <c r="A5" s="3"/>
      <c r="B5" s="3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3"/>
      <c r="BX5" s="3"/>
      <c r="BY5" s="3"/>
    </row>
    <row r="6" spans="1:77" x14ac:dyDescent="0.25">
      <c r="A6" s="3"/>
      <c r="B6" s="3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3"/>
      <c r="BX6" s="3"/>
      <c r="BY6" s="3"/>
    </row>
    <row r="7" spans="1:77" x14ac:dyDescent="0.25">
      <c r="A7" s="3"/>
      <c r="B7" s="3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3"/>
      <c r="BX7" s="3"/>
      <c r="BY7" s="3"/>
    </row>
    <row r="8" spans="1:77" x14ac:dyDescent="0.25">
      <c r="A8" s="3"/>
      <c r="B8" s="3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3"/>
      <c r="BX8" s="3"/>
      <c r="BY8" s="3"/>
    </row>
    <row r="9" spans="1:77" x14ac:dyDescent="0.25">
      <c r="A9" s="3"/>
      <c r="B9" s="3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3"/>
      <c r="BX9" s="3"/>
      <c r="BY9" s="3"/>
    </row>
    <row r="10" spans="1:77" x14ac:dyDescent="0.25">
      <c r="A10" s="3"/>
      <c r="B10" s="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3"/>
      <c r="BX10" s="3"/>
      <c r="BY10" s="3"/>
    </row>
    <row r="11" spans="1:77" x14ac:dyDescent="0.25">
      <c r="A11" s="3"/>
      <c r="B11" s="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3"/>
      <c r="BX11" s="3"/>
      <c r="BY11" s="3"/>
    </row>
    <row r="12" spans="1:77" x14ac:dyDescent="0.25">
      <c r="A12" s="3"/>
      <c r="B12" s="3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3"/>
      <c r="BX12" s="3"/>
      <c r="BY12" s="3"/>
    </row>
    <row r="13" spans="1:77" x14ac:dyDescent="0.25">
      <c r="A13" s="3"/>
      <c r="B13" s="3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3"/>
      <c r="BX13" s="3"/>
      <c r="BY13" s="3"/>
    </row>
    <row r="14" spans="1:77" x14ac:dyDescent="0.25">
      <c r="A14" s="3"/>
      <c r="B14" s="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8"/>
      <c r="BJ14" s="8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3"/>
      <c r="BX14" s="3"/>
      <c r="BY14" s="3"/>
    </row>
    <row r="15" spans="1:77" x14ac:dyDescent="0.25">
      <c r="A15" s="3"/>
      <c r="B15" s="3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8"/>
      <c r="AZ15" s="8"/>
      <c r="BA15" s="8"/>
      <c r="BB15" s="8"/>
      <c r="BC15" s="8"/>
      <c r="BD15" s="8"/>
      <c r="BE15" s="8"/>
      <c r="BF15" s="8"/>
      <c r="BG15" s="5"/>
      <c r="BH15" s="5"/>
      <c r="BI15" s="8"/>
      <c r="BJ15" s="8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3"/>
      <c r="BX15" s="3"/>
      <c r="BY15" s="3"/>
    </row>
    <row r="16" spans="1:77" x14ac:dyDescent="0.25">
      <c r="A16" s="3"/>
      <c r="B16" s="3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8"/>
      <c r="AZ16" s="8"/>
      <c r="BA16" s="8"/>
      <c r="BB16" s="8"/>
      <c r="BC16" s="8"/>
      <c r="BD16" s="8"/>
      <c r="BE16" s="8"/>
      <c r="BF16" s="8"/>
      <c r="BG16" s="5"/>
      <c r="BH16" s="5"/>
      <c r="BI16" s="8"/>
      <c r="BJ16" s="8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3"/>
      <c r="BX16" s="3"/>
      <c r="BY16" s="3"/>
    </row>
    <row r="17" spans="1:77" x14ac:dyDescent="0.25">
      <c r="A17" s="3"/>
      <c r="B17" s="3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3"/>
      <c r="BX17" s="3"/>
      <c r="BY17" s="3"/>
    </row>
    <row r="18" spans="1:77" x14ac:dyDescent="0.25">
      <c r="A18" s="3"/>
      <c r="B18" s="3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8"/>
      <c r="AU18" s="8"/>
      <c r="AV18" s="8"/>
      <c r="AW18" s="8"/>
      <c r="AX18" s="8"/>
      <c r="AY18" s="9"/>
      <c r="AZ18" s="9"/>
      <c r="BA18" s="9"/>
      <c r="BB18" s="9"/>
      <c r="BC18" s="9"/>
      <c r="BD18" s="8"/>
      <c r="BE18" s="8"/>
      <c r="BF18" s="8"/>
      <c r="BG18" s="8"/>
      <c r="BH18" s="8"/>
      <c r="BI18" s="8"/>
      <c r="BJ18" s="8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3"/>
      <c r="BX18" s="3"/>
      <c r="BY18" s="3"/>
    </row>
    <row r="19" spans="1:77" x14ac:dyDescent="0.25">
      <c r="A19" s="3"/>
      <c r="B19" s="3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  <c r="AY19" s="9"/>
      <c r="AZ19" s="9"/>
      <c r="BA19" s="9"/>
      <c r="BB19" s="9"/>
      <c r="BC19" s="9"/>
      <c r="BD19" s="8"/>
      <c r="BE19" s="8"/>
      <c r="BF19" s="8"/>
      <c r="BG19" s="8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3"/>
      <c r="BX19" s="3"/>
      <c r="BY19" s="3"/>
    </row>
    <row r="20" spans="1:77" x14ac:dyDescent="0.25">
      <c r="A20" s="3"/>
      <c r="B20" s="3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  <c r="AY20" s="9"/>
      <c r="AZ20" s="9"/>
      <c r="BA20" s="9"/>
      <c r="BB20" s="9"/>
      <c r="BC20" s="9"/>
      <c r="BD20" s="8"/>
      <c r="BE20" s="8"/>
      <c r="BF20" s="8"/>
      <c r="BG20" s="8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3"/>
      <c r="BX20" s="3"/>
      <c r="BY20" s="3"/>
    </row>
    <row r="21" spans="1:77" x14ac:dyDescent="0.25">
      <c r="A21" s="3"/>
      <c r="B21" s="3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9"/>
      <c r="AW21" s="9"/>
      <c r="AX21" s="9"/>
      <c r="AY21" s="9"/>
      <c r="AZ21" s="9"/>
      <c r="BA21" s="9"/>
      <c r="BB21" s="9"/>
      <c r="BC21" s="9"/>
      <c r="BD21" s="9"/>
      <c r="BE21" s="8"/>
      <c r="BF21" s="8"/>
      <c r="BG21" s="8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3"/>
      <c r="BX21" s="3"/>
      <c r="BY21" s="3"/>
    </row>
    <row r="22" spans="1:77" x14ac:dyDescent="0.25">
      <c r="A22" s="3"/>
      <c r="B22" s="3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9"/>
      <c r="AW22" s="9"/>
      <c r="AX22" s="9"/>
      <c r="AY22" s="9"/>
      <c r="AZ22" s="9"/>
      <c r="BA22" s="9"/>
      <c r="BB22" s="9"/>
      <c r="BC22" s="9"/>
      <c r="BD22" s="9"/>
      <c r="BE22" s="8"/>
      <c r="BF22" s="8"/>
      <c r="BG22" s="8"/>
      <c r="BH22" s="8"/>
      <c r="BI22" s="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3"/>
      <c r="BX22" s="3"/>
      <c r="BY22" s="3"/>
    </row>
    <row r="23" spans="1:77" x14ac:dyDescent="0.25">
      <c r="A23" s="3"/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8"/>
      <c r="BF23" s="8"/>
      <c r="BG23" s="8"/>
      <c r="BH23" s="8"/>
      <c r="BI23" s="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3"/>
      <c r="BX23" s="3"/>
      <c r="BY23" s="3"/>
    </row>
    <row r="24" spans="1:77" x14ac:dyDescent="0.25">
      <c r="A24" s="3"/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8"/>
      <c r="BF24" s="8"/>
      <c r="BG24" s="8"/>
      <c r="BH24" s="8"/>
      <c r="BI24" s="8"/>
      <c r="BJ24" s="8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3"/>
      <c r="BX24" s="3"/>
      <c r="BY24" s="3"/>
    </row>
    <row r="25" spans="1:77" x14ac:dyDescent="0.25">
      <c r="A25" s="3"/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8"/>
      <c r="BF25" s="8"/>
      <c r="BG25" s="8"/>
      <c r="BH25" s="8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3"/>
      <c r="BX25" s="3"/>
      <c r="BY25" s="3"/>
    </row>
    <row r="26" spans="1:77" x14ac:dyDescent="0.25">
      <c r="A26" s="3"/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9"/>
      <c r="P26" s="9"/>
      <c r="Q26" s="9"/>
      <c r="R26" s="9"/>
      <c r="S26" s="9"/>
      <c r="T26" s="9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8"/>
      <c r="BF26" s="8"/>
      <c r="BG26" s="8"/>
      <c r="BH26" s="8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3"/>
      <c r="BX26" s="3"/>
      <c r="BY26" s="3"/>
    </row>
    <row r="27" spans="1:77" x14ac:dyDescent="0.25">
      <c r="A27" s="3"/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9"/>
      <c r="P27" s="9"/>
      <c r="Q27" s="9"/>
      <c r="R27" s="9"/>
      <c r="S27" s="9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9"/>
      <c r="AV27" s="9"/>
      <c r="AW27" s="9"/>
      <c r="AX27" s="9"/>
      <c r="AY27" s="9"/>
      <c r="AZ27" s="9"/>
      <c r="BA27" s="9"/>
      <c r="BB27" s="8"/>
      <c r="BC27" s="8"/>
      <c r="BD27" s="8"/>
      <c r="BE27" s="8"/>
      <c r="BF27" s="8"/>
      <c r="BG27" s="8"/>
      <c r="BH27" s="8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3"/>
      <c r="BX27" s="3"/>
      <c r="BY27" s="3"/>
    </row>
    <row r="28" spans="1:77" x14ac:dyDescent="0.25">
      <c r="A28" s="3"/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9"/>
      <c r="N28" s="9"/>
      <c r="O28" s="9"/>
      <c r="P28" s="9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9"/>
      <c r="AV28" s="9"/>
      <c r="AW28" s="9"/>
      <c r="AX28" s="9"/>
      <c r="AY28" s="9"/>
      <c r="AZ28" s="9"/>
      <c r="BA28" s="9"/>
      <c r="BB28" s="8"/>
      <c r="BC28" s="8"/>
      <c r="BD28" s="8"/>
      <c r="BE28" s="8"/>
      <c r="BF28" s="8"/>
      <c r="BG28" s="8"/>
      <c r="BH28" s="8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3"/>
      <c r="BX28" s="3"/>
      <c r="BY28" s="3"/>
    </row>
    <row r="29" spans="1:77" x14ac:dyDescent="0.25">
      <c r="A29" s="3"/>
      <c r="B29" s="3"/>
      <c r="C29" s="5"/>
      <c r="D29" s="5"/>
      <c r="E29" s="5"/>
      <c r="F29" s="5"/>
      <c r="G29" s="5"/>
      <c r="H29" s="5"/>
      <c r="I29" s="5"/>
      <c r="J29" s="5"/>
      <c r="K29" s="5"/>
      <c r="L29" s="9"/>
      <c r="M29" s="9"/>
      <c r="N29" s="9"/>
      <c r="O29" s="9"/>
      <c r="P29" s="10"/>
      <c r="Q29" s="10"/>
      <c r="R29" s="10"/>
      <c r="S29" s="10"/>
      <c r="T29" s="10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0"/>
      <c r="AP29" s="10"/>
      <c r="AQ29" s="10"/>
      <c r="AR29" s="10"/>
      <c r="AS29" s="10"/>
      <c r="AT29" s="10"/>
      <c r="AU29" s="9"/>
      <c r="AV29" s="9"/>
      <c r="AW29" s="9"/>
      <c r="AX29" s="9"/>
      <c r="AY29" s="9"/>
      <c r="AZ29" s="9"/>
      <c r="BA29" s="9"/>
      <c r="BB29" s="8"/>
      <c r="BC29" s="8"/>
      <c r="BD29" s="8"/>
      <c r="BE29" s="8"/>
      <c r="BF29" s="8"/>
      <c r="BG29" s="8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3"/>
      <c r="BX29" s="3"/>
      <c r="BY29" s="3"/>
    </row>
    <row r="30" spans="1:77" x14ac:dyDescent="0.25">
      <c r="A30" s="3"/>
      <c r="B30" s="3"/>
      <c r="C30" s="5"/>
      <c r="D30" s="5"/>
      <c r="E30" s="5"/>
      <c r="F30" s="5"/>
      <c r="G30" s="5"/>
      <c r="H30" s="5"/>
      <c r="I30" s="9"/>
      <c r="J30" s="9"/>
      <c r="K30" s="9"/>
      <c r="L30" s="9"/>
      <c r="M30" s="9"/>
      <c r="N30" s="9"/>
      <c r="O30" s="9"/>
      <c r="P30" s="10"/>
      <c r="Q30" s="10"/>
      <c r="R30" s="10"/>
      <c r="S30" s="10"/>
      <c r="T30" s="10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0"/>
      <c r="AP30" s="10"/>
      <c r="AQ30" s="10"/>
      <c r="AR30" s="10"/>
      <c r="AS30" s="10"/>
      <c r="AT30" s="10"/>
      <c r="AU30" s="9"/>
      <c r="AV30" s="9"/>
      <c r="AW30" s="9"/>
      <c r="AX30" s="9"/>
      <c r="AY30" s="9"/>
      <c r="AZ30" s="9"/>
      <c r="BA30" s="9"/>
      <c r="BB30" s="8"/>
      <c r="BC30" s="8"/>
      <c r="BD30" s="8"/>
      <c r="BE30" s="8"/>
      <c r="BF30" s="8"/>
      <c r="BG30" s="8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3"/>
      <c r="BX30" s="3"/>
      <c r="BY30" s="3"/>
    </row>
    <row r="31" spans="1:77" x14ac:dyDescent="0.25">
      <c r="A31" s="3"/>
      <c r="B31" s="3"/>
      <c r="C31" s="5"/>
      <c r="D31" s="5"/>
      <c r="E31" s="5"/>
      <c r="F31" s="5"/>
      <c r="G31" s="5"/>
      <c r="H31" s="8"/>
      <c r="I31" s="9"/>
      <c r="J31" s="9"/>
      <c r="K31" s="9"/>
      <c r="L31" s="9"/>
      <c r="M31" s="9"/>
      <c r="N31" s="9"/>
      <c r="O31" s="9"/>
      <c r="P31" s="10"/>
      <c r="Q31" s="10"/>
      <c r="R31" s="10"/>
      <c r="S31" s="10"/>
      <c r="T31" s="10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0"/>
      <c r="AP31" s="10"/>
      <c r="AQ31" s="10"/>
      <c r="AR31" s="10"/>
      <c r="AS31" s="10"/>
      <c r="AT31" s="10"/>
      <c r="AU31" s="9"/>
      <c r="AV31" s="9"/>
      <c r="AW31" s="9"/>
      <c r="AX31" s="9"/>
      <c r="AY31" s="9"/>
      <c r="AZ31" s="9"/>
      <c r="BA31" s="9"/>
      <c r="BB31" s="8"/>
      <c r="BC31" s="8"/>
      <c r="BD31" s="8"/>
      <c r="BE31" s="8"/>
      <c r="BF31" s="8"/>
      <c r="BG31" s="8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3"/>
      <c r="BX31" s="3"/>
      <c r="BY31" s="3"/>
    </row>
    <row r="32" spans="1:77" x14ac:dyDescent="0.25">
      <c r="A32" s="3"/>
      <c r="B32" s="3"/>
      <c r="C32" s="5"/>
      <c r="D32" s="5"/>
      <c r="E32" s="5"/>
      <c r="F32" s="8"/>
      <c r="G32" s="8"/>
      <c r="H32" s="8"/>
      <c r="I32" s="9"/>
      <c r="J32" s="9"/>
      <c r="K32" s="9"/>
      <c r="L32" s="9"/>
      <c r="M32" s="9"/>
      <c r="N32" s="9"/>
      <c r="O32" s="9"/>
      <c r="P32" s="10"/>
      <c r="Q32" s="10"/>
      <c r="R32" s="10"/>
      <c r="S32" s="10"/>
      <c r="T32" s="10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0"/>
      <c r="AP32" s="10"/>
      <c r="AQ32" s="10"/>
      <c r="AR32" s="10"/>
      <c r="AS32" s="10"/>
      <c r="AT32" s="10"/>
      <c r="AU32" s="9"/>
      <c r="AV32" s="9"/>
      <c r="AW32" s="9"/>
      <c r="AX32" s="9"/>
      <c r="AY32" s="9"/>
      <c r="AZ32" s="9"/>
      <c r="BA32" s="9"/>
      <c r="BB32" s="8"/>
      <c r="BC32" s="8"/>
      <c r="BD32" s="8"/>
      <c r="BE32" s="8"/>
      <c r="BF32" s="8"/>
      <c r="BG32" s="8"/>
      <c r="BH32" s="8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3"/>
      <c r="BX32" s="3"/>
      <c r="BY32" s="3"/>
    </row>
    <row r="33" spans="1:77" x14ac:dyDescent="0.25">
      <c r="A33" s="3"/>
      <c r="B33" s="3"/>
      <c r="C33" s="5"/>
      <c r="D33" s="5"/>
      <c r="E33" s="8"/>
      <c r="F33" s="8"/>
      <c r="G33" s="8"/>
      <c r="H33" s="8"/>
      <c r="I33" s="9"/>
      <c r="J33" s="9"/>
      <c r="K33" s="9"/>
      <c r="L33" s="9"/>
      <c r="M33" s="9"/>
      <c r="N33" s="9"/>
      <c r="O33" s="9"/>
      <c r="P33" s="10"/>
      <c r="Q33" s="10"/>
      <c r="R33" s="10"/>
      <c r="S33" s="10"/>
      <c r="T33" s="10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0"/>
      <c r="AP33" s="10"/>
      <c r="AQ33" s="10"/>
      <c r="AR33" s="10"/>
      <c r="AS33" s="10"/>
      <c r="AT33" s="10"/>
      <c r="AU33" s="9"/>
      <c r="AV33" s="9"/>
      <c r="AW33" s="9"/>
      <c r="AX33" s="9"/>
      <c r="AY33" s="9"/>
      <c r="AZ33" s="9"/>
      <c r="BA33" s="9"/>
      <c r="BB33" s="8"/>
      <c r="BC33" s="8"/>
      <c r="BD33" s="8"/>
      <c r="BE33" s="8"/>
      <c r="BF33" s="8"/>
      <c r="BG33" s="8"/>
      <c r="BH33" s="8"/>
      <c r="BI33" s="8"/>
      <c r="BJ33" s="8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3"/>
      <c r="BX33" s="3"/>
      <c r="BY33" s="3"/>
    </row>
    <row r="34" spans="1:77" x14ac:dyDescent="0.25">
      <c r="A34" s="3"/>
      <c r="B34" s="3"/>
      <c r="C34" s="5"/>
      <c r="D34" s="5"/>
      <c r="E34" s="8"/>
      <c r="F34" s="8"/>
      <c r="G34" s="8"/>
      <c r="H34" s="8"/>
      <c r="I34" s="9"/>
      <c r="J34" s="9"/>
      <c r="K34" s="9"/>
      <c r="L34" s="9"/>
      <c r="M34" s="9"/>
      <c r="N34" s="9"/>
      <c r="O34" s="9"/>
      <c r="P34" s="10"/>
      <c r="Q34" s="10"/>
      <c r="R34" s="10"/>
      <c r="S34" s="10"/>
      <c r="T34" s="10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0"/>
      <c r="AP34" s="10"/>
      <c r="AQ34" s="10"/>
      <c r="AR34" s="10"/>
      <c r="AS34" s="10"/>
      <c r="AT34" s="10"/>
      <c r="AU34" s="9"/>
      <c r="AV34" s="9"/>
      <c r="AW34" s="9"/>
      <c r="AX34" s="9"/>
      <c r="AY34" s="9"/>
      <c r="AZ34" s="9"/>
      <c r="BA34" s="9"/>
      <c r="BB34" s="8"/>
      <c r="BC34" s="8"/>
      <c r="BD34" s="8"/>
      <c r="BE34" s="8"/>
      <c r="BF34" s="8"/>
      <c r="BG34" s="8"/>
      <c r="BH34" s="8"/>
      <c r="BI34" s="8"/>
      <c r="BJ34" s="8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3"/>
      <c r="BX34" s="3"/>
      <c r="BY34" s="3"/>
    </row>
    <row r="35" spans="1:77" x14ac:dyDescent="0.25">
      <c r="A35" s="3"/>
      <c r="B35" s="3"/>
      <c r="C35" s="5"/>
      <c r="D35" s="5"/>
      <c r="E35" s="8"/>
      <c r="F35" s="8"/>
      <c r="G35" s="8"/>
      <c r="H35" s="8"/>
      <c r="I35" s="9"/>
      <c r="J35" s="9"/>
      <c r="K35" s="9"/>
      <c r="L35" s="9"/>
      <c r="M35" s="9"/>
      <c r="N35" s="9"/>
      <c r="O35" s="9"/>
      <c r="P35" s="10"/>
      <c r="Q35" s="10"/>
      <c r="R35" s="10"/>
      <c r="S35" s="10"/>
      <c r="T35" s="10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0"/>
      <c r="AP35" s="10"/>
      <c r="AQ35" s="10"/>
      <c r="AR35" s="10"/>
      <c r="AS35" s="10"/>
      <c r="AT35" s="10"/>
      <c r="AU35" s="9"/>
      <c r="AV35" s="9"/>
      <c r="AW35" s="9"/>
      <c r="AX35" s="9"/>
      <c r="AY35" s="9"/>
      <c r="AZ35" s="9"/>
      <c r="BA35" s="9"/>
      <c r="BB35" s="8"/>
      <c r="BC35" s="8"/>
      <c r="BD35" s="8"/>
      <c r="BE35" s="8"/>
      <c r="BF35" s="8"/>
      <c r="BG35" s="8"/>
      <c r="BH35" s="8"/>
      <c r="BI35" s="8"/>
      <c r="BJ35" s="8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3"/>
      <c r="BX35" s="3"/>
      <c r="BY35" s="3"/>
    </row>
    <row r="36" spans="1:77" x14ac:dyDescent="0.25">
      <c r="A36" s="3"/>
      <c r="B36" s="3"/>
      <c r="C36" s="5"/>
      <c r="D36" s="5"/>
      <c r="E36" s="8"/>
      <c r="F36" s="8"/>
      <c r="G36" s="8"/>
      <c r="H36" s="8"/>
      <c r="I36" s="9"/>
      <c r="J36" s="9"/>
      <c r="K36" s="9"/>
      <c r="L36" s="9"/>
      <c r="M36" s="9"/>
      <c r="N36" s="9"/>
      <c r="O36" s="9"/>
      <c r="P36" s="10"/>
      <c r="Q36" s="10"/>
      <c r="R36" s="10"/>
      <c r="S36" s="10"/>
      <c r="T36" s="10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0"/>
      <c r="AP36" s="10"/>
      <c r="AQ36" s="10"/>
      <c r="AR36" s="10"/>
      <c r="AS36" s="10"/>
      <c r="AT36" s="10"/>
      <c r="AU36" s="9"/>
      <c r="AV36" s="9"/>
      <c r="AW36" s="9"/>
      <c r="AX36" s="9"/>
      <c r="AY36" s="9"/>
      <c r="AZ36" s="9"/>
      <c r="BA36" s="9"/>
      <c r="BB36" s="8"/>
      <c r="BC36" s="8"/>
      <c r="BD36" s="8"/>
      <c r="BE36" s="8"/>
      <c r="BF36" s="8"/>
      <c r="BG36" s="8"/>
      <c r="BH36" s="8"/>
      <c r="BI36" s="8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3"/>
      <c r="BX36" s="3"/>
      <c r="BY36" s="3"/>
    </row>
    <row r="37" spans="1:77" x14ac:dyDescent="0.25">
      <c r="A37" s="3"/>
      <c r="B37" s="3"/>
      <c r="C37" s="5"/>
      <c r="D37" s="5"/>
      <c r="E37" s="8"/>
      <c r="F37" s="8"/>
      <c r="G37" s="8"/>
      <c r="H37" s="8"/>
      <c r="I37" s="9"/>
      <c r="J37" s="9"/>
      <c r="K37" s="9"/>
      <c r="L37" s="9"/>
      <c r="M37" s="9"/>
      <c r="N37" s="9"/>
      <c r="O37" s="9"/>
      <c r="P37" s="10"/>
      <c r="Q37" s="10"/>
      <c r="R37" s="10"/>
      <c r="S37" s="10"/>
      <c r="T37" s="10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0"/>
      <c r="AP37" s="10"/>
      <c r="AQ37" s="10"/>
      <c r="AR37" s="10"/>
      <c r="AS37" s="10"/>
      <c r="AT37" s="10"/>
      <c r="AU37" s="9"/>
      <c r="AV37" s="9"/>
      <c r="AW37" s="9"/>
      <c r="AX37" s="9"/>
      <c r="AY37" s="9"/>
      <c r="AZ37" s="9"/>
      <c r="BA37" s="9"/>
      <c r="BB37" s="8"/>
      <c r="BC37" s="8"/>
      <c r="BD37" s="8"/>
      <c r="BE37" s="8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3"/>
      <c r="BX37" s="3"/>
      <c r="BY37" s="3"/>
    </row>
    <row r="38" spans="1:77" x14ac:dyDescent="0.25">
      <c r="A38" s="3"/>
      <c r="B38" s="3"/>
      <c r="C38" s="5"/>
      <c r="D38" s="5"/>
      <c r="E38" s="8"/>
      <c r="F38" s="8"/>
      <c r="G38" s="8"/>
      <c r="H38" s="8"/>
      <c r="I38" s="9"/>
      <c r="J38" s="9"/>
      <c r="K38" s="9"/>
      <c r="L38" s="9"/>
      <c r="M38" s="9"/>
      <c r="N38" s="9"/>
      <c r="O38" s="9"/>
      <c r="P38" s="10"/>
      <c r="Q38" s="10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0"/>
      <c r="AP38" s="10"/>
      <c r="AQ38" s="10"/>
      <c r="AR38" s="10"/>
      <c r="AS38" s="10"/>
      <c r="AT38" s="10"/>
      <c r="AU38" s="9"/>
      <c r="AV38" s="9"/>
      <c r="AW38" s="9"/>
      <c r="AX38" s="9"/>
      <c r="AY38" s="9"/>
      <c r="AZ38" s="9"/>
      <c r="BA38" s="9"/>
      <c r="BB38" s="8"/>
      <c r="BC38" s="8"/>
      <c r="BD38" s="8"/>
      <c r="BE38" s="8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3"/>
      <c r="BX38" s="3"/>
      <c r="BY38" s="3"/>
    </row>
    <row r="39" spans="1:77" x14ac:dyDescent="0.25">
      <c r="A39" s="3"/>
      <c r="B39" s="3"/>
      <c r="C39" s="5"/>
      <c r="D39" s="5"/>
      <c r="E39" s="8"/>
      <c r="F39" s="8"/>
      <c r="G39" s="8"/>
      <c r="H39" s="8"/>
      <c r="I39" s="9"/>
      <c r="J39" s="9"/>
      <c r="K39" s="9"/>
      <c r="L39" s="9"/>
      <c r="M39" s="9"/>
      <c r="N39" s="9"/>
      <c r="O39" s="9"/>
      <c r="P39" s="10"/>
      <c r="Q39" s="10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0"/>
      <c r="AP39" s="10"/>
      <c r="AQ39" s="10"/>
      <c r="AR39" s="10"/>
      <c r="AS39" s="9"/>
      <c r="AT39" s="9"/>
      <c r="AU39" s="9"/>
      <c r="AV39" s="9"/>
      <c r="AW39" s="9"/>
      <c r="AX39" s="9"/>
      <c r="AY39" s="9"/>
      <c r="AZ39" s="9"/>
      <c r="BA39" s="9"/>
      <c r="BB39" s="8"/>
      <c r="BC39" s="8"/>
      <c r="BD39" s="8"/>
      <c r="BE39" s="8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3"/>
      <c r="BX39" s="3"/>
      <c r="BY39" s="3"/>
    </row>
    <row r="40" spans="1:77" x14ac:dyDescent="0.25">
      <c r="A40" s="3"/>
      <c r="B40" s="3"/>
      <c r="C40" s="5"/>
      <c r="D40" s="5"/>
      <c r="E40" s="8"/>
      <c r="F40" s="8"/>
      <c r="G40" s="8"/>
      <c r="H40" s="8"/>
      <c r="I40" s="9"/>
      <c r="J40" s="9"/>
      <c r="K40" s="9"/>
      <c r="L40" s="9"/>
      <c r="M40" s="9"/>
      <c r="N40" s="9"/>
      <c r="O40" s="9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9"/>
      <c r="AT40" s="9"/>
      <c r="AU40" s="9"/>
      <c r="AV40" s="9"/>
      <c r="AW40" s="9"/>
      <c r="AX40" s="9"/>
      <c r="AY40" s="9"/>
      <c r="AZ40" s="9"/>
      <c r="BA40" s="9"/>
      <c r="BB40" s="8"/>
      <c r="BC40" s="8"/>
      <c r="BD40" s="8"/>
      <c r="BE40" s="8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3"/>
      <c r="BX40" s="3"/>
      <c r="BY40" s="3"/>
    </row>
    <row r="41" spans="1:77" x14ac:dyDescent="0.25">
      <c r="A41" s="3"/>
      <c r="B41" s="3"/>
      <c r="C41" s="5"/>
      <c r="D41" s="5"/>
      <c r="E41" s="8"/>
      <c r="F41" s="8"/>
      <c r="G41" s="8"/>
      <c r="H41" s="8"/>
      <c r="I41" s="9"/>
      <c r="J41" s="9"/>
      <c r="K41" s="9"/>
      <c r="L41" s="9"/>
      <c r="M41" s="9"/>
      <c r="N41" s="9"/>
      <c r="O41" s="9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9"/>
      <c r="AT41" s="9"/>
      <c r="AU41" s="9"/>
      <c r="AV41" s="9"/>
      <c r="AW41" s="9"/>
      <c r="AX41" s="9"/>
      <c r="AY41" s="9"/>
      <c r="AZ41" s="9"/>
      <c r="BA41" s="9"/>
      <c r="BB41" s="8"/>
      <c r="BC41" s="8"/>
      <c r="BD41" s="8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3"/>
      <c r="BX41" s="3"/>
      <c r="BY41" s="3"/>
    </row>
    <row r="42" spans="1:77" x14ac:dyDescent="0.25">
      <c r="A42" s="3"/>
      <c r="B42" s="3"/>
      <c r="C42" s="5"/>
      <c r="D42" s="5"/>
      <c r="E42" s="5"/>
      <c r="F42" s="8"/>
      <c r="G42" s="8"/>
      <c r="H42" s="8"/>
      <c r="I42" s="9"/>
      <c r="J42" s="9"/>
      <c r="K42" s="9"/>
      <c r="L42" s="9"/>
      <c r="M42" s="9"/>
      <c r="N42" s="9"/>
      <c r="O42" s="9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9"/>
      <c r="AT42" s="9"/>
      <c r="AU42" s="9"/>
      <c r="AV42" s="9"/>
      <c r="AW42" s="9"/>
      <c r="AX42" s="9"/>
      <c r="AY42" s="9"/>
      <c r="AZ42" s="9"/>
      <c r="BA42" s="9"/>
      <c r="BB42" s="8"/>
      <c r="BC42" s="8"/>
      <c r="BD42" s="8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3"/>
      <c r="BX42" s="3"/>
      <c r="BY42" s="3"/>
    </row>
    <row r="43" spans="1:77" x14ac:dyDescent="0.25">
      <c r="A43" s="3"/>
      <c r="B43" s="3"/>
      <c r="C43" s="5"/>
      <c r="D43" s="5"/>
      <c r="E43" s="5"/>
      <c r="F43" s="5"/>
      <c r="G43" s="8"/>
      <c r="H43" s="8"/>
      <c r="I43" s="9"/>
      <c r="J43" s="9"/>
      <c r="K43" s="9"/>
      <c r="L43" s="9"/>
      <c r="M43" s="9"/>
      <c r="N43" s="9"/>
      <c r="O43" s="9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9"/>
      <c r="AT43" s="9"/>
      <c r="AU43" s="9"/>
      <c r="AV43" s="9"/>
      <c r="AW43" s="9"/>
      <c r="AX43" s="9"/>
      <c r="AY43" s="8"/>
      <c r="AZ43" s="8"/>
      <c r="BA43" s="8"/>
      <c r="BB43" s="8"/>
      <c r="BC43" s="8"/>
      <c r="BD43" s="8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3"/>
      <c r="BX43" s="3"/>
      <c r="BY43" s="3"/>
    </row>
    <row r="44" spans="1:77" x14ac:dyDescent="0.25">
      <c r="A44" s="3"/>
      <c r="B44" s="3"/>
      <c r="C44" s="5"/>
      <c r="D44" s="5"/>
      <c r="E44" s="5"/>
      <c r="F44" s="5"/>
      <c r="G44" s="5"/>
      <c r="H44" s="8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8"/>
      <c r="AZ44" s="8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3"/>
      <c r="BX44" s="3"/>
      <c r="BY44" s="3"/>
    </row>
    <row r="45" spans="1:77" x14ac:dyDescent="0.25">
      <c r="A45" s="3"/>
      <c r="B45" s="3"/>
      <c r="C45" s="5"/>
      <c r="D45" s="5"/>
      <c r="E45" s="5"/>
      <c r="F45" s="5"/>
      <c r="G45" s="5"/>
      <c r="H45" s="5"/>
      <c r="I45" s="5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8"/>
      <c r="AZ45" s="8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3"/>
      <c r="BX45" s="3"/>
      <c r="BY45" s="3"/>
    </row>
    <row r="46" spans="1:77" x14ac:dyDescent="0.25">
      <c r="A46" s="3"/>
      <c r="B46" s="3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8"/>
      <c r="AZ46" s="8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3"/>
      <c r="BX46" s="3"/>
      <c r="BY46" s="3"/>
    </row>
    <row r="47" spans="1:77" x14ac:dyDescent="0.25">
      <c r="A47" s="3"/>
      <c r="B47" s="3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8"/>
      <c r="AZ47" s="8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3"/>
      <c r="BX47" s="3"/>
      <c r="BY47" s="3"/>
    </row>
    <row r="48" spans="1:77" x14ac:dyDescent="0.25">
      <c r="A48" s="3"/>
      <c r="B48" s="3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8"/>
      <c r="AZ48" s="8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3"/>
      <c r="BX48" s="3"/>
      <c r="BY48" s="3"/>
    </row>
    <row r="49" spans="1:77" x14ac:dyDescent="0.25">
      <c r="A49" s="3"/>
      <c r="B49" s="3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8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3"/>
      <c r="BX49" s="3"/>
      <c r="BY49" s="3"/>
    </row>
    <row r="50" spans="1:77" x14ac:dyDescent="0.25">
      <c r="A50" s="3"/>
      <c r="B50" s="3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8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3"/>
      <c r="BX50" s="3"/>
      <c r="BY50" s="3"/>
    </row>
    <row r="51" spans="1:77" x14ac:dyDescent="0.25">
      <c r="A51" s="3"/>
      <c r="B51" s="3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3"/>
      <c r="BX51" s="3"/>
      <c r="BY51" s="3"/>
    </row>
    <row r="52" spans="1:77" x14ac:dyDescent="0.25">
      <c r="A52" s="3"/>
      <c r="B52" s="3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3"/>
      <c r="BX52" s="3"/>
      <c r="BY52" s="3"/>
    </row>
    <row r="53" spans="1:77" x14ac:dyDescent="0.25">
      <c r="A53" s="3"/>
      <c r="B53" s="3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3"/>
      <c r="BX53" s="3"/>
      <c r="BY53" s="3"/>
    </row>
    <row r="54" spans="1:77" x14ac:dyDescent="0.25">
      <c r="A54" s="3"/>
      <c r="B54" s="3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3"/>
      <c r="BX54" s="3"/>
      <c r="BY54" s="3"/>
    </row>
    <row r="55" spans="1:77" x14ac:dyDescent="0.25">
      <c r="A55" s="3"/>
      <c r="B55" s="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3"/>
      <c r="BX55" s="3"/>
      <c r="BY55" s="3"/>
    </row>
    <row r="56" spans="1:77" x14ac:dyDescent="0.25">
      <c r="A56" s="3"/>
      <c r="B56" s="3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3"/>
      <c r="BX56" s="3"/>
      <c r="BY56" s="3"/>
    </row>
    <row r="57" spans="1:77" x14ac:dyDescent="0.25">
      <c r="A57" s="3"/>
      <c r="B57" s="3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3"/>
      <c r="BX57" s="3"/>
      <c r="BY57" s="3"/>
    </row>
    <row r="58" spans="1:77" x14ac:dyDescent="0.25">
      <c r="A58" s="3"/>
      <c r="B58" s="3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3"/>
      <c r="BX58" s="3"/>
      <c r="BY58" s="3"/>
    </row>
    <row r="59" spans="1:77" x14ac:dyDescent="0.25">
      <c r="A59" s="3"/>
      <c r="B59" s="3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3"/>
      <c r="BX59" s="3"/>
      <c r="BY59" s="3"/>
    </row>
    <row r="60" spans="1:77" x14ac:dyDescent="0.25">
      <c r="A60" s="3"/>
      <c r="B60" s="3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3"/>
      <c r="BX60" s="3"/>
      <c r="BY60" s="3"/>
    </row>
    <row r="61" spans="1:77" x14ac:dyDescent="0.25">
      <c r="A61" s="3"/>
      <c r="B61" s="3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3"/>
      <c r="BX61" s="3"/>
      <c r="BY61" s="3"/>
    </row>
    <row r="62" spans="1:77" x14ac:dyDescent="0.25">
      <c r="A62" s="3"/>
      <c r="B62" s="3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3"/>
      <c r="BX62" s="3"/>
      <c r="BY62" s="3"/>
    </row>
    <row r="63" spans="1:77" x14ac:dyDescent="0.25">
      <c r="A63" s="3"/>
      <c r="B63" s="3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3"/>
      <c r="BX63" s="3"/>
      <c r="BY63" s="3"/>
    </row>
    <row r="64" spans="1:77" x14ac:dyDescent="0.25">
      <c r="A64" s="3"/>
      <c r="B64" s="3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3"/>
      <c r="BX64" s="3"/>
      <c r="BY64" s="3"/>
    </row>
    <row r="65" spans="1:77" x14ac:dyDescent="0.25">
      <c r="A65" s="3"/>
      <c r="B65" s="3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3"/>
      <c r="BX65" s="3"/>
      <c r="BY65" s="3"/>
    </row>
    <row r="66" spans="1:77" x14ac:dyDescent="0.25">
      <c r="A66" s="3"/>
      <c r="B66" s="3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3"/>
      <c r="BX66" s="3"/>
      <c r="BY66" s="3"/>
    </row>
    <row r="67" spans="1:77" x14ac:dyDescent="0.25">
      <c r="A67" s="3"/>
      <c r="B67" s="3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3"/>
      <c r="BX67" s="3"/>
      <c r="BY67" s="3"/>
    </row>
    <row r="68" spans="1:77" x14ac:dyDescent="0.25">
      <c r="A68" s="3"/>
      <c r="B68" s="3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3"/>
      <c r="BX68" s="3"/>
      <c r="BY68" s="3"/>
    </row>
    <row r="69" spans="1:77" x14ac:dyDescent="0.25">
      <c r="A69" s="3"/>
      <c r="B69" s="3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3"/>
      <c r="BX69" s="3"/>
      <c r="BY69" s="3"/>
    </row>
    <row r="70" spans="1:77" x14ac:dyDescent="0.25">
      <c r="A70" s="3"/>
      <c r="B70" s="3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3"/>
      <c r="BX70" s="3"/>
      <c r="BY70" s="3"/>
    </row>
    <row r="71" spans="1:77" x14ac:dyDescent="0.25">
      <c r="A71" s="3"/>
      <c r="B71" s="3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3"/>
      <c r="BX71" s="3"/>
      <c r="BY71" s="3"/>
    </row>
    <row r="72" spans="1:77" x14ac:dyDescent="0.25">
      <c r="A72" s="3"/>
      <c r="B72" s="3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3"/>
      <c r="BX72" s="3"/>
      <c r="BY72" s="3"/>
    </row>
    <row r="73" spans="1:77" x14ac:dyDescent="0.25">
      <c r="A73" s="3"/>
      <c r="B73" s="3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12"/>
      <c r="BA73" s="12"/>
      <c r="BB73" s="12"/>
      <c r="BC73" s="5"/>
      <c r="BD73" s="5"/>
      <c r="BE73" s="5"/>
      <c r="BF73" s="12"/>
      <c r="BG73" s="12"/>
      <c r="BH73" s="12"/>
      <c r="BI73" s="12"/>
      <c r="BJ73" s="12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3"/>
      <c r="BX73" s="3"/>
      <c r="BY73" s="3"/>
    </row>
    <row r="74" spans="1:77" x14ac:dyDescent="0.25">
      <c r="A74" s="3"/>
      <c r="B74" s="3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12"/>
      <c r="BB74" s="12"/>
      <c r="BC74" s="5"/>
      <c r="BD74" s="5"/>
      <c r="BE74" s="5"/>
      <c r="BF74" s="5"/>
      <c r="BG74" s="13"/>
      <c r="BH74" s="12"/>
      <c r="BI74" s="12"/>
      <c r="BJ74" s="12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3"/>
      <c r="BX74" s="3"/>
      <c r="BY74" s="3"/>
    </row>
    <row r="75" spans="1:77" x14ac:dyDescent="0.25">
      <c r="A75" s="3"/>
      <c r="B75" s="3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3"/>
      <c r="BX75" s="3"/>
      <c r="BY75" s="3"/>
    </row>
    <row r="76" spans="1:77" x14ac:dyDescent="0.25">
      <c r="A76" s="3"/>
      <c r="B76" s="3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3"/>
      <c r="BX76" s="3"/>
      <c r="BY76" s="3"/>
    </row>
    <row r="77" spans="1:77" x14ac:dyDescent="0.25">
      <c r="A77" s="3"/>
      <c r="B77" s="3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3"/>
      <c r="BX77" s="3"/>
      <c r="BY77" s="3"/>
    </row>
    <row r="78" spans="1:77" x14ac:dyDescent="0.25">
      <c r="A78" s="3"/>
      <c r="B78" s="3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3"/>
      <c r="BX78" s="3"/>
      <c r="BY78" s="3"/>
    </row>
    <row r="79" spans="1:77" x14ac:dyDescent="0.25">
      <c r="A79" s="3"/>
      <c r="B79" s="3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3"/>
      <c r="BX79" s="3"/>
      <c r="BY79" s="3"/>
    </row>
    <row r="80" spans="1:77" x14ac:dyDescent="0.25">
      <c r="A80" s="3"/>
      <c r="B80" s="3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3"/>
      <c r="BX80" s="3"/>
      <c r="BY80" s="3"/>
    </row>
    <row r="81" spans="1:77" x14ac:dyDescent="0.25">
      <c r="A81" s="3"/>
      <c r="B81" s="3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3"/>
      <c r="BX81" s="3"/>
      <c r="BY81" s="3"/>
    </row>
    <row r="82" spans="1:77" x14ac:dyDescent="0.25">
      <c r="A82" s="3"/>
      <c r="B82" s="3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3"/>
      <c r="BX82" s="3"/>
      <c r="BY82" s="3"/>
    </row>
    <row r="83" spans="1:77" x14ac:dyDescent="0.25">
      <c r="A83" s="3"/>
      <c r="B83" s="3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3"/>
      <c r="BX83" s="3"/>
      <c r="BY83" s="3"/>
    </row>
    <row r="84" spans="1:77" x14ac:dyDescent="0.25">
      <c r="A84" s="3"/>
      <c r="B84" s="3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3"/>
      <c r="BX84" s="3"/>
      <c r="BY84" s="3"/>
    </row>
    <row r="85" spans="1:77" x14ac:dyDescent="0.25">
      <c r="A85" s="3"/>
      <c r="B85" s="3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3"/>
      <c r="BX85" s="3"/>
      <c r="BY85" s="3"/>
    </row>
    <row r="86" spans="1:77" x14ac:dyDescent="0.25">
      <c r="A86" s="3"/>
      <c r="B86" s="3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3"/>
      <c r="BX86" s="3"/>
      <c r="BY86" s="3"/>
    </row>
    <row r="87" spans="1:77" x14ac:dyDescent="0.25">
      <c r="A87" s="3"/>
      <c r="B87" s="3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3"/>
      <c r="BX87" s="3"/>
      <c r="BY87" s="3"/>
    </row>
    <row r="88" spans="1:77" x14ac:dyDescent="0.25">
      <c r="A88" s="3"/>
      <c r="B88" s="3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3"/>
      <c r="BX88" s="3"/>
      <c r="BY88" s="3"/>
    </row>
    <row r="89" spans="1:77" x14ac:dyDescent="0.25">
      <c r="A89" s="3"/>
      <c r="B89" s="3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3"/>
      <c r="BX89" s="3"/>
      <c r="BY89" s="3"/>
    </row>
    <row r="90" spans="1:77" x14ac:dyDescent="0.25">
      <c r="A90" s="3"/>
      <c r="B90" s="3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3"/>
      <c r="BX90" s="3"/>
      <c r="BY90" s="3"/>
    </row>
    <row r="91" spans="1:77" x14ac:dyDescent="0.25">
      <c r="A91" s="3"/>
      <c r="B91" s="3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3"/>
      <c r="BX91" s="3"/>
      <c r="BY91" s="3"/>
    </row>
    <row r="92" spans="1:77" x14ac:dyDescent="0.25">
      <c r="A92" s="3"/>
      <c r="B92" s="3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3"/>
      <c r="BX92" s="3"/>
      <c r="BY92" s="3"/>
    </row>
    <row r="93" spans="1:77" x14ac:dyDescent="0.25">
      <c r="A93" s="3"/>
      <c r="B93" s="3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3"/>
      <c r="BX93" s="3"/>
      <c r="BY93" s="3"/>
    </row>
    <row r="94" spans="1:77" x14ac:dyDescent="0.25">
      <c r="A94" s="3"/>
      <c r="B94" s="3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3"/>
      <c r="BX94" s="3"/>
      <c r="BY94" s="3"/>
    </row>
    <row r="95" spans="1:77" x14ac:dyDescent="0.25">
      <c r="A95" s="3"/>
      <c r="B95" s="3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3"/>
      <c r="BX95" s="3"/>
      <c r="BY95" s="3"/>
    </row>
    <row r="96" spans="1:77" x14ac:dyDescent="0.25">
      <c r="A96" s="3"/>
      <c r="B96" s="3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3"/>
      <c r="BX96" s="3"/>
      <c r="BY96" s="3"/>
    </row>
    <row r="97" spans="1:77" x14ac:dyDescent="0.25">
      <c r="A97" s="3"/>
      <c r="B97" s="3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3"/>
      <c r="BX97" s="3"/>
      <c r="BY97" s="3"/>
    </row>
    <row r="98" spans="1:77" x14ac:dyDescent="0.25">
      <c r="A98" s="3"/>
      <c r="B98" s="3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3"/>
      <c r="BX98" s="3"/>
      <c r="BY98" s="3"/>
    </row>
    <row r="99" spans="1:77" x14ac:dyDescent="0.25">
      <c r="A99" s="3"/>
      <c r="B99" s="3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3"/>
      <c r="BX99" s="3"/>
      <c r="BY99" s="3"/>
    </row>
    <row r="100" spans="1:77" x14ac:dyDescent="0.25">
      <c r="A100" s="3"/>
      <c r="B100" s="3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3"/>
      <c r="BX100" s="3"/>
      <c r="BY100" s="3"/>
    </row>
    <row r="101" spans="1:77" x14ac:dyDescent="0.25">
      <c r="A101" s="3"/>
      <c r="B101" s="3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3"/>
      <c r="BX101" s="3"/>
      <c r="BY101" s="3"/>
    </row>
    <row r="102" spans="1:77" x14ac:dyDescent="0.25">
      <c r="A102" s="3"/>
      <c r="B102" s="3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3"/>
      <c r="BX102" s="3"/>
      <c r="BY102" s="3"/>
    </row>
    <row r="103" spans="1:77" x14ac:dyDescent="0.25">
      <c r="A103" s="3"/>
      <c r="B103" s="3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3"/>
      <c r="BX103" s="3"/>
      <c r="BY103" s="3"/>
    </row>
    <row r="104" spans="1:77" x14ac:dyDescent="0.25">
      <c r="A104" s="3"/>
      <c r="B104" s="3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3"/>
      <c r="BX104" s="3"/>
      <c r="BY104" s="3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M117"/>
  <sheetViews>
    <sheetView tabSelected="1" zoomScale="41" zoomScaleNormal="41" workbookViewId="0">
      <selection activeCell="CC78" sqref="CC78"/>
    </sheetView>
    <sheetView topLeftCell="A22" zoomScale="44" zoomScaleNormal="44" workbookViewId="1">
      <selection activeCell="CM115" sqref="CM115"/>
    </sheetView>
    <sheetView tabSelected="1" topLeftCell="A4" zoomScale="39" zoomScaleNormal="39" workbookViewId="2">
      <selection activeCell="BS15" sqref="BS15"/>
    </sheetView>
  </sheetViews>
  <sheetFormatPr defaultColWidth="3.140625" defaultRowHeight="15" x14ac:dyDescent="0.25"/>
  <sheetData>
    <row r="1" spans="1:72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</row>
    <row r="2" spans="1:72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</row>
    <row r="3" spans="1:72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</row>
    <row r="4" spans="1:72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</row>
    <row r="5" spans="1:7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</row>
    <row r="6" spans="1:72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8"/>
      <c r="BH6" s="8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</row>
    <row r="7" spans="1:72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8"/>
      <c r="AX7" s="8"/>
      <c r="AY7" s="8"/>
      <c r="AZ7" s="8"/>
      <c r="BA7" s="8"/>
      <c r="BB7" s="8"/>
      <c r="BC7" s="8"/>
      <c r="BD7" s="8"/>
      <c r="BE7" s="5"/>
      <c r="BF7" s="5"/>
      <c r="BG7" s="8"/>
      <c r="BH7" s="8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</row>
    <row r="8" spans="1:72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8"/>
      <c r="AX8" s="8"/>
      <c r="AY8" s="8"/>
      <c r="AZ8" s="8"/>
      <c r="BA8" s="8"/>
      <c r="BB8" s="8"/>
      <c r="BC8" s="8"/>
      <c r="BD8" s="8"/>
      <c r="BE8" s="5"/>
      <c r="BF8" s="5"/>
      <c r="BG8" s="8"/>
      <c r="BH8" s="8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</row>
    <row r="9" spans="1:72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</row>
    <row r="10" spans="1:72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8"/>
      <c r="AS10" s="8"/>
      <c r="AT10" s="8"/>
      <c r="AU10" s="8"/>
      <c r="AV10" s="8"/>
      <c r="AW10" s="9"/>
      <c r="AX10" s="9"/>
      <c r="AY10" s="9"/>
      <c r="AZ10" s="9"/>
      <c r="BA10" s="9"/>
      <c r="BB10" s="8"/>
      <c r="BC10" s="8"/>
      <c r="BD10" s="8"/>
      <c r="BE10" s="8"/>
      <c r="BF10" s="8"/>
      <c r="BG10" s="8"/>
      <c r="BH10" s="8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</row>
    <row r="11" spans="1:7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9"/>
      <c r="AW11" s="9"/>
      <c r="AX11" s="9"/>
      <c r="AY11" s="9"/>
      <c r="AZ11" s="9"/>
      <c r="BA11" s="9"/>
      <c r="BB11" s="8"/>
      <c r="BC11" s="8"/>
      <c r="BD11" s="8"/>
      <c r="BE11" s="8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</row>
    <row r="12" spans="1:7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9"/>
      <c r="AW12" s="9"/>
      <c r="AX12" s="9"/>
      <c r="AY12" s="9"/>
      <c r="AZ12" s="9"/>
      <c r="BA12" s="9"/>
      <c r="BB12" s="8"/>
      <c r="BC12" s="8"/>
      <c r="BD12" s="8"/>
      <c r="BE12" s="8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</row>
    <row r="13" spans="1:72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9"/>
      <c r="AU13" s="9"/>
      <c r="AV13" s="9"/>
      <c r="AW13" s="9"/>
      <c r="AX13" s="9"/>
      <c r="AY13" s="9"/>
      <c r="AZ13" s="9"/>
      <c r="BA13" s="9"/>
      <c r="BB13" s="9"/>
      <c r="BC13" s="8"/>
      <c r="BD13" s="8"/>
      <c r="BE13" s="8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</row>
    <row r="14" spans="1:72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9"/>
      <c r="AU14" s="9"/>
      <c r="AV14" s="9"/>
      <c r="AW14" s="9"/>
      <c r="AX14" s="9"/>
      <c r="AY14" s="9"/>
      <c r="AZ14" s="9"/>
      <c r="BA14" s="9"/>
      <c r="BB14" s="9"/>
      <c r="BC14" s="8"/>
      <c r="BD14" s="8"/>
      <c r="BE14" s="8"/>
      <c r="BF14" s="8"/>
      <c r="BG14" s="8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</row>
    <row r="15" spans="1:72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8"/>
      <c r="BD15" s="8"/>
      <c r="BE15" s="8"/>
      <c r="BF15" s="8"/>
      <c r="BG15" s="8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</row>
    <row r="16" spans="1:72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8"/>
      <c r="BD16" s="8"/>
      <c r="BE16" s="8"/>
      <c r="BF16" s="8"/>
      <c r="BG16" s="8"/>
      <c r="BH16" s="8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</row>
    <row r="17" spans="1:7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8"/>
      <c r="BD17" s="8"/>
      <c r="BE17" s="8"/>
      <c r="BF17" s="8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</row>
    <row r="18" spans="1:7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9"/>
      <c r="N18" s="9"/>
      <c r="O18" s="9"/>
      <c r="P18" s="9"/>
      <c r="Q18" s="9"/>
      <c r="R18" s="9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8"/>
      <c r="BD18" s="8"/>
      <c r="BE18" s="8"/>
      <c r="BF18" s="8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</row>
    <row r="19" spans="1:72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9"/>
      <c r="N19" s="9"/>
      <c r="O19" s="9"/>
      <c r="P19" s="9"/>
      <c r="Q19" s="9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9"/>
      <c r="AT19" s="9"/>
      <c r="AU19" s="9"/>
      <c r="AV19" s="9"/>
      <c r="AW19" s="9"/>
      <c r="AX19" s="9"/>
      <c r="AY19" s="9"/>
      <c r="AZ19" s="8"/>
      <c r="BA19" s="8"/>
      <c r="BB19" s="8"/>
      <c r="BC19" s="8"/>
      <c r="BD19" s="8"/>
      <c r="BE19" s="8"/>
      <c r="BF19" s="8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</row>
    <row r="20" spans="1:72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9"/>
      <c r="L20" s="9"/>
      <c r="M20" s="9"/>
      <c r="N20" s="9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9"/>
      <c r="AT20" s="9"/>
      <c r="AU20" s="9"/>
      <c r="AV20" s="9"/>
      <c r="AW20" s="9"/>
      <c r="AX20" s="9"/>
      <c r="AY20" s="9"/>
      <c r="AZ20" s="8"/>
      <c r="BA20" s="8"/>
      <c r="BB20" s="8"/>
      <c r="BC20" s="8"/>
      <c r="BD20" s="8"/>
      <c r="BE20" s="8"/>
      <c r="BF20" s="8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</row>
    <row r="21" spans="1:72" x14ac:dyDescent="0.25">
      <c r="A21" s="5"/>
      <c r="B21" s="5"/>
      <c r="C21" s="5"/>
      <c r="D21" s="5"/>
      <c r="E21" s="5"/>
      <c r="F21" s="5"/>
      <c r="G21" s="5"/>
      <c r="H21" s="5"/>
      <c r="I21" s="5"/>
      <c r="J21" s="9"/>
      <c r="K21" s="9"/>
      <c r="L21" s="9"/>
      <c r="M21" s="9"/>
      <c r="N21" s="10"/>
      <c r="O21" s="10"/>
      <c r="P21" s="10"/>
      <c r="Q21" s="10"/>
      <c r="R21" s="10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0"/>
      <c r="AN21" s="10"/>
      <c r="AO21" s="10"/>
      <c r="AP21" s="10"/>
      <c r="AQ21" s="10"/>
      <c r="AR21" s="10"/>
      <c r="AS21" s="9"/>
      <c r="AT21" s="9"/>
      <c r="AU21" s="9"/>
      <c r="AV21" s="9"/>
      <c r="AW21" s="9"/>
      <c r="AX21" s="9"/>
      <c r="AY21" s="9"/>
      <c r="AZ21" s="8"/>
      <c r="BA21" s="8"/>
      <c r="BB21" s="8"/>
      <c r="BC21" s="8"/>
      <c r="BD21" s="8"/>
      <c r="BE21" s="8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</row>
    <row r="22" spans="1:72" x14ac:dyDescent="0.25">
      <c r="A22" s="5"/>
      <c r="B22" s="5"/>
      <c r="C22" s="5"/>
      <c r="D22" s="5"/>
      <c r="E22" s="5"/>
      <c r="F22" s="5"/>
      <c r="G22" s="9"/>
      <c r="H22" s="9"/>
      <c r="I22" s="9"/>
      <c r="J22" s="9"/>
      <c r="K22" s="9"/>
      <c r="L22" s="9"/>
      <c r="M22" s="9"/>
      <c r="N22" s="10"/>
      <c r="O22" s="10"/>
      <c r="P22" s="10"/>
      <c r="Q22" s="10"/>
      <c r="R22" s="10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0"/>
      <c r="AN22" s="10"/>
      <c r="AO22" s="10"/>
      <c r="AP22" s="10"/>
      <c r="AQ22" s="10"/>
      <c r="AR22" s="10"/>
      <c r="AS22" s="9"/>
      <c r="AT22" s="9"/>
      <c r="AU22" s="9"/>
      <c r="AV22" s="9"/>
      <c r="AW22" s="9"/>
      <c r="AX22" s="9"/>
      <c r="AY22" s="9"/>
      <c r="AZ22" s="8"/>
      <c r="BA22" s="8"/>
      <c r="BB22" s="8"/>
      <c r="BC22" s="8"/>
      <c r="BD22" s="8"/>
      <c r="BE22" s="8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</row>
    <row r="23" spans="1:72" x14ac:dyDescent="0.25">
      <c r="A23" s="5"/>
      <c r="B23" s="5"/>
      <c r="C23" s="5"/>
      <c r="D23" s="5"/>
      <c r="E23" s="5"/>
      <c r="F23" s="8"/>
      <c r="G23" s="9"/>
      <c r="H23" s="9"/>
      <c r="I23" s="9"/>
      <c r="J23" s="9"/>
      <c r="K23" s="9"/>
      <c r="L23" s="9"/>
      <c r="M23" s="9"/>
      <c r="N23" s="10"/>
      <c r="O23" s="10"/>
      <c r="P23" s="10"/>
      <c r="Q23" s="10"/>
      <c r="R23" s="10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0"/>
      <c r="AN23" s="10"/>
      <c r="AO23" s="10"/>
      <c r="AP23" s="10"/>
      <c r="AQ23" s="10"/>
      <c r="AR23" s="10"/>
      <c r="AS23" s="9"/>
      <c r="AT23" s="9"/>
      <c r="AU23" s="9"/>
      <c r="AV23" s="9"/>
      <c r="AW23" s="9"/>
      <c r="AX23" s="9"/>
      <c r="AY23" s="9"/>
      <c r="AZ23" s="8"/>
      <c r="BA23" s="8"/>
      <c r="BB23" s="8"/>
      <c r="BC23" s="8"/>
      <c r="BD23" s="8"/>
      <c r="BE23" s="8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</row>
    <row r="24" spans="1:72" x14ac:dyDescent="0.25">
      <c r="A24" s="5"/>
      <c r="B24" s="5"/>
      <c r="C24" s="5"/>
      <c r="D24" s="8"/>
      <c r="E24" s="8"/>
      <c r="F24" s="8"/>
      <c r="G24" s="9"/>
      <c r="H24" s="9"/>
      <c r="I24" s="9"/>
      <c r="J24" s="9"/>
      <c r="K24" s="9"/>
      <c r="L24" s="9"/>
      <c r="M24" s="9"/>
      <c r="N24" s="10"/>
      <c r="O24" s="10"/>
      <c r="P24" s="10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0"/>
      <c r="AN24" s="10"/>
      <c r="AO24" s="10"/>
      <c r="AP24" s="10"/>
      <c r="AQ24" s="10"/>
      <c r="AR24" s="10"/>
      <c r="AS24" s="9"/>
      <c r="AT24" s="9"/>
      <c r="AU24" s="9"/>
      <c r="AV24" s="9"/>
      <c r="AW24" s="9"/>
      <c r="AX24" s="9"/>
      <c r="AY24" s="9"/>
      <c r="AZ24" s="8"/>
      <c r="BA24" s="8"/>
      <c r="BB24" s="8"/>
      <c r="BC24" s="8"/>
      <c r="BD24" s="8"/>
      <c r="BE24" s="8"/>
      <c r="BF24" s="8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</row>
    <row r="25" spans="1:72" x14ac:dyDescent="0.25">
      <c r="A25" s="5"/>
      <c r="B25" s="5"/>
      <c r="C25" s="8"/>
      <c r="D25" s="8"/>
      <c r="E25" s="8"/>
      <c r="F25" s="8"/>
      <c r="G25" s="9"/>
      <c r="H25" s="9"/>
      <c r="I25" s="9"/>
      <c r="J25" s="9"/>
      <c r="K25" s="9"/>
      <c r="L25" s="9"/>
      <c r="M25" s="9"/>
      <c r="N25" s="10"/>
      <c r="O25" s="10"/>
      <c r="P25" s="10"/>
      <c r="Q25" s="10"/>
      <c r="R25" s="10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0"/>
      <c r="AN25" s="10"/>
      <c r="AO25" s="10"/>
      <c r="AP25" s="10"/>
      <c r="AQ25" s="10"/>
      <c r="AR25" s="10"/>
      <c r="AS25" s="9"/>
      <c r="AT25" s="9"/>
      <c r="AU25" s="9"/>
      <c r="AV25" s="9"/>
      <c r="AW25" s="9"/>
      <c r="AX25" s="9"/>
      <c r="AY25" s="9"/>
      <c r="AZ25" s="8"/>
      <c r="BA25" s="8"/>
      <c r="BB25" s="8"/>
      <c r="BC25" s="8"/>
      <c r="BD25" s="8"/>
      <c r="BE25" s="8"/>
      <c r="BF25" s="8"/>
      <c r="BG25" s="8"/>
      <c r="BH25" s="8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</row>
    <row r="26" spans="1:72" x14ac:dyDescent="0.25">
      <c r="A26" s="5"/>
      <c r="B26" s="5"/>
      <c r="C26" s="8"/>
      <c r="D26" s="8"/>
      <c r="E26" s="8"/>
      <c r="F26" s="8"/>
      <c r="G26" s="9"/>
      <c r="H26" s="9"/>
      <c r="I26" s="9"/>
      <c r="J26" s="9"/>
      <c r="K26" s="9"/>
      <c r="L26" s="9"/>
      <c r="M26" s="9"/>
      <c r="N26" s="10"/>
      <c r="O26" s="10"/>
      <c r="P26" s="10"/>
      <c r="Q26" s="10"/>
      <c r="R26" s="10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0"/>
      <c r="AN26" s="10"/>
      <c r="AO26" s="10"/>
      <c r="AP26" s="10"/>
      <c r="AQ26" s="10"/>
      <c r="AR26" s="10"/>
      <c r="AS26" s="9"/>
      <c r="AT26" s="9"/>
      <c r="AU26" s="9"/>
      <c r="AV26" s="9"/>
      <c r="AW26" s="9"/>
      <c r="AX26" s="9"/>
      <c r="AY26" s="9"/>
      <c r="AZ26" s="8"/>
      <c r="BA26" s="8"/>
      <c r="BB26" s="8"/>
      <c r="BC26" s="8"/>
      <c r="BD26" s="8"/>
      <c r="BE26" s="8"/>
      <c r="BF26" s="8"/>
      <c r="BG26" s="8"/>
      <c r="BH26" s="8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</row>
    <row r="27" spans="1:72" x14ac:dyDescent="0.25">
      <c r="A27" s="5"/>
      <c r="B27" s="5"/>
      <c r="C27" s="8"/>
      <c r="D27" s="8"/>
      <c r="E27" s="8"/>
      <c r="F27" s="8"/>
      <c r="G27" s="9"/>
      <c r="H27" s="9"/>
      <c r="I27" s="9"/>
      <c r="J27" s="9"/>
      <c r="K27" s="9"/>
      <c r="L27" s="9"/>
      <c r="M27" s="9"/>
      <c r="N27" s="10"/>
      <c r="O27" s="10"/>
      <c r="P27" s="10"/>
      <c r="Q27" s="10"/>
      <c r="R27" s="10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0"/>
      <c r="AN27" s="10"/>
      <c r="AO27" s="10"/>
      <c r="AP27" s="10"/>
      <c r="AQ27" s="10"/>
      <c r="AR27" s="10"/>
      <c r="AS27" s="9"/>
      <c r="AT27" s="9"/>
      <c r="AU27" s="9"/>
      <c r="AV27" s="9"/>
      <c r="AW27" s="9"/>
      <c r="AX27" s="9"/>
      <c r="AY27" s="9"/>
      <c r="AZ27" s="8"/>
      <c r="BA27" s="8"/>
      <c r="BB27" s="8"/>
      <c r="BC27" s="8"/>
      <c r="BD27" s="8"/>
      <c r="BE27" s="8"/>
      <c r="BF27" s="8"/>
      <c r="BG27" s="8"/>
      <c r="BH27" s="8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</row>
    <row r="28" spans="1:72" x14ac:dyDescent="0.25">
      <c r="A28" s="5"/>
      <c r="B28" s="5"/>
      <c r="C28" s="8"/>
      <c r="D28" s="8"/>
      <c r="E28" s="8"/>
      <c r="F28" s="8"/>
      <c r="G28" s="9"/>
      <c r="H28" s="9"/>
      <c r="I28" s="9"/>
      <c r="J28" s="9"/>
      <c r="K28" s="9"/>
      <c r="L28" s="9"/>
      <c r="M28" s="9"/>
      <c r="N28" s="10"/>
      <c r="O28" s="10"/>
      <c r="P28" s="10"/>
      <c r="Q28" s="10"/>
      <c r="R28" s="10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0"/>
      <c r="AN28" s="10"/>
      <c r="AO28" s="10"/>
      <c r="AP28" s="10"/>
      <c r="AQ28" s="10"/>
      <c r="AR28" s="10"/>
      <c r="AS28" s="9"/>
      <c r="AT28" s="9"/>
      <c r="AU28" s="9"/>
      <c r="AV28" s="9"/>
      <c r="AW28" s="9"/>
      <c r="AX28" s="9"/>
      <c r="AY28" s="9"/>
      <c r="AZ28" s="8"/>
      <c r="BA28" s="8"/>
      <c r="BB28" s="8"/>
      <c r="BC28" s="8"/>
      <c r="BD28" s="8"/>
      <c r="BE28" s="8"/>
      <c r="BF28" s="8"/>
      <c r="BG28" s="8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</row>
    <row r="29" spans="1:72" x14ac:dyDescent="0.25">
      <c r="A29" s="5"/>
      <c r="B29" s="5"/>
      <c r="C29" s="8"/>
      <c r="D29" s="8"/>
      <c r="E29" s="8"/>
      <c r="F29" s="8"/>
      <c r="G29" s="9"/>
      <c r="H29" s="9"/>
      <c r="I29" s="9"/>
      <c r="J29" s="9"/>
      <c r="K29" s="9"/>
      <c r="L29" s="9"/>
      <c r="M29" s="9"/>
      <c r="N29" s="10"/>
      <c r="O29" s="10"/>
      <c r="P29" s="10"/>
      <c r="Q29" s="10"/>
      <c r="R29" s="10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0"/>
      <c r="AN29" s="10"/>
      <c r="AO29" s="10"/>
      <c r="AP29" s="10"/>
      <c r="AQ29" s="10"/>
      <c r="AR29" s="10"/>
      <c r="AS29" s="9"/>
      <c r="AT29" s="9"/>
      <c r="AU29" s="9"/>
      <c r="AV29" s="9"/>
      <c r="AW29" s="9"/>
      <c r="AX29" s="9"/>
      <c r="AY29" s="9"/>
      <c r="AZ29" s="8"/>
      <c r="BA29" s="8"/>
      <c r="BB29" s="8"/>
      <c r="BC29" s="8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</row>
    <row r="30" spans="1:72" x14ac:dyDescent="0.25">
      <c r="A30" s="5"/>
      <c r="B30" s="5"/>
      <c r="C30" s="8"/>
      <c r="D30" s="8"/>
      <c r="E30" s="8"/>
      <c r="F30" s="8"/>
      <c r="G30" s="9"/>
      <c r="H30" s="9"/>
      <c r="I30" s="9"/>
      <c r="J30" s="9"/>
      <c r="K30" s="9"/>
      <c r="L30" s="9"/>
      <c r="M30" s="9"/>
      <c r="N30" s="10"/>
      <c r="O30" s="10"/>
      <c r="P30" s="10"/>
      <c r="Q30" s="10"/>
      <c r="R30" s="10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0"/>
      <c r="AN30" s="10"/>
      <c r="AO30" s="10"/>
      <c r="AP30" s="10"/>
      <c r="AQ30" s="10"/>
      <c r="AR30" s="10"/>
      <c r="AS30" s="9"/>
      <c r="AT30" s="9"/>
      <c r="AU30" s="9"/>
      <c r="AV30" s="9"/>
      <c r="AW30" s="9"/>
      <c r="AX30" s="9"/>
      <c r="AY30" s="9"/>
      <c r="AZ30" s="8"/>
      <c r="BA30" s="8"/>
      <c r="BB30" s="8"/>
      <c r="BC30" s="8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</row>
    <row r="31" spans="1:72" x14ac:dyDescent="0.25">
      <c r="A31" s="5"/>
      <c r="B31" s="5"/>
      <c r="C31" s="8"/>
      <c r="D31" s="8"/>
      <c r="E31" s="8"/>
      <c r="F31" s="8"/>
      <c r="G31" s="9"/>
      <c r="H31" s="9"/>
      <c r="I31" s="9"/>
      <c r="J31" s="9"/>
      <c r="K31" s="9"/>
      <c r="L31" s="9"/>
      <c r="M31" s="9"/>
      <c r="N31" s="10"/>
      <c r="O31" s="10"/>
      <c r="P31" s="10"/>
      <c r="Q31" s="10"/>
      <c r="R31" s="10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0"/>
      <c r="AN31" s="10"/>
      <c r="AO31" s="10"/>
      <c r="AP31" s="10"/>
      <c r="AQ31" s="9"/>
      <c r="AR31" s="9"/>
      <c r="AS31" s="9"/>
      <c r="AT31" s="9"/>
      <c r="AU31" s="9"/>
      <c r="AV31" s="9"/>
      <c r="AW31" s="9"/>
      <c r="AX31" s="9"/>
      <c r="AY31" s="9"/>
      <c r="AZ31" s="8"/>
      <c r="BA31" s="8"/>
      <c r="BB31" s="8"/>
      <c r="BC31" s="8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</row>
    <row r="32" spans="1:72" x14ac:dyDescent="0.25">
      <c r="A32" s="5"/>
      <c r="B32" s="5"/>
      <c r="C32" s="8"/>
      <c r="D32" s="8"/>
      <c r="E32" s="8"/>
      <c r="F32" s="8"/>
      <c r="G32" s="9"/>
      <c r="H32" s="9"/>
      <c r="I32" s="9"/>
      <c r="J32" s="9"/>
      <c r="K32" s="9"/>
      <c r="L32" s="9"/>
      <c r="M32" s="9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9"/>
      <c r="AR32" s="9"/>
      <c r="AS32" s="9"/>
      <c r="AT32" s="9"/>
      <c r="AU32" s="9"/>
      <c r="AV32" s="9"/>
      <c r="AW32" s="9"/>
      <c r="AX32" s="9"/>
      <c r="AY32" s="9"/>
      <c r="AZ32" s="8"/>
      <c r="BA32" s="8"/>
      <c r="BB32" s="8"/>
      <c r="BC32" s="8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</row>
    <row r="33" spans="1:72" x14ac:dyDescent="0.25">
      <c r="A33" s="5"/>
      <c r="B33" s="5"/>
      <c r="C33" s="8"/>
      <c r="D33" s="8"/>
      <c r="E33" s="8"/>
      <c r="F33" s="8"/>
      <c r="G33" s="9"/>
      <c r="H33" s="9"/>
      <c r="I33" s="9"/>
      <c r="J33" s="9"/>
      <c r="K33" s="9"/>
      <c r="L33" s="9"/>
      <c r="M33" s="9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9"/>
      <c r="AR33" s="9"/>
      <c r="AS33" s="9"/>
      <c r="AT33" s="9"/>
      <c r="AU33" s="9"/>
      <c r="AV33" s="9"/>
      <c r="AW33" s="9"/>
      <c r="AX33" s="9"/>
      <c r="AY33" s="9"/>
      <c r="AZ33" s="8"/>
      <c r="BA33" s="8"/>
      <c r="BB33" s="8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</row>
    <row r="34" spans="1:72" x14ac:dyDescent="0.25">
      <c r="A34" s="5"/>
      <c r="B34" s="5"/>
      <c r="C34" s="5"/>
      <c r="D34" s="8"/>
      <c r="E34" s="8"/>
      <c r="F34" s="8"/>
      <c r="G34" s="9"/>
      <c r="H34" s="9"/>
      <c r="I34" s="9"/>
      <c r="J34" s="9"/>
      <c r="K34" s="9"/>
      <c r="L34" s="9"/>
      <c r="M34" s="9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9"/>
      <c r="AR34" s="9"/>
      <c r="AS34" s="9"/>
      <c r="AT34" s="9"/>
      <c r="AU34" s="9"/>
      <c r="AV34" s="9"/>
      <c r="AW34" s="9"/>
      <c r="AX34" s="9"/>
      <c r="AY34" s="9"/>
      <c r="AZ34" s="8"/>
      <c r="BA34" s="8"/>
      <c r="BB34" s="8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</row>
    <row r="35" spans="1:72" x14ac:dyDescent="0.25">
      <c r="A35" s="5"/>
      <c r="B35" s="5"/>
      <c r="C35" s="5"/>
      <c r="D35" s="5"/>
      <c r="E35" s="8"/>
      <c r="F35" s="8"/>
      <c r="G35" s="9"/>
      <c r="H35" s="9"/>
      <c r="I35" s="9"/>
      <c r="J35" s="9"/>
      <c r="K35" s="9"/>
      <c r="L35" s="9"/>
      <c r="M35" s="9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9"/>
      <c r="AR35" s="9"/>
      <c r="AS35" s="9"/>
      <c r="AT35" s="9"/>
      <c r="AU35" s="9"/>
      <c r="AV35" s="9"/>
      <c r="AW35" s="8"/>
      <c r="AX35" s="8"/>
      <c r="AY35" s="8"/>
      <c r="AZ35" s="8"/>
      <c r="BA35" s="8"/>
      <c r="BB35" s="8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</row>
    <row r="36" spans="1:72" x14ac:dyDescent="0.25">
      <c r="A36" s="5"/>
      <c r="B36" s="5"/>
      <c r="C36" s="5"/>
      <c r="D36" s="5"/>
      <c r="E36" s="5"/>
      <c r="F36" s="8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8"/>
      <c r="AX36" s="8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</row>
    <row r="37" spans="1:72" x14ac:dyDescent="0.25">
      <c r="A37" s="5"/>
      <c r="B37" s="5"/>
      <c r="C37" s="5"/>
      <c r="D37" s="5"/>
      <c r="E37" s="5"/>
      <c r="F37" s="5"/>
      <c r="G37" s="5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8"/>
      <c r="AX37" s="8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</row>
    <row r="38" spans="1:72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8"/>
      <c r="AX38" s="8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</row>
    <row r="39" spans="1:7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8"/>
      <c r="AX39" s="8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</row>
    <row r="40" spans="1:7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8"/>
      <c r="AX40" s="8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</row>
    <row r="41" spans="1:7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8"/>
      <c r="AX41" s="8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</row>
    <row r="42" spans="1:7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8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</row>
    <row r="43" spans="1:7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</row>
    <row r="44" spans="1:7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</row>
    <row r="45" spans="1:7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</row>
    <row r="46" spans="1:7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</row>
    <row r="47" spans="1:7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</row>
    <row r="48" spans="1:7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</row>
    <row r="49" spans="1:7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</row>
    <row r="50" spans="1:7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</row>
    <row r="51" spans="1:7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</row>
    <row r="52" spans="1:7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</row>
    <row r="53" spans="1:7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</row>
    <row r="54" spans="1:7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</row>
    <row r="55" spans="1:7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</row>
    <row r="56" spans="1:7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</row>
    <row r="57" spans="1:7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</row>
    <row r="58" spans="1:72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</row>
    <row r="59" spans="1:7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</row>
    <row r="60" spans="1:7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</row>
    <row r="61" spans="1:7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</row>
    <row r="62" spans="1:7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</row>
    <row r="63" spans="1:7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</row>
    <row r="64" spans="1:7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</row>
    <row r="65" spans="1:7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12"/>
      <c r="AY65" s="12"/>
      <c r="AZ65" s="12"/>
      <c r="BA65" s="5"/>
      <c r="BB65" s="5"/>
      <c r="BC65" s="5"/>
      <c r="BD65" s="12"/>
      <c r="BE65" s="12"/>
      <c r="BF65" s="12"/>
      <c r="BG65" s="12"/>
      <c r="BH65" s="12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</row>
    <row r="66" spans="1:7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12"/>
      <c r="AZ66" s="12"/>
      <c r="BA66" s="5"/>
      <c r="BB66" s="5"/>
      <c r="BC66" s="5"/>
      <c r="BD66" s="5"/>
      <c r="BE66" s="5"/>
      <c r="BF66" s="12"/>
      <c r="BG66" s="12"/>
      <c r="BH66" s="12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</row>
    <row r="67" spans="1:7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</row>
    <row r="68" spans="1:7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</row>
    <row r="69" spans="1:7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</row>
    <row r="70" spans="1:7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</row>
    <row r="71" spans="1:7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</row>
    <row r="72" spans="1:7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</row>
    <row r="73" spans="1:7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</row>
    <row r="74" spans="1:7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</row>
    <row r="75" spans="1:7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</row>
    <row r="76" spans="1:7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</row>
    <row r="77" spans="1:7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</row>
    <row r="78" spans="1:7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</row>
    <row r="79" spans="1:7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</row>
    <row r="80" spans="1:7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</row>
    <row r="81" spans="1:7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</row>
    <row r="82" spans="1:7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</row>
    <row r="83" spans="1:7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</row>
    <row r="84" spans="1:7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</row>
    <row r="85" spans="1:7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</row>
    <row r="86" spans="1:7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</row>
    <row r="87" spans="1:7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</row>
    <row r="88" spans="1:7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</row>
    <row r="89" spans="1:7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</row>
    <row r="90" spans="1:7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</row>
    <row r="91" spans="1:7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</row>
    <row r="92" spans="1:7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</row>
    <row r="93" spans="1:7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</row>
    <row r="94" spans="1:7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</row>
    <row r="95" spans="1:7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</row>
    <row r="96" spans="1:7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</row>
    <row r="115" spans="90:91" x14ac:dyDescent="0.25">
      <c r="CM115" s="39"/>
    </row>
    <row r="116" spans="90:91" x14ac:dyDescent="0.25">
      <c r="CL116" s="39"/>
    </row>
    <row r="117" spans="90:91" x14ac:dyDescent="0.25">
      <c r="CL117" s="39"/>
      <c r="CM117" s="39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B60"/>
  <sheetViews>
    <sheetView topLeftCell="B10" zoomScale="59" zoomScaleNormal="59" workbookViewId="0">
      <selection activeCell="BG6" sqref="BG6"/>
    </sheetView>
    <sheetView workbookViewId="1">
      <selection activeCell="Q40" sqref="Q40"/>
    </sheetView>
    <sheetView workbookViewId="2"/>
  </sheetViews>
  <sheetFormatPr defaultColWidth="3.140625" defaultRowHeight="15" x14ac:dyDescent="0.25"/>
  <sheetData>
    <row r="1" spans="1:54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</row>
    <row r="2" spans="1:54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</row>
    <row r="3" spans="1:54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</row>
    <row r="4" spans="1:54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</row>
    <row r="5" spans="1:54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</row>
    <row r="6" spans="1:54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8"/>
      <c r="BB6" s="8"/>
    </row>
    <row r="7" spans="1:54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8"/>
      <c r="AR7" s="8"/>
      <c r="AS7" s="8"/>
      <c r="AT7" s="8"/>
      <c r="AU7" s="8"/>
      <c r="AV7" s="8"/>
      <c r="AW7" s="8"/>
      <c r="AX7" s="8"/>
      <c r="AY7" s="5"/>
      <c r="AZ7" s="5"/>
      <c r="BA7" s="8"/>
      <c r="BB7" s="8"/>
    </row>
    <row r="8" spans="1:54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8"/>
      <c r="AR8" s="8"/>
      <c r="AS8" s="8"/>
      <c r="AT8" s="8"/>
      <c r="AU8" s="8"/>
      <c r="AV8" s="8"/>
      <c r="AW8" s="8"/>
      <c r="AX8" s="8"/>
      <c r="AY8" s="5"/>
      <c r="AZ8" s="5"/>
      <c r="BA8" s="8"/>
      <c r="BB8" s="8"/>
    </row>
    <row r="9" spans="1:54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</row>
    <row r="10" spans="1:54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8"/>
      <c r="AM10" s="8"/>
      <c r="AN10" s="8"/>
      <c r="AO10" s="8"/>
      <c r="AP10" s="8"/>
      <c r="AQ10" s="9"/>
      <c r="AR10" s="9"/>
      <c r="AS10" s="9"/>
      <c r="AT10" s="9"/>
      <c r="AU10" s="9"/>
      <c r="AV10" s="8"/>
      <c r="AW10" s="8"/>
      <c r="AX10" s="8"/>
      <c r="AY10" s="8"/>
      <c r="AZ10" s="8"/>
      <c r="BA10" s="8"/>
      <c r="BB10" s="8"/>
    </row>
    <row r="11" spans="1:54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9"/>
      <c r="AQ11" s="9"/>
      <c r="AR11" s="9"/>
      <c r="AS11" s="9"/>
      <c r="AT11" s="9"/>
      <c r="AU11" s="9"/>
      <c r="AV11" s="8"/>
      <c r="AW11" s="8"/>
      <c r="AX11" s="8"/>
      <c r="AY11" s="8"/>
      <c r="AZ11" s="5"/>
      <c r="BA11" s="5"/>
      <c r="BB11" s="5"/>
    </row>
    <row r="12" spans="1:54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9"/>
      <c r="AQ12" s="9"/>
      <c r="AR12" s="9"/>
      <c r="AS12" s="9"/>
      <c r="AT12" s="9"/>
      <c r="AU12" s="9"/>
      <c r="AV12" s="8"/>
      <c r="AW12" s="8"/>
      <c r="AX12" s="8"/>
      <c r="AY12" s="8"/>
      <c r="AZ12" s="5"/>
      <c r="BA12" s="5"/>
      <c r="BB12" s="5"/>
    </row>
    <row r="13" spans="1:54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9"/>
      <c r="AO13" s="9"/>
      <c r="AP13" s="9"/>
      <c r="AQ13" s="9"/>
      <c r="AR13" s="9"/>
      <c r="AS13" s="9"/>
      <c r="AT13" s="9"/>
      <c r="AU13" s="9"/>
      <c r="AV13" s="9"/>
      <c r="AW13" s="8"/>
      <c r="AX13" s="8"/>
      <c r="AY13" s="8"/>
      <c r="AZ13" s="5"/>
      <c r="BA13" s="5"/>
      <c r="BB13" s="5"/>
    </row>
    <row r="14" spans="1:54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9"/>
      <c r="AO14" s="9"/>
      <c r="AP14" s="9"/>
      <c r="AQ14" s="9"/>
      <c r="AR14" s="9"/>
      <c r="AS14" s="9"/>
      <c r="AT14" s="9"/>
      <c r="AU14" s="9"/>
      <c r="AV14" s="9"/>
      <c r="AW14" s="8"/>
      <c r="AX14" s="8"/>
      <c r="AY14" s="8"/>
      <c r="AZ14" s="8"/>
      <c r="BA14" s="8"/>
      <c r="BB14" s="5"/>
    </row>
    <row r="15" spans="1:54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8"/>
      <c r="AX15" s="8"/>
      <c r="AY15" s="8"/>
      <c r="AZ15" s="8"/>
      <c r="BA15" s="8"/>
      <c r="BB15" s="5"/>
    </row>
    <row r="16" spans="1:54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8"/>
      <c r="AX16" s="8"/>
      <c r="AY16" s="8"/>
      <c r="AZ16" s="8"/>
      <c r="BA16" s="8"/>
      <c r="BB16" s="8"/>
    </row>
    <row r="17" spans="1:54" x14ac:dyDescent="0.25">
      <c r="A17" s="5"/>
      <c r="B17" s="5"/>
      <c r="C17" s="5"/>
      <c r="D17" s="5"/>
      <c r="E17" s="5"/>
      <c r="F17" s="5"/>
      <c r="G17" s="5"/>
      <c r="H17" s="5"/>
      <c r="I17" s="5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8"/>
      <c r="AX17" s="8"/>
      <c r="AY17" s="8"/>
      <c r="AZ17" s="8"/>
      <c r="BA17" s="5"/>
      <c r="BB17" s="5"/>
    </row>
    <row r="18" spans="1:54" x14ac:dyDescent="0.25">
      <c r="A18" s="5"/>
      <c r="B18" s="5"/>
      <c r="C18" s="5"/>
      <c r="D18" s="5"/>
      <c r="E18" s="5"/>
      <c r="F18" s="5"/>
      <c r="G18" s="9"/>
      <c r="H18" s="9"/>
      <c r="I18" s="9"/>
      <c r="J18" s="9"/>
      <c r="K18" s="9"/>
      <c r="L18" s="9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8"/>
      <c r="AX18" s="8"/>
      <c r="AY18" s="8"/>
      <c r="AZ18" s="8"/>
      <c r="BA18" s="5"/>
      <c r="BB18" s="5"/>
    </row>
    <row r="19" spans="1:54" x14ac:dyDescent="0.25">
      <c r="A19" s="5"/>
      <c r="B19" s="5"/>
      <c r="C19" s="5"/>
      <c r="D19" s="5"/>
      <c r="E19" s="5"/>
      <c r="F19" s="5"/>
      <c r="G19" s="9"/>
      <c r="H19" s="9"/>
      <c r="I19" s="9"/>
      <c r="J19" s="9"/>
      <c r="K19" s="9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9"/>
      <c r="AN19" s="9"/>
      <c r="AO19" s="9"/>
      <c r="AP19" s="9"/>
      <c r="AQ19" s="9"/>
      <c r="AR19" s="9"/>
      <c r="AS19" s="9"/>
      <c r="AT19" s="8"/>
      <c r="AU19" s="8"/>
      <c r="AV19" s="8"/>
      <c r="AW19" s="8"/>
      <c r="AX19" s="8"/>
      <c r="AY19" s="8"/>
      <c r="AZ19" s="8"/>
      <c r="BA19" s="5"/>
      <c r="BB19" s="5"/>
    </row>
    <row r="20" spans="1:54" x14ac:dyDescent="0.25">
      <c r="A20" s="5"/>
      <c r="B20" s="5"/>
      <c r="C20" s="5"/>
      <c r="D20" s="5"/>
      <c r="E20" s="9"/>
      <c r="F20" s="9"/>
      <c r="G20" s="9"/>
      <c r="H20" s="9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9"/>
      <c r="AN20" s="9"/>
      <c r="AO20" s="9"/>
      <c r="AP20" s="9"/>
      <c r="AQ20" s="9"/>
      <c r="AR20" s="9"/>
      <c r="AS20" s="9"/>
      <c r="AT20" s="8"/>
      <c r="AU20" s="8"/>
      <c r="AV20" s="8"/>
      <c r="AW20" s="8"/>
      <c r="AX20" s="8"/>
      <c r="AY20" s="8"/>
      <c r="AZ20" s="8"/>
      <c r="BA20" s="5"/>
      <c r="BB20" s="5"/>
    </row>
    <row r="21" spans="1:54" x14ac:dyDescent="0.25">
      <c r="A21" s="5"/>
      <c r="B21" s="5"/>
      <c r="C21" s="5"/>
      <c r="D21" s="9"/>
      <c r="E21" s="9"/>
      <c r="F21" s="9"/>
      <c r="G21" s="9"/>
      <c r="H21" s="10"/>
      <c r="I21" s="10"/>
      <c r="J21" s="10"/>
      <c r="K21" s="10"/>
      <c r="L21" s="10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0"/>
      <c r="AH21" s="10"/>
      <c r="AI21" s="10"/>
      <c r="AJ21" s="10"/>
      <c r="AK21" s="10"/>
      <c r="AL21" s="10"/>
      <c r="AM21" s="9"/>
      <c r="AN21" s="9"/>
      <c r="AO21" s="9"/>
      <c r="AP21" s="9"/>
      <c r="AQ21" s="9"/>
      <c r="AR21" s="9"/>
      <c r="AS21" s="9"/>
      <c r="AT21" s="8"/>
      <c r="AU21" s="8"/>
      <c r="AV21" s="8"/>
      <c r="AW21" s="8"/>
      <c r="AX21" s="8"/>
      <c r="AY21" s="8"/>
      <c r="AZ21" s="5"/>
      <c r="BA21" s="5"/>
      <c r="BB21" s="5"/>
    </row>
    <row r="22" spans="1:54" x14ac:dyDescent="0.25">
      <c r="A22" s="9"/>
      <c r="B22" s="9"/>
      <c r="C22" s="9"/>
      <c r="D22" s="9"/>
      <c r="E22" s="9"/>
      <c r="F22" s="9"/>
      <c r="G22" s="9"/>
      <c r="H22" s="10"/>
      <c r="I22" s="10"/>
      <c r="J22" s="10"/>
      <c r="K22" s="10"/>
      <c r="L22" s="10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0"/>
      <c r="AH22" s="10"/>
      <c r="AI22" s="10"/>
      <c r="AJ22" s="10"/>
      <c r="AK22" s="10"/>
      <c r="AL22" s="10"/>
      <c r="AM22" s="9"/>
      <c r="AN22" s="9"/>
      <c r="AO22" s="9"/>
      <c r="AP22" s="9"/>
      <c r="AQ22" s="9"/>
      <c r="AR22" s="9"/>
      <c r="AS22" s="9"/>
      <c r="AT22" s="8"/>
      <c r="AU22" s="8"/>
      <c r="AV22" s="8"/>
      <c r="AW22" s="8"/>
      <c r="AX22" s="8"/>
      <c r="AY22" s="8"/>
      <c r="AZ22" s="5"/>
      <c r="BA22" s="5"/>
      <c r="BB22" s="5"/>
    </row>
    <row r="23" spans="1:54" x14ac:dyDescent="0.25">
      <c r="A23" s="9"/>
      <c r="B23" s="9"/>
      <c r="C23" s="9"/>
      <c r="D23" s="9"/>
      <c r="E23" s="9"/>
      <c r="F23" s="9"/>
      <c r="G23" s="9"/>
      <c r="H23" s="10"/>
      <c r="I23" s="10"/>
      <c r="J23" s="10"/>
      <c r="K23" s="10"/>
      <c r="L23" s="10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0"/>
      <c r="AH23" s="10"/>
      <c r="AI23" s="10"/>
      <c r="AJ23" s="10"/>
      <c r="AK23" s="10"/>
      <c r="AL23" s="10"/>
      <c r="AM23" s="9"/>
      <c r="AN23" s="9"/>
      <c r="AO23" s="9"/>
      <c r="AP23" s="9"/>
      <c r="AQ23" s="9"/>
      <c r="AR23" s="9"/>
      <c r="AS23" s="9"/>
      <c r="AT23" s="8"/>
      <c r="AU23" s="8"/>
      <c r="AV23" s="8"/>
      <c r="AW23" s="8"/>
      <c r="AX23" s="8"/>
      <c r="AY23" s="8"/>
      <c r="AZ23" s="5"/>
      <c r="BA23" s="5"/>
      <c r="BB23" s="5"/>
    </row>
    <row r="24" spans="1:54" x14ac:dyDescent="0.25">
      <c r="A24" s="9"/>
      <c r="B24" s="9"/>
      <c r="C24" s="9"/>
      <c r="D24" s="9"/>
      <c r="E24" s="9"/>
      <c r="F24" s="9"/>
      <c r="G24" s="9"/>
      <c r="H24" s="10"/>
      <c r="I24" s="10"/>
      <c r="J24" s="10"/>
      <c r="K24" s="10"/>
      <c r="L24" s="10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0"/>
      <c r="AJ24" s="10"/>
      <c r="AK24" s="10"/>
      <c r="AL24" s="10"/>
      <c r="AM24" s="9"/>
      <c r="AN24" s="9"/>
      <c r="AO24" s="9"/>
      <c r="AP24" s="9"/>
      <c r="AQ24" s="9"/>
      <c r="AR24" s="9"/>
      <c r="AS24" s="9"/>
      <c r="AT24" s="8"/>
      <c r="AU24" s="8"/>
      <c r="AV24" s="8"/>
      <c r="AW24" s="8"/>
      <c r="AX24" s="8"/>
      <c r="AY24" s="8"/>
      <c r="AZ24" s="8"/>
      <c r="BA24" s="5"/>
      <c r="BB24" s="5"/>
    </row>
    <row r="25" spans="1:54" x14ac:dyDescent="0.25">
      <c r="A25" s="9"/>
      <c r="B25" s="9"/>
      <c r="C25" s="9"/>
      <c r="D25" s="9"/>
      <c r="E25" s="9"/>
      <c r="F25" s="9"/>
      <c r="G25" s="9"/>
      <c r="H25" s="10"/>
      <c r="I25" s="10"/>
      <c r="J25" s="10"/>
      <c r="K25" s="10"/>
      <c r="L25" s="10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0"/>
      <c r="AH25" s="10"/>
      <c r="AI25" s="10"/>
      <c r="AJ25" s="10"/>
      <c r="AK25" s="10"/>
      <c r="AL25" s="10"/>
      <c r="AM25" s="9"/>
      <c r="AN25" s="9"/>
      <c r="AO25" s="9"/>
      <c r="AP25" s="9"/>
      <c r="AQ25" s="9"/>
      <c r="AR25" s="9"/>
      <c r="AS25" s="9"/>
      <c r="AT25" s="8"/>
      <c r="AU25" s="8"/>
      <c r="AV25" s="8"/>
      <c r="AW25" s="8"/>
      <c r="AX25" s="8"/>
      <c r="AY25" s="8"/>
      <c r="AZ25" s="8"/>
      <c r="BA25" s="8"/>
      <c r="BB25" s="8"/>
    </row>
    <row r="26" spans="1:54" x14ac:dyDescent="0.25">
      <c r="A26" s="9"/>
      <c r="B26" s="9"/>
      <c r="C26" s="9"/>
      <c r="D26" s="9"/>
      <c r="E26" s="9"/>
      <c r="F26" s="9"/>
      <c r="G26" s="9"/>
      <c r="H26" s="10"/>
      <c r="I26" s="10"/>
      <c r="J26" s="10"/>
      <c r="K26" s="10"/>
      <c r="L26" s="10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0"/>
      <c r="AH26" s="10"/>
      <c r="AI26" s="10"/>
      <c r="AJ26" s="10"/>
      <c r="AK26" s="10"/>
      <c r="AL26" s="10"/>
      <c r="AM26" s="9"/>
      <c r="AN26" s="9"/>
      <c r="AO26" s="9"/>
      <c r="AP26" s="9"/>
      <c r="AQ26" s="9"/>
      <c r="AR26" s="9"/>
      <c r="AS26" s="9"/>
      <c r="AT26" s="8"/>
      <c r="AU26" s="8"/>
      <c r="AV26" s="8"/>
      <c r="AW26" s="8"/>
      <c r="AX26" s="8"/>
      <c r="AY26" s="8"/>
      <c r="AZ26" s="8"/>
      <c r="BA26" s="8"/>
      <c r="BB26" s="8"/>
    </row>
    <row r="27" spans="1:54" x14ac:dyDescent="0.25">
      <c r="A27" s="9"/>
      <c r="B27" s="9"/>
      <c r="C27" s="9"/>
      <c r="D27" s="9"/>
      <c r="E27" s="9"/>
      <c r="F27" s="9"/>
      <c r="G27" s="9"/>
      <c r="H27" s="10"/>
      <c r="I27" s="10"/>
      <c r="J27" s="10"/>
      <c r="K27" s="10"/>
      <c r="L27" s="10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0"/>
      <c r="AH27" s="10"/>
      <c r="AI27" s="10"/>
      <c r="AJ27" s="10"/>
      <c r="AK27" s="10"/>
      <c r="AL27" s="10"/>
      <c r="AM27" s="9"/>
      <c r="AN27" s="9"/>
      <c r="AO27" s="9"/>
      <c r="AP27" s="9"/>
      <c r="AQ27" s="9"/>
      <c r="AR27" s="9"/>
      <c r="AS27" s="9"/>
      <c r="AT27" s="8"/>
      <c r="AU27" s="8"/>
      <c r="AV27" s="8"/>
      <c r="AW27" s="8"/>
      <c r="AX27" s="8"/>
      <c r="AY27" s="8"/>
      <c r="AZ27" s="8"/>
      <c r="BA27" s="8"/>
      <c r="BB27" s="8"/>
    </row>
    <row r="28" spans="1:54" x14ac:dyDescent="0.25">
      <c r="A28" s="9"/>
      <c r="B28" s="9"/>
      <c r="C28" s="9"/>
      <c r="D28" s="9"/>
      <c r="E28" s="9"/>
      <c r="F28" s="9"/>
      <c r="G28" s="9"/>
      <c r="H28" s="10"/>
      <c r="I28" s="10"/>
      <c r="J28" s="10"/>
      <c r="K28" s="10"/>
      <c r="L28" s="10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0"/>
      <c r="AH28" s="10"/>
      <c r="AI28" s="10"/>
      <c r="AJ28" s="10"/>
      <c r="AK28" s="10"/>
      <c r="AL28" s="10"/>
      <c r="AM28" s="9"/>
      <c r="AN28" s="9"/>
      <c r="AO28" s="9"/>
      <c r="AP28" s="9"/>
      <c r="AQ28" s="9"/>
      <c r="AR28" s="9"/>
      <c r="AS28" s="9"/>
      <c r="AT28" s="8"/>
      <c r="AU28" s="8"/>
      <c r="AV28" s="8"/>
      <c r="AW28" s="8"/>
      <c r="AX28" s="8"/>
      <c r="AY28" s="8"/>
      <c r="AZ28" s="8"/>
      <c r="BA28" s="8"/>
      <c r="BB28" s="5"/>
    </row>
    <row r="29" spans="1:54" x14ac:dyDescent="0.25">
      <c r="A29" s="9"/>
      <c r="B29" s="9"/>
      <c r="C29" s="9"/>
      <c r="D29" s="9"/>
      <c r="E29" s="9"/>
      <c r="F29" s="9"/>
      <c r="G29" s="9"/>
      <c r="H29" s="10"/>
      <c r="I29" s="10"/>
      <c r="J29" s="10"/>
      <c r="K29" s="10"/>
      <c r="L29" s="10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0"/>
      <c r="AH29" s="10"/>
      <c r="AI29" s="10"/>
      <c r="AJ29" s="10"/>
      <c r="AK29" s="10"/>
      <c r="AL29" s="10"/>
      <c r="AM29" s="9"/>
      <c r="AN29" s="9"/>
      <c r="AO29" s="9"/>
      <c r="AP29" s="9"/>
      <c r="AQ29" s="9"/>
      <c r="AR29" s="9"/>
      <c r="AS29" s="9"/>
      <c r="AT29" s="8"/>
      <c r="AU29" s="8"/>
      <c r="AV29" s="8"/>
      <c r="AW29" s="8"/>
      <c r="AX29" s="5"/>
      <c r="AY29" s="5"/>
      <c r="AZ29" s="5"/>
      <c r="BA29" s="5"/>
      <c r="BB29" s="5"/>
    </row>
    <row r="30" spans="1:54" x14ac:dyDescent="0.25">
      <c r="A30" s="9"/>
      <c r="B30" s="9"/>
      <c r="C30" s="9"/>
      <c r="D30" s="9"/>
      <c r="E30" s="9"/>
      <c r="F30" s="9"/>
      <c r="G30" s="9"/>
      <c r="H30" s="10"/>
      <c r="I30" s="10"/>
      <c r="J30" s="10"/>
      <c r="K30" s="10"/>
      <c r="L30" s="10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0"/>
      <c r="AH30" s="10"/>
      <c r="AI30" s="10"/>
      <c r="AJ30" s="10"/>
      <c r="AK30" s="10"/>
      <c r="AL30" s="10"/>
      <c r="AM30" s="9"/>
      <c r="AN30" s="9"/>
      <c r="AO30" s="9"/>
      <c r="AP30" s="9"/>
      <c r="AQ30" s="9"/>
      <c r="AR30" s="9"/>
      <c r="AS30" s="9"/>
      <c r="AT30" s="8"/>
      <c r="AU30" s="8"/>
      <c r="AV30" s="8"/>
      <c r="AW30" s="8"/>
      <c r="AX30" s="5"/>
      <c r="AY30" s="5"/>
      <c r="AZ30" s="5"/>
      <c r="BA30" s="5"/>
      <c r="BB30" s="5"/>
    </row>
    <row r="31" spans="1:54" x14ac:dyDescent="0.25">
      <c r="A31" s="9"/>
      <c r="B31" s="9"/>
      <c r="C31" s="9"/>
      <c r="D31" s="9"/>
      <c r="E31" s="9"/>
      <c r="F31" s="9"/>
      <c r="G31" s="9"/>
      <c r="H31" s="10"/>
      <c r="I31" s="10"/>
      <c r="J31" s="10"/>
      <c r="K31" s="10"/>
      <c r="L31" s="10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0"/>
      <c r="AH31" s="10"/>
      <c r="AI31" s="10"/>
      <c r="AJ31" s="10"/>
      <c r="AK31" s="9"/>
      <c r="AL31" s="9"/>
      <c r="AM31" s="9"/>
      <c r="AN31" s="9"/>
      <c r="AO31" s="9"/>
      <c r="AP31" s="9"/>
      <c r="AQ31" s="9"/>
      <c r="AR31" s="9"/>
      <c r="AS31" s="9"/>
      <c r="AT31" s="8"/>
      <c r="AU31" s="8"/>
      <c r="AV31" s="8"/>
      <c r="AW31" s="8"/>
      <c r="AX31" s="5"/>
      <c r="AY31" s="5"/>
      <c r="AZ31" s="5"/>
      <c r="BA31" s="5"/>
      <c r="BB31" s="5"/>
    </row>
    <row r="32" spans="1:54" x14ac:dyDescent="0.25">
      <c r="A32" s="9"/>
      <c r="B32" s="9"/>
      <c r="C32" s="9"/>
      <c r="D32" s="9"/>
      <c r="E32" s="9"/>
      <c r="F32" s="9"/>
      <c r="G32" s="9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9"/>
      <c r="AL32" s="9"/>
      <c r="AM32" s="9"/>
      <c r="AN32" s="9"/>
      <c r="AO32" s="9"/>
      <c r="AP32" s="9"/>
      <c r="AQ32" s="9"/>
      <c r="AR32" s="9"/>
      <c r="AS32" s="9"/>
      <c r="AT32" s="8"/>
      <c r="AU32" s="8"/>
      <c r="AV32" s="8"/>
      <c r="AW32" s="8"/>
      <c r="AX32" s="5"/>
      <c r="AY32" s="5"/>
      <c r="AZ32" s="5"/>
      <c r="BA32" s="5"/>
      <c r="BB32" s="5"/>
    </row>
    <row r="33" spans="1:54" x14ac:dyDescent="0.25">
      <c r="A33" s="9"/>
      <c r="B33" s="9"/>
      <c r="C33" s="9"/>
      <c r="D33" s="9"/>
      <c r="E33" s="9"/>
      <c r="F33" s="9"/>
      <c r="G33" s="9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9"/>
      <c r="AL33" s="9"/>
      <c r="AM33" s="9"/>
      <c r="AN33" s="9"/>
      <c r="AO33" s="9"/>
      <c r="AP33" s="9"/>
      <c r="AQ33" s="9"/>
      <c r="AR33" s="9"/>
      <c r="AS33" s="9"/>
      <c r="AT33" s="8"/>
      <c r="AU33" s="8"/>
      <c r="AV33" s="8"/>
      <c r="AW33" s="5"/>
      <c r="AX33" s="5"/>
      <c r="AY33" s="5"/>
      <c r="AZ33" s="5"/>
      <c r="BA33" s="5"/>
      <c r="BB33" s="5"/>
    </row>
    <row r="34" spans="1:54" x14ac:dyDescent="0.25">
      <c r="A34" s="9"/>
      <c r="B34" s="9"/>
      <c r="C34" s="9"/>
      <c r="D34" s="9"/>
      <c r="E34" s="9"/>
      <c r="F34" s="9"/>
      <c r="G34" s="9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9"/>
      <c r="AL34" s="9"/>
      <c r="AM34" s="9"/>
      <c r="AN34" s="9"/>
      <c r="AO34" s="9"/>
      <c r="AP34" s="9"/>
      <c r="AQ34" s="9"/>
      <c r="AR34" s="9"/>
      <c r="AS34" s="9"/>
      <c r="AT34" s="8"/>
      <c r="AU34" s="8"/>
      <c r="AV34" s="8"/>
      <c r="AW34" s="5"/>
      <c r="AX34" s="5"/>
      <c r="AY34" s="5"/>
      <c r="AZ34" s="5"/>
      <c r="BA34" s="5"/>
      <c r="BB34" s="5"/>
    </row>
    <row r="35" spans="1:54" x14ac:dyDescent="0.25">
      <c r="A35" s="9"/>
      <c r="B35" s="9"/>
      <c r="C35" s="9"/>
      <c r="D35" s="9"/>
      <c r="E35" s="9"/>
      <c r="F35" s="9"/>
      <c r="G35" s="9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9"/>
      <c r="AL35" s="9"/>
      <c r="AM35" s="9"/>
      <c r="AN35" s="9"/>
      <c r="AO35" s="9"/>
      <c r="AP35" s="9"/>
      <c r="AQ35" s="8"/>
      <c r="AR35" s="8"/>
      <c r="AS35" s="8"/>
      <c r="AT35" s="8"/>
      <c r="AU35" s="8"/>
      <c r="AV35" s="8"/>
      <c r="AW35" s="5"/>
      <c r="AX35" s="5"/>
      <c r="AY35" s="5"/>
      <c r="AZ35" s="5"/>
      <c r="BA35" s="5"/>
      <c r="BB35" s="5"/>
    </row>
    <row r="36" spans="1:54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8"/>
      <c r="AR36" s="8"/>
      <c r="AS36" s="5"/>
      <c r="AT36" s="5"/>
      <c r="AU36" s="5"/>
      <c r="AV36" s="5"/>
      <c r="AW36" s="5"/>
      <c r="AX36" s="5"/>
      <c r="AY36" s="5"/>
      <c r="AZ36" s="5"/>
      <c r="BA36" s="5"/>
      <c r="BB36" s="5"/>
    </row>
    <row r="37" spans="1:54" x14ac:dyDescent="0.25">
      <c r="A37" s="5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8"/>
      <c r="AR37" s="8"/>
      <c r="AS37" s="5"/>
      <c r="AT37" s="5"/>
      <c r="AU37" s="5"/>
      <c r="AV37" s="5"/>
      <c r="AW37" s="5"/>
      <c r="AX37" s="5"/>
      <c r="AY37" s="5"/>
      <c r="AZ37" s="5"/>
      <c r="BA37" s="5"/>
      <c r="BB37" s="5"/>
    </row>
    <row r="38" spans="1:54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8"/>
      <c r="AR38" s="8"/>
      <c r="AS38" s="5"/>
      <c r="AT38" s="5"/>
      <c r="AU38" s="5"/>
      <c r="AV38" s="5"/>
      <c r="AW38" s="5"/>
      <c r="AX38" s="5"/>
      <c r="AY38" s="5"/>
      <c r="AZ38" s="5"/>
      <c r="BA38" s="5"/>
      <c r="BB38" s="5"/>
    </row>
    <row r="39" spans="1:54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8"/>
      <c r="AR39" s="8"/>
      <c r="AS39" s="5"/>
      <c r="AT39" s="5"/>
      <c r="AU39" s="5"/>
      <c r="AV39" s="5"/>
      <c r="AW39" s="5"/>
      <c r="AX39" s="5"/>
      <c r="AY39" s="5"/>
      <c r="AZ39" s="5"/>
      <c r="BA39" s="5"/>
      <c r="BB39" s="5"/>
    </row>
    <row r="40" spans="1:54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8"/>
      <c r="AR40" s="8"/>
      <c r="AS40" s="5"/>
      <c r="AT40" s="5"/>
      <c r="AU40" s="5"/>
      <c r="AV40" s="5"/>
      <c r="AW40" s="5"/>
      <c r="AX40" s="5"/>
      <c r="AY40" s="5"/>
      <c r="AZ40" s="5"/>
      <c r="BA40" s="5"/>
      <c r="BB40" s="5"/>
    </row>
    <row r="41" spans="1:54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8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</row>
    <row r="42" spans="1:54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8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</row>
    <row r="43" spans="1:54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</row>
    <row r="44" spans="1:54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</row>
    <row r="45" spans="1:54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5"/>
      <c r="AT45" s="5"/>
      <c r="AU45" s="5"/>
      <c r="AV45" s="5"/>
      <c r="AW45" s="5"/>
      <c r="AX45" s="5"/>
      <c r="AY45" s="5"/>
      <c r="AZ45" s="5"/>
      <c r="BA45" s="5"/>
      <c r="BB45" s="5"/>
    </row>
    <row r="46" spans="1:54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5"/>
      <c r="AT46" s="5"/>
      <c r="AU46" s="5"/>
      <c r="AV46" s="5"/>
      <c r="AW46" s="5"/>
      <c r="AX46" s="5"/>
      <c r="AY46" s="5"/>
      <c r="AZ46" s="5"/>
      <c r="BA46" s="5"/>
      <c r="BB46" s="5"/>
    </row>
    <row r="47" spans="1:54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5"/>
      <c r="AV47" s="5"/>
      <c r="AW47" s="5"/>
      <c r="AX47" s="5"/>
      <c r="AY47" s="5"/>
      <c r="AZ47" s="5"/>
      <c r="BA47" s="5"/>
      <c r="BB47" s="5"/>
    </row>
    <row r="48" spans="1:54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5"/>
      <c r="AV48" s="5"/>
      <c r="AW48" s="5"/>
      <c r="AX48" s="5"/>
      <c r="AY48" s="5"/>
      <c r="AZ48" s="5"/>
      <c r="BA48" s="5"/>
      <c r="BB48" s="5"/>
    </row>
    <row r="49" spans="1:54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5"/>
      <c r="AV49" s="5"/>
      <c r="AW49" s="5"/>
      <c r="AX49" s="5"/>
      <c r="AY49" s="5"/>
      <c r="AZ49" s="5"/>
      <c r="BA49" s="5"/>
      <c r="BB49" s="5"/>
    </row>
    <row r="50" spans="1:54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5"/>
      <c r="AV50" s="5"/>
      <c r="AW50" s="5"/>
      <c r="AX50" s="5"/>
      <c r="AY50" s="5"/>
      <c r="AZ50" s="5"/>
      <c r="BA50" s="5"/>
      <c r="BB50" s="5"/>
    </row>
    <row r="51" spans="1:54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5"/>
      <c r="AV51" s="5"/>
      <c r="AW51" s="5"/>
      <c r="AX51" s="5"/>
      <c r="AY51" s="5"/>
      <c r="AZ51" s="5"/>
      <c r="BA51" s="5"/>
      <c r="BB51" s="5"/>
    </row>
    <row r="52" spans="1:54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5"/>
      <c r="AV52" s="5"/>
      <c r="AW52" s="5"/>
      <c r="AX52" s="5"/>
      <c r="AY52" s="5"/>
      <c r="AZ52" s="5"/>
      <c r="BA52" s="5"/>
      <c r="BB52" s="5"/>
    </row>
    <row r="53" spans="1:54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5"/>
      <c r="AV53" s="5"/>
      <c r="AW53" s="5"/>
      <c r="AX53" s="5"/>
      <c r="AY53" s="5"/>
      <c r="AZ53" s="5"/>
      <c r="BA53" s="5"/>
      <c r="BB53" s="5"/>
    </row>
    <row r="54" spans="1:54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5"/>
      <c r="AZ54" s="5"/>
      <c r="BA54" s="5"/>
      <c r="BB54" s="5"/>
    </row>
    <row r="55" spans="1:54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5"/>
      <c r="BA55" s="5"/>
      <c r="BB55" s="5"/>
    </row>
    <row r="56" spans="1:54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5"/>
      <c r="BA56" s="5"/>
      <c r="BB56" s="5"/>
    </row>
    <row r="57" spans="1:54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5"/>
      <c r="BA57" s="5"/>
      <c r="BB57" s="5"/>
    </row>
    <row r="58" spans="1:54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5"/>
      <c r="BA58" s="5"/>
      <c r="BB58" s="5"/>
    </row>
    <row r="59" spans="1:54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5"/>
      <c r="BA59" s="5"/>
      <c r="BB59" s="5"/>
    </row>
    <row r="60" spans="1:54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5"/>
      <c r="BB60" s="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B104"/>
  <sheetViews>
    <sheetView topLeftCell="A13" zoomScale="55" zoomScaleNormal="55" workbookViewId="0">
      <selection activeCell="E6" sqref="E6"/>
    </sheetView>
    <sheetView workbookViewId="1"/>
    <sheetView workbookViewId="2"/>
  </sheetViews>
  <sheetFormatPr defaultColWidth="3.140625" defaultRowHeight="15" x14ac:dyDescent="0.25"/>
  <cols>
    <col min="1" max="80" width="3.140625" style="4"/>
  </cols>
  <sheetData>
    <row r="1" spans="1:77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</row>
    <row r="2" spans="1:77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x14ac:dyDescent="0.25">
      <c r="A3" s="3"/>
      <c r="B3" s="3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3"/>
      <c r="BX3" s="3"/>
      <c r="BY3" s="3"/>
    </row>
    <row r="4" spans="1:77" ht="18.75" x14ac:dyDescent="0.3">
      <c r="A4" s="3"/>
      <c r="B4" s="3"/>
      <c r="C4" s="5"/>
      <c r="D4" s="5"/>
      <c r="E4" s="5"/>
      <c r="F4" s="5"/>
      <c r="G4" s="6" t="s">
        <v>191</v>
      </c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3"/>
      <c r="BX4" s="3"/>
      <c r="BY4" s="3"/>
    </row>
    <row r="5" spans="1:77" x14ac:dyDescent="0.25">
      <c r="A5" s="3"/>
      <c r="B5" s="3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3"/>
      <c r="BX5" s="3"/>
      <c r="BY5" s="3"/>
    </row>
    <row r="6" spans="1:77" x14ac:dyDescent="0.25">
      <c r="A6" s="3"/>
      <c r="B6" s="3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3"/>
      <c r="BX6" s="3"/>
      <c r="BY6" s="3"/>
    </row>
    <row r="7" spans="1:77" x14ac:dyDescent="0.25">
      <c r="A7" s="3"/>
      <c r="B7" s="3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3"/>
      <c r="BX7" s="3"/>
      <c r="BY7" s="3"/>
    </row>
    <row r="8" spans="1:77" x14ac:dyDescent="0.25">
      <c r="A8" s="3"/>
      <c r="B8" s="3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3"/>
      <c r="BX8" s="3"/>
      <c r="BY8" s="3"/>
    </row>
    <row r="9" spans="1:77" x14ac:dyDescent="0.25">
      <c r="A9" s="3"/>
      <c r="B9" s="3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3"/>
      <c r="BX9" s="3"/>
      <c r="BY9" s="3"/>
    </row>
    <row r="10" spans="1:77" x14ac:dyDescent="0.25">
      <c r="A10" s="3"/>
      <c r="B10" s="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3"/>
      <c r="BX10" s="3"/>
      <c r="BY10" s="3"/>
    </row>
    <row r="11" spans="1:77" x14ac:dyDescent="0.25">
      <c r="A11" s="3"/>
      <c r="B11" s="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3"/>
      <c r="BX11" s="3"/>
      <c r="BY11" s="3"/>
    </row>
    <row r="12" spans="1:77" x14ac:dyDescent="0.25">
      <c r="A12" s="3"/>
      <c r="B12" s="3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3"/>
      <c r="BX12" s="3"/>
      <c r="BY12" s="3"/>
    </row>
    <row r="13" spans="1:77" x14ac:dyDescent="0.25">
      <c r="A13" s="3"/>
      <c r="B13" s="3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3"/>
      <c r="BX13" s="3"/>
      <c r="BY13" s="3"/>
    </row>
    <row r="14" spans="1:77" x14ac:dyDescent="0.25">
      <c r="A14" s="3"/>
      <c r="B14" s="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8"/>
      <c r="BJ14" s="8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3"/>
      <c r="BX14" s="3"/>
      <c r="BY14" s="3"/>
    </row>
    <row r="15" spans="1:77" x14ac:dyDescent="0.25">
      <c r="A15" s="3"/>
      <c r="B15" s="3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8"/>
      <c r="AZ15" s="8"/>
      <c r="BA15" s="8"/>
      <c r="BB15" s="8"/>
      <c r="BC15" s="8"/>
      <c r="BD15" s="8"/>
      <c r="BE15" s="8"/>
      <c r="BF15" s="8"/>
      <c r="BG15" s="5"/>
      <c r="BH15" s="5"/>
      <c r="BI15" s="8"/>
      <c r="BJ15" s="8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3"/>
      <c r="BX15" s="3"/>
      <c r="BY15" s="3"/>
    </row>
    <row r="16" spans="1:77" x14ac:dyDescent="0.25">
      <c r="A16" s="3"/>
      <c r="B16" s="3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8"/>
      <c r="AZ16" s="8"/>
      <c r="BA16" s="8"/>
      <c r="BB16" s="8"/>
      <c r="BC16" s="8"/>
      <c r="BD16" s="8"/>
      <c r="BE16" s="8"/>
      <c r="BF16" s="8"/>
      <c r="BG16" s="5"/>
      <c r="BH16" s="5"/>
      <c r="BI16" s="8"/>
      <c r="BJ16" s="8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3"/>
      <c r="BX16" s="3"/>
      <c r="BY16" s="3"/>
    </row>
    <row r="17" spans="1:77" x14ac:dyDescent="0.25">
      <c r="A17" s="3"/>
      <c r="B17" s="3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3"/>
      <c r="BX17" s="3"/>
      <c r="BY17" s="3"/>
    </row>
    <row r="18" spans="1:77" x14ac:dyDescent="0.25">
      <c r="A18" s="3"/>
      <c r="B18" s="3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8"/>
      <c r="AU18" s="8"/>
      <c r="AV18" s="8"/>
      <c r="AW18" s="8"/>
      <c r="AX18" s="8"/>
      <c r="AY18" s="9"/>
      <c r="AZ18" s="9"/>
      <c r="BA18" s="9"/>
      <c r="BB18" s="9"/>
      <c r="BC18" s="9"/>
      <c r="BD18" s="8"/>
      <c r="BE18" s="8"/>
      <c r="BF18" s="8"/>
      <c r="BG18" s="8"/>
      <c r="BH18" s="8"/>
      <c r="BI18" s="8"/>
      <c r="BJ18" s="8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3"/>
      <c r="BX18" s="3"/>
      <c r="BY18" s="3"/>
    </row>
    <row r="19" spans="1:77" x14ac:dyDescent="0.25">
      <c r="A19" s="3"/>
      <c r="B19" s="3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  <c r="AY19" s="9"/>
      <c r="AZ19" s="9"/>
      <c r="BA19" s="9"/>
      <c r="BB19" s="9"/>
      <c r="BC19" s="9"/>
      <c r="BD19" s="8"/>
      <c r="BE19" s="8"/>
      <c r="BF19" s="8"/>
      <c r="BG19" s="8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3"/>
      <c r="BX19" s="3"/>
      <c r="BY19" s="3"/>
    </row>
    <row r="20" spans="1:77" x14ac:dyDescent="0.25">
      <c r="A20" s="3"/>
      <c r="B20" s="3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  <c r="AY20" s="9"/>
      <c r="AZ20" s="9"/>
      <c r="BA20" s="9"/>
      <c r="BB20" s="9"/>
      <c r="BC20" s="9"/>
      <c r="BD20" s="8"/>
      <c r="BE20" s="8"/>
      <c r="BF20" s="8"/>
      <c r="BG20" s="8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3"/>
      <c r="BX20" s="3"/>
      <c r="BY20" s="3"/>
    </row>
    <row r="21" spans="1:77" x14ac:dyDescent="0.25">
      <c r="A21" s="3"/>
      <c r="B21" s="3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9"/>
      <c r="AW21" s="9"/>
      <c r="AX21" s="9"/>
      <c r="AY21" s="9"/>
      <c r="AZ21" s="9"/>
      <c r="BA21" s="9"/>
      <c r="BB21" s="9"/>
      <c r="BC21" s="9"/>
      <c r="BD21" s="9"/>
      <c r="BE21" s="8"/>
      <c r="BF21" s="8"/>
      <c r="BG21" s="8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3"/>
      <c r="BX21" s="3"/>
      <c r="BY21" s="3"/>
    </row>
    <row r="22" spans="1:77" x14ac:dyDescent="0.25">
      <c r="A22" s="3"/>
      <c r="B22" s="3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9"/>
      <c r="AW22" s="9"/>
      <c r="AX22" s="9"/>
      <c r="AY22" s="9"/>
      <c r="AZ22" s="9"/>
      <c r="BA22" s="9"/>
      <c r="BB22" s="9"/>
      <c r="BC22" s="9"/>
      <c r="BD22" s="9"/>
      <c r="BE22" s="8"/>
      <c r="BF22" s="8"/>
      <c r="BG22" s="8"/>
      <c r="BH22" s="8"/>
      <c r="BI22" s="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3"/>
      <c r="BX22" s="3"/>
      <c r="BY22" s="3"/>
    </row>
    <row r="23" spans="1:77" x14ac:dyDescent="0.25">
      <c r="A23" s="3"/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8"/>
      <c r="BF23" s="8"/>
      <c r="BG23" s="8"/>
      <c r="BH23" s="8"/>
      <c r="BI23" s="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3"/>
      <c r="BX23" s="3"/>
      <c r="BY23" s="3"/>
    </row>
    <row r="24" spans="1:77" x14ac:dyDescent="0.25">
      <c r="A24" s="3"/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8"/>
      <c r="BF24" s="8"/>
      <c r="BG24" s="8"/>
      <c r="BH24" s="8"/>
      <c r="BI24" s="8"/>
      <c r="BJ24" s="8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3"/>
      <c r="BX24" s="3"/>
      <c r="BY24" s="3"/>
    </row>
    <row r="25" spans="1:77" x14ac:dyDescent="0.25">
      <c r="A25" s="3"/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8"/>
      <c r="BF25" s="8"/>
      <c r="BG25" s="8"/>
      <c r="BH25" s="8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3"/>
      <c r="BX25" s="3"/>
      <c r="BY25" s="3"/>
    </row>
    <row r="26" spans="1:77" x14ac:dyDescent="0.25">
      <c r="A26" s="3"/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9"/>
      <c r="P26" s="9"/>
      <c r="Q26" s="9"/>
      <c r="R26" s="9"/>
      <c r="S26" s="9"/>
      <c r="T26" s="9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8"/>
      <c r="BF26" s="8"/>
      <c r="BG26" s="8"/>
      <c r="BH26" s="8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3"/>
      <c r="BX26" s="3"/>
      <c r="BY26" s="3"/>
    </row>
    <row r="27" spans="1:77" x14ac:dyDescent="0.25">
      <c r="A27" s="3"/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9"/>
      <c r="P27" s="9"/>
      <c r="Q27" s="9"/>
      <c r="R27" s="9"/>
      <c r="S27" s="9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9"/>
      <c r="AV27" s="9"/>
      <c r="AW27" s="9"/>
      <c r="AX27" s="9"/>
      <c r="AY27" s="9"/>
      <c r="AZ27" s="9"/>
      <c r="BA27" s="9"/>
      <c r="BB27" s="8"/>
      <c r="BC27" s="8"/>
      <c r="BD27" s="8"/>
      <c r="BE27" s="8"/>
      <c r="BF27" s="8"/>
      <c r="BG27" s="8"/>
      <c r="BH27" s="8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3"/>
      <c r="BX27" s="3"/>
      <c r="BY27" s="3"/>
    </row>
    <row r="28" spans="1:77" x14ac:dyDescent="0.25">
      <c r="A28" s="3"/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9"/>
      <c r="N28" s="9"/>
      <c r="O28" s="9"/>
      <c r="P28" s="9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9"/>
      <c r="AV28" s="9"/>
      <c r="AW28" s="9"/>
      <c r="AX28" s="9"/>
      <c r="AY28" s="9"/>
      <c r="AZ28" s="9"/>
      <c r="BA28" s="9"/>
      <c r="BB28" s="8"/>
      <c r="BC28" s="8"/>
      <c r="BD28" s="8"/>
      <c r="BE28" s="8"/>
      <c r="BF28" s="8"/>
      <c r="BG28" s="8"/>
      <c r="BH28" s="8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3"/>
      <c r="BX28" s="3"/>
      <c r="BY28" s="3"/>
    </row>
    <row r="29" spans="1:77" x14ac:dyDescent="0.25">
      <c r="A29" s="3"/>
      <c r="B29" s="3"/>
      <c r="C29" s="5"/>
      <c r="D29" s="5"/>
      <c r="E29" s="5"/>
      <c r="F29" s="5"/>
      <c r="G29" s="5"/>
      <c r="H29" s="5"/>
      <c r="I29" s="5"/>
      <c r="J29" s="5"/>
      <c r="K29" s="5"/>
      <c r="L29" s="9"/>
      <c r="M29" s="9"/>
      <c r="N29" s="9"/>
      <c r="O29" s="9"/>
      <c r="P29" s="10"/>
      <c r="Q29" s="10"/>
      <c r="R29" s="10"/>
      <c r="S29" s="10"/>
      <c r="T29" s="10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0"/>
      <c r="AP29" s="10"/>
      <c r="AQ29" s="10"/>
      <c r="AR29" s="10"/>
      <c r="AS29" s="10"/>
      <c r="AT29" s="10"/>
      <c r="AU29" s="9"/>
      <c r="AV29" s="9"/>
      <c r="AW29" s="9"/>
      <c r="AX29" s="9"/>
      <c r="AY29" s="9"/>
      <c r="AZ29" s="9"/>
      <c r="BA29" s="9"/>
      <c r="BB29" s="8"/>
      <c r="BC29" s="8"/>
      <c r="BD29" s="8"/>
      <c r="BE29" s="8"/>
      <c r="BF29" s="8"/>
      <c r="BG29" s="8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3"/>
      <c r="BX29" s="3"/>
      <c r="BY29" s="3"/>
    </row>
    <row r="30" spans="1:77" x14ac:dyDescent="0.25">
      <c r="A30" s="3"/>
      <c r="B30" s="3"/>
      <c r="C30" s="5"/>
      <c r="D30" s="5"/>
      <c r="E30" s="5"/>
      <c r="F30" s="5"/>
      <c r="G30" s="5"/>
      <c r="H30" s="5"/>
      <c r="I30" s="9"/>
      <c r="J30" s="9"/>
      <c r="K30" s="9"/>
      <c r="L30" s="9"/>
      <c r="M30" s="9"/>
      <c r="N30" s="9"/>
      <c r="O30" s="9"/>
      <c r="P30" s="10"/>
      <c r="Q30" s="10"/>
      <c r="R30" s="10"/>
      <c r="S30" s="10"/>
      <c r="T30" s="10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0"/>
      <c r="AP30" s="10"/>
      <c r="AQ30" s="10"/>
      <c r="AR30" s="10"/>
      <c r="AS30" s="10"/>
      <c r="AT30" s="10"/>
      <c r="AU30" s="9"/>
      <c r="AV30" s="9"/>
      <c r="AW30" s="9"/>
      <c r="AX30" s="9"/>
      <c r="AY30" s="9"/>
      <c r="AZ30" s="9"/>
      <c r="BA30" s="9"/>
      <c r="BB30" s="8"/>
      <c r="BC30" s="8"/>
      <c r="BD30" s="8"/>
      <c r="BE30" s="8"/>
      <c r="BF30" s="8"/>
      <c r="BG30" s="8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3"/>
      <c r="BX30" s="3"/>
      <c r="BY30" s="3"/>
    </row>
    <row r="31" spans="1:77" x14ac:dyDescent="0.25">
      <c r="A31" s="3"/>
      <c r="B31" s="3"/>
      <c r="C31" s="5"/>
      <c r="D31" s="5"/>
      <c r="E31" s="5"/>
      <c r="F31" s="5"/>
      <c r="G31" s="5"/>
      <c r="H31" s="8"/>
      <c r="I31" s="9"/>
      <c r="J31" s="9"/>
      <c r="K31" s="9"/>
      <c r="L31" s="9"/>
      <c r="M31" s="9"/>
      <c r="N31" s="9"/>
      <c r="O31" s="9"/>
      <c r="P31" s="10"/>
      <c r="Q31" s="10"/>
      <c r="R31" s="10"/>
      <c r="S31" s="10"/>
      <c r="T31" s="10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0"/>
      <c r="AP31" s="10"/>
      <c r="AQ31" s="10"/>
      <c r="AR31" s="10"/>
      <c r="AS31" s="10"/>
      <c r="AT31" s="10"/>
      <c r="AU31" s="9"/>
      <c r="AV31" s="9"/>
      <c r="AW31" s="9"/>
      <c r="AX31" s="9"/>
      <c r="AY31" s="9"/>
      <c r="AZ31" s="9"/>
      <c r="BA31" s="9"/>
      <c r="BB31" s="8"/>
      <c r="BC31" s="8"/>
      <c r="BD31" s="8"/>
      <c r="BE31" s="8"/>
      <c r="BF31" s="8"/>
      <c r="BG31" s="8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3"/>
      <c r="BX31" s="3"/>
      <c r="BY31" s="3"/>
    </row>
    <row r="32" spans="1:77" x14ac:dyDescent="0.25">
      <c r="A32" s="3"/>
      <c r="B32" s="3"/>
      <c r="C32" s="5"/>
      <c r="D32" s="5"/>
      <c r="E32" s="5"/>
      <c r="F32" s="8"/>
      <c r="G32" s="8"/>
      <c r="H32" s="8"/>
      <c r="I32" s="9"/>
      <c r="J32" s="9"/>
      <c r="K32" s="9"/>
      <c r="L32" s="9"/>
      <c r="M32" s="9"/>
      <c r="N32" s="9"/>
      <c r="O32" s="9"/>
      <c r="P32" s="10"/>
      <c r="Q32" s="10"/>
      <c r="R32" s="10"/>
      <c r="S32" s="10"/>
      <c r="T32" s="10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0"/>
      <c r="AP32" s="10"/>
      <c r="AQ32" s="10"/>
      <c r="AR32" s="10"/>
      <c r="AS32" s="10"/>
      <c r="AT32" s="10"/>
      <c r="AU32" s="9"/>
      <c r="AV32" s="9"/>
      <c r="AW32" s="9"/>
      <c r="AX32" s="9"/>
      <c r="AY32" s="9"/>
      <c r="AZ32" s="9"/>
      <c r="BA32" s="9"/>
      <c r="BB32" s="8"/>
      <c r="BC32" s="8"/>
      <c r="BD32" s="8"/>
      <c r="BE32" s="8"/>
      <c r="BF32" s="8"/>
      <c r="BG32" s="8"/>
      <c r="BH32" s="8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3"/>
      <c r="BX32" s="3"/>
      <c r="BY32" s="3"/>
    </row>
    <row r="33" spans="1:77" x14ac:dyDescent="0.25">
      <c r="A33" s="3"/>
      <c r="B33" s="3"/>
      <c r="C33" s="5"/>
      <c r="D33" s="5"/>
      <c r="E33" s="8"/>
      <c r="F33" s="8"/>
      <c r="G33" s="8"/>
      <c r="H33" s="8"/>
      <c r="I33" s="9"/>
      <c r="J33" s="9"/>
      <c r="K33" s="9"/>
      <c r="L33" s="9"/>
      <c r="M33" s="9"/>
      <c r="N33" s="9"/>
      <c r="O33" s="9"/>
      <c r="P33" s="10"/>
      <c r="Q33" s="10"/>
      <c r="R33" s="10"/>
      <c r="S33" s="10"/>
      <c r="T33" s="10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0"/>
      <c r="AP33" s="10"/>
      <c r="AQ33" s="10"/>
      <c r="AR33" s="10"/>
      <c r="AS33" s="10"/>
      <c r="AT33" s="10"/>
      <c r="AU33" s="9"/>
      <c r="AV33" s="9"/>
      <c r="AW33" s="9"/>
      <c r="AX33" s="9"/>
      <c r="AY33" s="9"/>
      <c r="AZ33" s="9"/>
      <c r="BA33" s="9"/>
      <c r="BB33" s="8"/>
      <c r="BC33" s="8"/>
      <c r="BD33" s="8"/>
      <c r="BE33" s="8"/>
      <c r="BF33" s="8"/>
      <c r="BG33" s="8"/>
      <c r="BH33" s="8"/>
      <c r="BI33" s="8"/>
      <c r="BJ33" s="8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3"/>
      <c r="BX33" s="3"/>
      <c r="BY33" s="3"/>
    </row>
    <row r="34" spans="1:77" x14ac:dyDescent="0.25">
      <c r="A34" s="3"/>
      <c r="B34" s="3"/>
      <c r="C34" s="5"/>
      <c r="D34" s="5"/>
      <c r="E34" s="8"/>
      <c r="F34" s="8"/>
      <c r="G34" s="8"/>
      <c r="H34" s="8"/>
      <c r="I34" s="9"/>
      <c r="J34" s="9"/>
      <c r="K34" s="9"/>
      <c r="L34" s="9"/>
      <c r="M34" s="9"/>
      <c r="N34" s="9"/>
      <c r="O34" s="9"/>
      <c r="P34" s="10"/>
      <c r="Q34" s="10"/>
      <c r="R34" s="10"/>
      <c r="S34" s="10"/>
      <c r="T34" s="10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0"/>
      <c r="AP34" s="10"/>
      <c r="AQ34" s="10"/>
      <c r="AR34" s="10"/>
      <c r="AS34" s="10"/>
      <c r="AT34" s="10"/>
      <c r="AU34" s="9"/>
      <c r="AV34" s="9"/>
      <c r="AW34" s="9"/>
      <c r="AX34" s="9"/>
      <c r="AY34" s="9"/>
      <c r="AZ34" s="9"/>
      <c r="BA34" s="9"/>
      <c r="BB34" s="8"/>
      <c r="BC34" s="8"/>
      <c r="BD34" s="8"/>
      <c r="BE34" s="8"/>
      <c r="BF34" s="8"/>
      <c r="BG34" s="8"/>
      <c r="BH34" s="8"/>
      <c r="BI34" s="8"/>
      <c r="BJ34" s="8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3"/>
      <c r="BX34" s="3"/>
      <c r="BY34" s="3"/>
    </row>
    <row r="35" spans="1:77" x14ac:dyDescent="0.25">
      <c r="A35" s="3"/>
      <c r="B35" s="3"/>
      <c r="C35" s="5"/>
      <c r="D35" s="5"/>
      <c r="E35" s="8"/>
      <c r="F35" s="8"/>
      <c r="G35" s="8"/>
      <c r="H35" s="8"/>
      <c r="I35" s="9"/>
      <c r="J35" s="9"/>
      <c r="K35" s="9"/>
      <c r="L35" s="9"/>
      <c r="M35" s="9"/>
      <c r="N35" s="9"/>
      <c r="O35" s="9"/>
      <c r="P35" s="10"/>
      <c r="Q35" s="10"/>
      <c r="R35" s="10"/>
      <c r="S35" s="10"/>
      <c r="T35" s="10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0"/>
      <c r="AP35" s="10"/>
      <c r="AQ35" s="10"/>
      <c r="AR35" s="10"/>
      <c r="AS35" s="10"/>
      <c r="AT35" s="10"/>
      <c r="AU35" s="9"/>
      <c r="AV35" s="9"/>
      <c r="AW35" s="9"/>
      <c r="AX35" s="9"/>
      <c r="AY35" s="9"/>
      <c r="AZ35" s="9"/>
      <c r="BA35" s="9"/>
      <c r="BB35" s="8"/>
      <c r="BC35" s="8"/>
      <c r="BD35" s="8"/>
      <c r="BE35" s="8"/>
      <c r="BF35" s="8"/>
      <c r="BG35" s="8"/>
      <c r="BH35" s="8"/>
      <c r="BI35" s="8"/>
      <c r="BJ35" s="8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3"/>
      <c r="BX35" s="3"/>
      <c r="BY35" s="3"/>
    </row>
    <row r="36" spans="1:77" x14ac:dyDescent="0.25">
      <c r="A36" s="3"/>
      <c r="B36" s="3"/>
      <c r="C36" s="5"/>
      <c r="D36" s="5"/>
      <c r="E36" s="8"/>
      <c r="F36" s="8"/>
      <c r="G36" s="8"/>
      <c r="H36" s="8"/>
      <c r="I36" s="9"/>
      <c r="J36" s="9"/>
      <c r="K36" s="9"/>
      <c r="L36" s="9"/>
      <c r="M36" s="9"/>
      <c r="N36" s="9"/>
      <c r="O36" s="9"/>
      <c r="P36" s="10"/>
      <c r="Q36" s="10"/>
      <c r="R36" s="10"/>
      <c r="S36" s="10"/>
      <c r="T36" s="10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0"/>
      <c r="AP36" s="10"/>
      <c r="AQ36" s="10"/>
      <c r="AR36" s="10"/>
      <c r="AS36" s="10"/>
      <c r="AT36" s="10"/>
      <c r="AU36" s="9"/>
      <c r="AV36" s="9"/>
      <c r="AW36" s="9"/>
      <c r="AX36" s="9"/>
      <c r="AY36" s="9"/>
      <c r="AZ36" s="9"/>
      <c r="BA36" s="9"/>
      <c r="BB36" s="8"/>
      <c r="BC36" s="8"/>
      <c r="BD36" s="8"/>
      <c r="BE36" s="8"/>
      <c r="BF36" s="8"/>
      <c r="BG36" s="8"/>
      <c r="BH36" s="8"/>
      <c r="BI36" s="8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3"/>
      <c r="BX36" s="3"/>
      <c r="BY36" s="3"/>
    </row>
    <row r="37" spans="1:77" x14ac:dyDescent="0.25">
      <c r="A37" s="3"/>
      <c r="B37" s="3"/>
      <c r="C37" s="5"/>
      <c r="D37" s="5"/>
      <c r="E37" s="8"/>
      <c r="F37" s="8"/>
      <c r="G37" s="8"/>
      <c r="H37" s="8"/>
      <c r="I37" s="9"/>
      <c r="J37" s="9"/>
      <c r="K37" s="9"/>
      <c r="L37" s="9"/>
      <c r="M37" s="9"/>
      <c r="N37" s="9"/>
      <c r="O37" s="9"/>
      <c r="P37" s="10"/>
      <c r="Q37" s="10"/>
      <c r="R37" s="10"/>
      <c r="S37" s="10"/>
      <c r="T37" s="10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0"/>
      <c r="AP37" s="10"/>
      <c r="AQ37" s="10"/>
      <c r="AR37" s="10"/>
      <c r="AS37" s="10"/>
      <c r="AT37" s="10"/>
      <c r="AU37" s="9"/>
      <c r="AV37" s="9"/>
      <c r="AW37" s="9"/>
      <c r="AX37" s="9"/>
      <c r="AY37" s="9"/>
      <c r="AZ37" s="9"/>
      <c r="BA37" s="9"/>
      <c r="BB37" s="8"/>
      <c r="BC37" s="8"/>
      <c r="BD37" s="8"/>
      <c r="BE37" s="8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3"/>
      <c r="BX37" s="3"/>
      <c r="BY37" s="3"/>
    </row>
    <row r="38" spans="1:77" x14ac:dyDescent="0.25">
      <c r="A38" s="3"/>
      <c r="B38" s="3"/>
      <c r="C38" s="5"/>
      <c r="D38" s="5"/>
      <c r="E38" s="8"/>
      <c r="F38" s="8"/>
      <c r="G38" s="8"/>
      <c r="H38" s="8"/>
      <c r="I38" s="9"/>
      <c r="J38" s="9"/>
      <c r="K38" s="9"/>
      <c r="L38" s="9"/>
      <c r="M38" s="9"/>
      <c r="N38" s="9"/>
      <c r="O38" s="9"/>
      <c r="P38" s="10"/>
      <c r="Q38" s="10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0"/>
      <c r="AP38" s="10"/>
      <c r="AQ38" s="10"/>
      <c r="AR38" s="10"/>
      <c r="AS38" s="10"/>
      <c r="AT38" s="10"/>
      <c r="AU38" s="9"/>
      <c r="AV38" s="9"/>
      <c r="AW38" s="9"/>
      <c r="AX38" s="9"/>
      <c r="AY38" s="9"/>
      <c r="AZ38" s="9"/>
      <c r="BA38" s="9"/>
      <c r="BB38" s="8"/>
      <c r="BC38" s="8"/>
      <c r="BD38" s="8"/>
      <c r="BE38" s="8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3"/>
      <c r="BX38" s="3"/>
      <c r="BY38" s="3"/>
    </row>
    <row r="39" spans="1:77" x14ac:dyDescent="0.25">
      <c r="A39" s="3"/>
      <c r="B39" s="3"/>
      <c r="C39" s="5"/>
      <c r="D39" s="5"/>
      <c r="E39" s="8"/>
      <c r="F39" s="8"/>
      <c r="G39" s="8"/>
      <c r="H39" s="8"/>
      <c r="I39" s="9"/>
      <c r="J39" s="9"/>
      <c r="K39" s="9"/>
      <c r="L39" s="9"/>
      <c r="M39" s="9"/>
      <c r="N39" s="9"/>
      <c r="O39" s="9"/>
      <c r="P39" s="10"/>
      <c r="Q39" s="10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0"/>
      <c r="AP39" s="10"/>
      <c r="AQ39" s="10"/>
      <c r="AR39" s="10"/>
      <c r="AS39" s="9"/>
      <c r="AT39" s="9"/>
      <c r="AU39" s="9"/>
      <c r="AV39" s="9"/>
      <c r="AW39" s="9"/>
      <c r="AX39" s="9"/>
      <c r="AY39" s="9"/>
      <c r="AZ39" s="9"/>
      <c r="BA39" s="9"/>
      <c r="BB39" s="8"/>
      <c r="BC39" s="8"/>
      <c r="BD39" s="8"/>
      <c r="BE39" s="8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3"/>
      <c r="BX39" s="3"/>
      <c r="BY39" s="3"/>
    </row>
    <row r="40" spans="1:77" x14ac:dyDescent="0.25">
      <c r="A40" s="3"/>
      <c r="B40" s="3"/>
      <c r="C40" s="5"/>
      <c r="D40" s="5"/>
      <c r="E40" s="8"/>
      <c r="F40" s="8"/>
      <c r="G40" s="8"/>
      <c r="H40" s="8"/>
      <c r="I40" s="9"/>
      <c r="J40" s="9"/>
      <c r="K40" s="9"/>
      <c r="L40" s="9"/>
      <c r="M40" s="9"/>
      <c r="N40" s="9"/>
      <c r="O40" s="9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9"/>
      <c r="AT40" s="9"/>
      <c r="AU40" s="9"/>
      <c r="AV40" s="9"/>
      <c r="AW40" s="9"/>
      <c r="AX40" s="9"/>
      <c r="AY40" s="9"/>
      <c r="AZ40" s="9"/>
      <c r="BA40" s="9"/>
      <c r="BB40" s="8"/>
      <c r="BC40" s="8"/>
      <c r="BD40" s="8"/>
      <c r="BE40" s="8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3"/>
      <c r="BX40" s="3"/>
      <c r="BY40" s="3"/>
    </row>
    <row r="41" spans="1:77" x14ac:dyDescent="0.25">
      <c r="A41" s="3"/>
      <c r="B41" s="3"/>
      <c r="C41" s="5"/>
      <c r="D41" s="5"/>
      <c r="E41" s="8"/>
      <c r="F41" s="8"/>
      <c r="G41" s="8"/>
      <c r="H41" s="8"/>
      <c r="I41" s="9"/>
      <c r="J41" s="9"/>
      <c r="K41" s="9"/>
      <c r="L41" s="9"/>
      <c r="M41" s="9"/>
      <c r="N41" s="9"/>
      <c r="O41" s="9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9"/>
      <c r="AT41" s="9"/>
      <c r="AU41" s="9"/>
      <c r="AV41" s="9"/>
      <c r="AW41" s="9"/>
      <c r="AX41" s="9"/>
      <c r="AY41" s="9"/>
      <c r="AZ41" s="9"/>
      <c r="BA41" s="9"/>
      <c r="BB41" s="8"/>
      <c r="BC41" s="8"/>
      <c r="BD41" s="8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3"/>
      <c r="BX41" s="3"/>
      <c r="BY41" s="3"/>
    </row>
    <row r="42" spans="1:77" x14ac:dyDescent="0.25">
      <c r="A42" s="3"/>
      <c r="B42" s="3"/>
      <c r="C42" s="5"/>
      <c r="D42" s="5"/>
      <c r="E42" s="5"/>
      <c r="F42" s="8"/>
      <c r="G42" s="8"/>
      <c r="H42" s="8"/>
      <c r="I42" s="9"/>
      <c r="J42" s="9"/>
      <c r="K42" s="9"/>
      <c r="L42" s="9"/>
      <c r="M42" s="9"/>
      <c r="N42" s="9"/>
      <c r="O42" s="9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9"/>
      <c r="AT42" s="9"/>
      <c r="AU42" s="9"/>
      <c r="AV42" s="9"/>
      <c r="AW42" s="9"/>
      <c r="AX42" s="9"/>
      <c r="AY42" s="9"/>
      <c r="AZ42" s="9"/>
      <c r="BA42" s="9"/>
      <c r="BB42" s="8"/>
      <c r="BC42" s="8"/>
      <c r="BD42" s="8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3"/>
      <c r="BX42" s="3"/>
      <c r="BY42" s="3"/>
    </row>
    <row r="43" spans="1:77" x14ac:dyDescent="0.25">
      <c r="A43" s="3"/>
      <c r="B43" s="3"/>
      <c r="C43" s="5"/>
      <c r="D43" s="5"/>
      <c r="E43" s="5"/>
      <c r="F43" s="5"/>
      <c r="G43" s="8"/>
      <c r="H43" s="8"/>
      <c r="I43" s="9"/>
      <c r="J43" s="9"/>
      <c r="K43" s="9"/>
      <c r="L43" s="9"/>
      <c r="M43" s="9"/>
      <c r="N43" s="9"/>
      <c r="O43" s="9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9"/>
      <c r="AT43" s="9"/>
      <c r="AU43" s="9"/>
      <c r="AV43" s="9"/>
      <c r="AW43" s="9"/>
      <c r="AX43" s="9"/>
      <c r="AY43" s="8"/>
      <c r="AZ43" s="8"/>
      <c r="BA43" s="8"/>
      <c r="BB43" s="8"/>
      <c r="BC43" s="8"/>
      <c r="BD43" s="8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3"/>
      <c r="BX43" s="3"/>
      <c r="BY43" s="3"/>
    </row>
    <row r="44" spans="1:77" x14ac:dyDescent="0.25">
      <c r="A44" s="3"/>
      <c r="B44" s="3"/>
      <c r="C44" s="5"/>
      <c r="D44" s="5"/>
      <c r="E44" s="5"/>
      <c r="F44" s="5"/>
      <c r="G44" s="5"/>
      <c r="H44" s="8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8"/>
      <c r="AZ44" s="8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3"/>
      <c r="BX44" s="3"/>
      <c r="BY44" s="3"/>
    </row>
    <row r="45" spans="1:77" x14ac:dyDescent="0.25">
      <c r="A45" s="3"/>
      <c r="B45" s="3"/>
      <c r="C45" s="5"/>
      <c r="D45" s="5"/>
      <c r="E45" s="5"/>
      <c r="F45" s="5"/>
      <c r="G45" s="5"/>
      <c r="H45" s="5"/>
      <c r="I45" s="5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8"/>
      <c r="AZ45" s="8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3"/>
      <c r="BX45" s="3"/>
      <c r="BY45" s="3"/>
    </row>
    <row r="46" spans="1:77" x14ac:dyDescent="0.25">
      <c r="A46" s="3"/>
      <c r="B46" s="3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8"/>
      <c r="AZ46" s="8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3"/>
      <c r="BX46" s="3"/>
      <c r="BY46" s="3"/>
    </row>
    <row r="47" spans="1:77" x14ac:dyDescent="0.25">
      <c r="A47" s="3"/>
      <c r="B47" s="3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8"/>
      <c r="AZ47" s="8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3"/>
      <c r="BX47" s="3"/>
      <c r="BY47" s="3"/>
    </row>
    <row r="48" spans="1:77" x14ac:dyDescent="0.25">
      <c r="A48" s="3"/>
      <c r="B48" s="3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8"/>
      <c r="AZ48" s="8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3"/>
      <c r="BX48" s="3"/>
      <c r="BY48" s="3"/>
    </row>
    <row r="49" spans="1:77" x14ac:dyDescent="0.25">
      <c r="A49" s="3"/>
      <c r="B49" s="3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8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3"/>
      <c r="BX49" s="3"/>
      <c r="BY49" s="3"/>
    </row>
    <row r="50" spans="1:77" x14ac:dyDescent="0.25">
      <c r="A50" s="3"/>
      <c r="B50" s="3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8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3"/>
      <c r="BX50" s="3"/>
      <c r="BY50" s="3"/>
    </row>
    <row r="51" spans="1:77" x14ac:dyDescent="0.25">
      <c r="A51" s="3"/>
      <c r="B51" s="3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3"/>
      <c r="BX51" s="3"/>
      <c r="BY51" s="3"/>
    </row>
    <row r="52" spans="1:77" x14ac:dyDescent="0.25">
      <c r="A52" s="3"/>
      <c r="B52" s="3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3"/>
      <c r="BX52" s="3"/>
      <c r="BY52" s="3"/>
    </row>
    <row r="53" spans="1:77" x14ac:dyDescent="0.25">
      <c r="A53" s="3"/>
      <c r="B53" s="3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3"/>
      <c r="BX53" s="3"/>
      <c r="BY53" s="3"/>
    </row>
    <row r="54" spans="1:77" x14ac:dyDescent="0.25">
      <c r="A54" s="3"/>
      <c r="B54" s="3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3"/>
      <c r="BX54" s="3"/>
      <c r="BY54" s="3"/>
    </row>
    <row r="55" spans="1:77" x14ac:dyDescent="0.25">
      <c r="A55" s="3"/>
      <c r="B55" s="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3"/>
      <c r="BX55" s="3"/>
      <c r="BY55" s="3"/>
    </row>
    <row r="56" spans="1:77" x14ac:dyDescent="0.25">
      <c r="A56" s="3"/>
      <c r="B56" s="3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3"/>
      <c r="BX56" s="3"/>
      <c r="BY56" s="3"/>
    </row>
    <row r="57" spans="1:77" x14ac:dyDescent="0.25">
      <c r="A57" s="3"/>
      <c r="B57" s="3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3"/>
      <c r="BX57" s="3"/>
      <c r="BY57" s="3"/>
    </row>
    <row r="58" spans="1:77" x14ac:dyDescent="0.25">
      <c r="A58" s="3"/>
      <c r="B58" s="3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3"/>
      <c r="BX58" s="3"/>
      <c r="BY58" s="3"/>
    </row>
    <row r="59" spans="1:77" x14ac:dyDescent="0.25">
      <c r="A59" s="3"/>
      <c r="B59" s="3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3"/>
      <c r="BX59" s="3"/>
      <c r="BY59" s="3"/>
    </row>
    <row r="60" spans="1:77" x14ac:dyDescent="0.25">
      <c r="A60" s="3"/>
      <c r="B60" s="3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3"/>
      <c r="BX60" s="3"/>
      <c r="BY60" s="3"/>
    </row>
    <row r="61" spans="1:77" x14ac:dyDescent="0.25">
      <c r="A61" s="3"/>
      <c r="B61" s="3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3"/>
      <c r="BX61" s="3"/>
      <c r="BY61" s="3"/>
    </row>
    <row r="62" spans="1:77" x14ac:dyDescent="0.25">
      <c r="A62" s="3"/>
      <c r="B62" s="3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3"/>
      <c r="BX62" s="3"/>
      <c r="BY62" s="3"/>
    </row>
    <row r="63" spans="1:77" x14ac:dyDescent="0.25">
      <c r="A63" s="3"/>
      <c r="B63" s="3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3"/>
      <c r="BX63" s="3"/>
      <c r="BY63" s="3"/>
    </row>
    <row r="64" spans="1:77" x14ac:dyDescent="0.25">
      <c r="A64" s="3"/>
      <c r="B64" s="3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3"/>
      <c r="BX64" s="3"/>
      <c r="BY64" s="3"/>
    </row>
    <row r="65" spans="1:77" x14ac:dyDescent="0.25">
      <c r="A65" s="3"/>
      <c r="B65" s="3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3"/>
      <c r="BX65" s="3"/>
      <c r="BY65" s="3"/>
    </row>
    <row r="66" spans="1:77" x14ac:dyDescent="0.25">
      <c r="A66" s="3"/>
      <c r="B66" s="3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3"/>
      <c r="BX66" s="3"/>
      <c r="BY66" s="3"/>
    </row>
    <row r="67" spans="1:77" x14ac:dyDescent="0.25">
      <c r="A67" s="3"/>
      <c r="B67" s="3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3"/>
      <c r="BX67" s="3"/>
      <c r="BY67" s="3"/>
    </row>
    <row r="68" spans="1:77" x14ac:dyDescent="0.25">
      <c r="A68" s="3"/>
      <c r="B68" s="3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3"/>
      <c r="BX68" s="3"/>
      <c r="BY68" s="3"/>
    </row>
    <row r="69" spans="1:77" x14ac:dyDescent="0.25">
      <c r="A69" s="3"/>
      <c r="B69" s="3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3"/>
      <c r="BX69" s="3"/>
      <c r="BY69" s="3"/>
    </row>
    <row r="70" spans="1:77" x14ac:dyDescent="0.25">
      <c r="A70" s="3"/>
      <c r="B70" s="3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3"/>
      <c r="BX70" s="3"/>
      <c r="BY70" s="3"/>
    </row>
    <row r="71" spans="1:77" x14ac:dyDescent="0.25">
      <c r="A71" s="3"/>
      <c r="B71" s="3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3"/>
      <c r="BX71" s="3"/>
      <c r="BY71" s="3"/>
    </row>
    <row r="72" spans="1:77" x14ac:dyDescent="0.25">
      <c r="A72" s="3"/>
      <c r="B72" s="3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3"/>
      <c r="BX72" s="3"/>
      <c r="BY72" s="3"/>
    </row>
    <row r="73" spans="1:77" x14ac:dyDescent="0.25">
      <c r="A73" s="3"/>
      <c r="B73" s="3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12"/>
      <c r="BA73" s="12"/>
      <c r="BB73" s="12"/>
      <c r="BC73" s="5"/>
      <c r="BD73" s="5"/>
      <c r="BE73" s="5"/>
      <c r="BF73" s="12"/>
      <c r="BG73" s="12"/>
      <c r="BH73" s="12"/>
      <c r="BI73" s="12"/>
      <c r="BJ73" s="12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3"/>
      <c r="BX73" s="3"/>
      <c r="BY73" s="3"/>
    </row>
    <row r="74" spans="1:77" x14ac:dyDescent="0.25">
      <c r="A74" s="3"/>
      <c r="B74" s="3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12"/>
      <c r="BB74" s="12"/>
      <c r="BC74" s="5"/>
      <c r="BD74" s="5"/>
      <c r="BE74" s="5"/>
      <c r="BF74" s="5"/>
      <c r="BG74" s="13"/>
      <c r="BH74" s="12"/>
      <c r="BI74" s="12"/>
      <c r="BJ74" s="12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3"/>
      <c r="BX74" s="3"/>
      <c r="BY74" s="3"/>
    </row>
    <row r="75" spans="1:77" x14ac:dyDescent="0.25">
      <c r="A75" s="3"/>
      <c r="B75" s="3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3"/>
      <c r="BX75" s="3"/>
      <c r="BY75" s="3"/>
    </row>
    <row r="76" spans="1:77" x14ac:dyDescent="0.25">
      <c r="A76" s="3"/>
      <c r="B76" s="3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3"/>
      <c r="BX76" s="3"/>
      <c r="BY76" s="3"/>
    </row>
    <row r="77" spans="1:77" x14ac:dyDescent="0.25">
      <c r="A77" s="3"/>
      <c r="B77" s="3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3"/>
      <c r="BX77" s="3"/>
      <c r="BY77" s="3"/>
    </row>
    <row r="78" spans="1:77" x14ac:dyDescent="0.25">
      <c r="A78" s="3"/>
      <c r="B78" s="3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3"/>
      <c r="BX78" s="3"/>
      <c r="BY78" s="3"/>
    </row>
    <row r="79" spans="1:77" x14ac:dyDescent="0.25">
      <c r="A79" s="3"/>
      <c r="B79" s="3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3"/>
      <c r="BX79" s="3"/>
      <c r="BY79" s="3"/>
    </row>
    <row r="80" spans="1:77" x14ac:dyDescent="0.25">
      <c r="A80" s="3"/>
      <c r="B80" s="3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3"/>
      <c r="BX80" s="3"/>
      <c r="BY80" s="3"/>
    </row>
    <row r="81" spans="1:77" x14ac:dyDescent="0.25">
      <c r="A81" s="3"/>
      <c r="B81" s="3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3"/>
      <c r="BX81" s="3"/>
      <c r="BY81" s="3"/>
    </row>
    <row r="82" spans="1:77" x14ac:dyDescent="0.25">
      <c r="A82" s="3"/>
      <c r="B82" s="3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3"/>
      <c r="BX82" s="3"/>
      <c r="BY82" s="3"/>
    </row>
    <row r="83" spans="1:77" x14ac:dyDescent="0.25">
      <c r="A83" s="3"/>
      <c r="B83" s="3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3"/>
      <c r="BX83" s="3"/>
      <c r="BY83" s="3"/>
    </row>
    <row r="84" spans="1:77" x14ac:dyDescent="0.25">
      <c r="A84" s="3"/>
      <c r="B84" s="3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3"/>
      <c r="BX84" s="3"/>
      <c r="BY84" s="3"/>
    </row>
    <row r="85" spans="1:77" x14ac:dyDescent="0.25">
      <c r="A85" s="3"/>
      <c r="B85" s="3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3"/>
      <c r="BX85" s="3"/>
      <c r="BY85" s="3"/>
    </row>
    <row r="86" spans="1:77" x14ac:dyDescent="0.25">
      <c r="A86" s="3"/>
      <c r="B86" s="3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3"/>
      <c r="BX86" s="3"/>
      <c r="BY86" s="3"/>
    </row>
    <row r="87" spans="1:77" x14ac:dyDescent="0.25">
      <c r="A87" s="3"/>
      <c r="B87" s="3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3"/>
      <c r="BX87" s="3"/>
      <c r="BY87" s="3"/>
    </row>
    <row r="88" spans="1:77" x14ac:dyDescent="0.25">
      <c r="A88" s="3"/>
      <c r="B88" s="3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3"/>
      <c r="BX88" s="3"/>
      <c r="BY88" s="3"/>
    </row>
    <row r="89" spans="1:77" x14ac:dyDescent="0.25">
      <c r="A89" s="3"/>
      <c r="B89" s="3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3"/>
      <c r="BX89" s="3"/>
      <c r="BY89" s="3"/>
    </row>
    <row r="90" spans="1:77" x14ac:dyDescent="0.25">
      <c r="A90" s="3"/>
      <c r="B90" s="3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3"/>
      <c r="BX90" s="3"/>
      <c r="BY90" s="3"/>
    </row>
    <row r="91" spans="1:77" x14ac:dyDescent="0.25">
      <c r="A91" s="3"/>
      <c r="B91" s="3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3"/>
      <c r="BX91" s="3"/>
      <c r="BY91" s="3"/>
    </row>
    <row r="92" spans="1:77" x14ac:dyDescent="0.25">
      <c r="A92" s="3"/>
      <c r="B92" s="3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3"/>
      <c r="BX92" s="3"/>
      <c r="BY92" s="3"/>
    </row>
    <row r="93" spans="1:77" x14ac:dyDescent="0.25">
      <c r="A93" s="3"/>
      <c r="B93" s="3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3"/>
      <c r="BX93" s="3"/>
      <c r="BY93" s="3"/>
    </row>
    <row r="94" spans="1:77" x14ac:dyDescent="0.25">
      <c r="A94" s="3"/>
      <c r="B94" s="3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3"/>
      <c r="BX94" s="3"/>
      <c r="BY94" s="3"/>
    </row>
    <row r="95" spans="1:77" x14ac:dyDescent="0.25">
      <c r="A95" s="3"/>
      <c r="B95" s="3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3"/>
      <c r="BX95" s="3"/>
      <c r="BY95" s="3"/>
    </row>
    <row r="96" spans="1:77" x14ac:dyDescent="0.25">
      <c r="A96" s="3"/>
      <c r="B96" s="3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3"/>
      <c r="BX96" s="3"/>
      <c r="BY96" s="3"/>
    </row>
    <row r="97" spans="1:77" x14ac:dyDescent="0.25">
      <c r="A97" s="3"/>
      <c r="B97" s="3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3"/>
      <c r="BX97" s="3"/>
      <c r="BY97" s="3"/>
    </row>
    <row r="98" spans="1:77" x14ac:dyDescent="0.25">
      <c r="A98" s="3"/>
      <c r="B98" s="3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3"/>
      <c r="BX98" s="3"/>
      <c r="BY98" s="3"/>
    </row>
    <row r="99" spans="1:77" x14ac:dyDescent="0.25">
      <c r="A99" s="3"/>
      <c r="B99" s="3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3"/>
      <c r="BX99" s="3"/>
      <c r="BY99" s="3"/>
    </row>
    <row r="100" spans="1:77" x14ac:dyDescent="0.25">
      <c r="A100" s="3"/>
      <c r="B100" s="3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3"/>
      <c r="BX100" s="3"/>
      <c r="BY100" s="3"/>
    </row>
    <row r="101" spans="1:77" x14ac:dyDescent="0.25">
      <c r="A101" s="3"/>
      <c r="B101" s="3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3"/>
      <c r="BX101" s="3"/>
      <c r="BY101" s="3"/>
    </row>
    <row r="102" spans="1:77" x14ac:dyDescent="0.25">
      <c r="A102" s="3"/>
      <c r="B102" s="3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3"/>
      <c r="BX102" s="3"/>
      <c r="BY102" s="3"/>
    </row>
    <row r="103" spans="1:77" x14ac:dyDescent="0.25">
      <c r="A103" s="3"/>
      <c r="B103" s="3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3"/>
      <c r="BX103" s="3"/>
      <c r="BY103" s="3"/>
    </row>
    <row r="104" spans="1:77" x14ac:dyDescent="0.25">
      <c r="A104" s="3"/>
      <c r="B104" s="3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3"/>
      <c r="BX104" s="3"/>
      <c r="BY104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Pooling Data Map</vt:lpstr>
      <vt:lpstr>All Sections</vt:lpstr>
      <vt:lpstr>Data</vt:lpstr>
      <vt:lpstr>Clean Data</vt:lpstr>
      <vt:lpstr>Clean Map</vt:lpstr>
      <vt:lpstr>TrimmedMap</vt:lpstr>
      <vt:lpstr>TrimmedMap2</vt:lpstr>
      <vt:lpstr>Clean Map2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Research1</dc:creator>
  <cp:lastModifiedBy>Research1</cp:lastModifiedBy>
  <cp:lastPrinted>2017-06-15T16:37:24Z</cp:lastPrinted>
  <dcterms:created xsi:type="dcterms:W3CDTF">2017-05-01T19:49:07Z</dcterms:created>
  <dcterms:modified xsi:type="dcterms:W3CDTF">2017-06-22T14:39:23Z</dcterms:modified>
</cp:coreProperties>
</file>