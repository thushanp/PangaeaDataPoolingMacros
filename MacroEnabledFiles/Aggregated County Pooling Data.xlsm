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CHEROKEE\Research\Thushan 2017 Summer\"/>
    </mc:Choice>
  </mc:AlternateContent>
  <bookViews>
    <workbookView xWindow="0" yWindow="0" windowWidth="19200" windowHeight="12660" activeTab="2"/>
  </bookViews>
  <sheets>
    <sheet name="Pooling Data Map" sheetId="6" r:id="rId1"/>
    <sheet name="Data" sheetId="3" r:id="rId2"/>
    <sheet name="CleanData" sheetId="2" r:id="rId3"/>
    <sheet name="Paloma Priority" sheetId="4" r:id="rId4"/>
    <sheet name="Aggregated Pooling Data" sheetId="5" r:id="rId5"/>
  </sheets>
  <functionGroups builtInGroupCount="18"/>
  <definedNames>
    <definedName name="_xlnm._FilterDatabase" localSheetId="2" hidden="1">CleanData!$B$1:$O$1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O18" i="6" l="1"/>
  <c r="CO6" i="6"/>
  <c r="CO17" i="6"/>
  <c r="CO20" i="6"/>
  <c r="CO8" i="6"/>
  <c r="CZ8" i="6"/>
  <c r="CO7" i="6"/>
  <c r="CZ7" i="6"/>
  <c r="CZ6" i="6"/>
  <c r="O2036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2143" i="2"/>
  <c r="O2144" i="2"/>
  <c r="O2145" i="2"/>
  <c r="O2146" i="2"/>
  <c r="O2147" i="2"/>
  <c r="O2148" i="2"/>
  <c r="O2149" i="2"/>
  <c r="O2150" i="2"/>
  <c r="O2151" i="2"/>
  <c r="O2152" i="2"/>
  <c r="O2153" i="2"/>
  <c r="O2154" i="2"/>
  <c r="O2155" i="2"/>
  <c r="O2156" i="2"/>
  <c r="O2157" i="2"/>
  <c r="O2158" i="2"/>
  <c r="O2159" i="2"/>
  <c r="O2160" i="2"/>
  <c r="O2161" i="2"/>
  <c r="O2162" i="2"/>
  <c r="O2163" i="2"/>
  <c r="O2164" i="2"/>
  <c r="O2165" i="2"/>
  <c r="O2166" i="2"/>
  <c r="O2167" i="2"/>
  <c r="O2168" i="2"/>
  <c r="O2169" i="2"/>
  <c r="O2170" i="2"/>
  <c r="O2171" i="2"/>
  <c r="O2172" i="2"/>
  <c r="O2173" i="2"/>
  <c r="O2174" i="2"/>
  <c r="O2175" i="2"/>
  <c r="O2176" i="2"/>
  <c r="O2177" i="2"/>
  <c r="O2178" i="2"/>
  <c r="O2179" i="2"/>
  <c r="O2180" i="2"/>
  <c r="O2181" i="2"/>
  <c r="O2182" i="2"/>
  <c r="O2183" i="2"/>
  <c r="O2184" i="2"/>
  <c r="O2185" i="2"/>
  <c r="O2186" i="2"/>
  <c r="O2187" i="2"/>
  <c r="O2188" i="2"/>
  <c r="O2189" i="2"/>
  <c r="O2190" i="2"/>
  <c r="O2191" i="2"/>
  <c r="O2192" i="2"/>
  <c r="O2193" i="2"/>
  <c r="O2194" i="2"/>
  <c r="O2195" i="2"/>
  <c r="O2196" i="2"/>
  <c r="O2197" i="2"/>
  <c r="O2198" i="2"/>
  <c r="O2199" i="2"/>
  <c r="O2200" i="2"/>
  <c r="O2201" i="2"/>
  <c r="O2202" i="2"/>
  <c r="O2203" i="2"/>
  <c r="O2204" i="2"/>
  <c r="O2205" i="2"/>
  <c r="O2206" i="2"/>
  <c r="O2207" i="2"/>
  <c r="O2208" i="2"/>
  <c r="O2209" i="2"/>
  <c r="O2210" i="2"/>
  <c r="O2211" i="2"/>
  <c r="O2212" i="2"/>
  <c r="O2213" i="2"/>
  <c r="O2214" i="2"/>
  <c r="O2215" i="2"/>
  <c r="O2216" i="2"/>
  <c r="O2217" i="2"/>
  <c r="O2218" i="2"/>
  <c r="O2219" i="2"/>
  <c r="O2220" i="2"/>
  <c r="O2221" i="2"/>
  <c r="O2222" i="2"/>
  <c r="O2223" i="2"/>
  <c r="O2224" i="2"/>
  <c r="O2225" i="2"/>
  <c r="O2226" i="2"/>
  <c r="O2227" i="2"/>
  <c r="O2228" i="2"/>
  <c r="O2229" i="2"/>
  <c r="O2230" i="2"/>
  <c r="O2231" i="2"/>
  <c r="O2232" i="2"/>
  <c r="O2233" i="2"/>
  <c r="O2234" i="2"/>
  <c r="O2235" i="2"/>
  <c r="O2236" i="2"/>
  <c r="O2237" i="2"/>
  <c r="O2238" i="2"/>
  <c r="O2239" i="2"/>
  <c r="O2240" i="2"/>
  <c r="O2241" i="2"/>
  <c r="O2242" i="2"/>
  <c r="O2243" i="2"/>
  <c r="O2244" i="2"/>
  <c r="O2245" i="2"/>
  <c r="O2246" i="2"/>
  <c r="O2247" i="2"/>
  <c r="O2248" i="2"/>
  <c r="O2249" i="2"/>
  <c r="O2250" i="2"/>
  <c r="O2251" i="2"/>
  <c r="O2252" i="2"/>
  <c r="O2253" i="2"/>
  <c r="O2254" i="2"/>
  <c r="O2255" i="2"/>
  <c r="O2256" i="2"/>
  <c r="O2257" i="2"/>
  <c r="O2258" i="2"/>
  <c r="O2259" i="2"/>
  <c r="O2260" i="2"/>
  <c r="O2261" i="2"/>
  <c r="O2262" i="2"/>
  <c r="O2263" i="2"/>
  <c r="O2264" i="2"/>
  <c r="O2265" i="2"/>
  <c r="O2266" i="2"/>
  <c r="O2267" i="2"/>
  <c r="O2268" i="2"/>
  <c r="O2269" i="2"/>
  <c r="O2270" i="2"/>
  <c r="O2271" i="2"/>
  <c r="O2272" i="2"/>
  <c r="O2273" i="2"/>
  <c r="O2274" i="2"/>
  <c r="O2275" i="2"/>
  <c r="O2276" i="2"/>
  <c r="O2277" i="2"/>
  <c r="O2278" i="2"/>
  <c r="O2279" i="2"/>
  <c r="O2280" i="2"/>
  <c r="O2281" i="2"/>
  <c r="O2282" i="2"/>
  <c r="O2283" i="2"/>
  <c r="O2284" i="2"/>
  <c r="O2285" i="2"/>
  <c r="O2286" i="2"/>
  <c r="O2287" i="2"/>
  <c r="O2288" i="2"/>
  <c r="O2289" i="2"/>
  <c r="O2290" i="2"/>
  <c r="O2291" i="2"/>
  <c r="O2292" i="2"/>
  <c r="O2293" i="2"/>
  <c r="O2294" i="2"/>
  <c r="O2295" i="2"/>
  <c r="O2296" i="2"/>
  <c r="O2297" i="2"/>
  <c r="O2298" i="2"/>
  <c r="O2299" i="2"/>
  <c r="O2300" i="2"/>
  <c r="O2301" i="2"/>
  <c r="O2302" i="2"/>
  <c r="O2303" i="2"/>
  <c r="O2304" i="2"/>
  <c r="O2305" i="2"/>
  <c r="O2306" i="2"/>
  <c r="O2307" i="2"/>
  <c r="O2308" i="2"/>
  <c r="O2309" i="2"/>
  <c r="O2310" i="2"/>
  <c r="O2311" i="2"/>
  <c r="O2312" i="2"/>
  <c r="O2313" i="2"/>
  <c r="O2314" i="2"/>
  <c r="O2315" i="2"/>
  <c r="O2316" i="2"/>
  <c r="O2317" i="2"/>
  <c r="O2318" i="2"/>
  <c r="O2319" i="2"/>
  <c r="O2320" i="2"/>
  <c r="O2321" i="2"/>
  <c r="O2322" i="2"/>
  <c r="O2323" i="2"/>
  <c r="O2324" i="2"/>
  <c r="O2325" i="2"/>
  <c r="O2326" i="2"/>
  <c r="O2327" i="2"/>
  <c r="O2328" i="2"/>
  <c r="O2329" i="2"/>
  <c r="O2330" i="2"/>
  <c r="O2331" i="2"/>
  <c r="O2332" i="2"/>
  <c r="O2333" i="2"/>
  <c r="O2334" i="2"/>
  <c r="O2335" i="2"/>
  <c r="O2336" i="2"/>
  <c r="O2337" i="2"/>
  <c r="O2338" i="2"/>
  <c r="O2339" i="2"/>
  <c r="O2340" i="2"/>
  <c r="O2341" i="2"/>
  <c r="O2342" i="2"/>
  <c r="O2343" i="2"/>
  <c r="O2344" i="2"/>
  <c r="O2345" i="2"/>
  <c r="O2346" i="2"/>
  <c r="O2347" i="2"/>
  <c r="O2348" i="2"/>
  <c r="O2349" i="2"/>
  <c r="O2350" i="2"/>
  <c r="O2351" i="2"/>
  <c r="O2352" i="2"/>
  <c r="O2353" i="2"/>
  <c r="O2354" i="2"/>
  <c r="O2355" i="2"/>
  <c r="O2356" i="2"/>
  <c r="O2357" i="2"/>
  <c r="O2358" i="2"/>
  <c r="O2359" i="2"/>
  <c r="O2360" i="2"/>
  <c r="O2361" i="2"/>
  <c r="O2362" i="2"/>
  <c r="O2363" i="2"/>
  <c r="O2364" i="2"/>
  <c r="O2365" i="2"/>
  <c r="O2366" i="2"/>
  <c r="O2367" i="2"/>
  <c r="O2368" i="2"/>
  <c r="O2369" i="2"/>
  <c r="O2370" i="2"/>
  <c r="O2371" i="2"/>
  <c r="O2372" i="2"/>
  <c r="O2373" i="2"/>
  <c r="O2374" i="2"/>
  <c r="O2375" i="2"/>
  <c r="O2376" i="2"/>
  <c r="O2377" i="2"/>
  <c r="O2378" i="2"/>
  <c r="O2379" i="2"/>
  <c r="O2380" i="2"/>
  <c r="O2381" i="2"/>
  <c r="O2382" i="2"/>
  <c r="O2383" i="2"/>
  <c r="O2384" i="2"/>
  <c r="O2385" i="2"/>
  <c r="O2386" i="2"/>
  <c r="O2387" i="2"/>
  <c r="O2388" i="2"/>
  <c r="O2389" i="2"/>
  <c r="O2390" i="2"/>
  <c r="O2391" i="2"/>
  <c r="O2392" i="2"/>
  <c r="O2393" i="2"/>
  <c r="O2394" i="2"/>
  <c r="O2395" i="2"/>
  <c r="O2396" i="2"/>
  <c r="O2397" i="2"/>
  <c r="O2398" i="2"/>
  <c r="O2399" i="2"/>
  <c r="O2400" i="2"/>
  <c r="O2401" i="2"/>
  <c r="O2402" i="2"/>
  <c r="O2403" i="2"/>
  <c r="O2404" i="2"/>
  <c r="O2405" i="2"/>
  <c r="O2406" i="2"/>
  <c r="O2407" i="2"/>
  <c r="O2408" i="2"/>
  <c r="O2409" i="2"/>
  <c r="O2410" i="2"/>
  <c r="O2411" i="2"/>
  <c r="O2412" i="2"/>
  <c r="O2413" i="2"/>
  <c r="O2414" i="2"/>
  <c r="O2415" i="2"/>
  <c r="O2416" i="2"/>
  <c r="O2417" i="2"/>
  <c r="O2418" i="2"/>
  <c r="O2419" i="2"/>
  <c r="O2420" i="2"/>
  <c r="O2421" i="2"/>
  <c r="O2422" i="2"/>
  <c r="O2423" i="2"/>
  <c r="O2424" i="2"/>
  <c r="O2425" i="2"/>
  <c r="O2426" i="2"/>
  <c r="O2427" i="2"/>
  <c r="O2428" i="2"/>
  <c r="O2429" i="2"/>
  <c r="O2430" i="2"/>
  <c r="O2431" i="2"/>
  <c r="O2432" i="2"/>
  <c r="O2433" i="2"/>
  <c r="O2434" i="2"/>
  <c r="O2435" i="2"/>
  <c r="O2436" i="2"/>
  <c r="F540" i="4"/>
  <c r="F539" i="4"/>
  <c r="F538" i="4"/>
  <c r="F537" i="4"/>
  <c r="F536" i="4"/>
  <c r="F535" i="4"/>
  <c r="F534" i="4"/>
  <c r="F533" i="4"/>
  <c r="F532" i="4"/>
  <c r="F531" i="4"/>
  <c r="F530" i="4"/>
  <c r="F529" i="4"/>
  <c r="F528" i="4"/>
  <c r="F527" i="4"/>
  <c r="F526" i="4"/>
  <c r="F525" i="4"/>
  <c r="F524" i="4"/>
  <c r="F523" i="4"/>
  <c r="F522" i="4"/>
  <c r="F521" i="4"/>
  <c r="F520" i="4"/>
  <c r="F519" i="4"/>
  <c r="F518" i="4"/>
  <c r="F517" i="4"/>
  <c r="F506" i="4"/>
  <c r="F507" i="4"/>
  <c r="F508" i="4"/>
  <c r="F509" i="4"/>
  <c r="F510" i="4"/>
  <c r="F511" i="4"/>
  <c r="F512" i="4"/>
  <c r="F513" i="4"/>
  <c r="F514" i="4"/>
  <c r="F515" i="4"/>
  <c r="F516" i="4"/>
  <c r="F505" i="4"/>
  <c r="F504" i="4"/>
  <c r="F503" i="4"/>
  <c r="F502" i="4"/>
  <c r="F501" i="4"/>
  <c r="F500" i="4"/>
  <c r="F499" i="4"/>
  <c r="F498" i="4"/>
  <c r="F497" i="4"/>
  <c r="F496" i="4"/>
  <c r="F495" i="4"/>
  <c r="F494" i="4"/>
  <c r="F493" i="4"/>
  <c r="F492" i="4"/>
  <c r="F491" i="4"/>
  <c r="F490" i="4"/>
  <c r="F489" i="4"/>
  <c r="F488" i="4"/>
  <c r="F487" i="4"/>
  <c r="F486" i="4"/>
  <c r="F485" i="4"/>
  <c r="F484" i="4"/>
  <c r="F483" i="4"/>
  <c r="F482" i="4"/>
  <c r="F481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53" i="4"/>
  <c r="F452" i="4"/>
  <c r="F451" i="4"/>
  <c r="F450" i="4"/>
  <c r="F449" i="4"/>
  <c r="F448" i="4"/>
  <c r="F447" i="4"/>
  <c r="F446" i="4"/>
  <c r="F445" i="4"/>
  <c r="F444" i="4"/>
  <c r="F443" i="4"/>
  <c r="F442" i="4"/>
  <c r="F441" i="4"/>
  <c r="F430" i="4"/>
  <c r="F431" i="4"/>
  <c r="F432" i="4"/>
  <c r="F433" i="4"/>
  <c r="F434" i="4"/>
  <c r="F435" i="4"/>
  <c r="F436" i="4"/>
  <c r="F437" i="4"/>
  <c r="F438" i="4"/>
  <c r="F439" i="4"/>
  <c r="F440" i="4"/>
  <c r="F429" i="4"/>
  <c r="F404" i="4"/>
  <c r="F403" i="4"/>
  <c r="F402" i="4"/>
  <c r="F401" i="4"/>
  <c r="F428" i="4"/>
  <c r="F427" i="4"/>
  <c r="F426" i="4"/>
  <c r="F425" i="4"/>
  <c r="F424" i="4"/>
  <c r="F423" i="4"/>
  <c r="F422" i="4"/>
  <c r="F421" i="4"/>
  <c r="F420" i="4"/>
  <c r="F419" i="4"/>
  <c r="F418" i="4"/>
  <c r="F417" i="4"/>
  <c r="F416" i="4"/>
  <c r="F415" i="4"/>
  <c r="F414" i="4"/>
  <c r="F413" i="4"/>
  <c r="F412" i="4"/>
  <c r="F411" i="4"/>
  <c r="F410" i="4"/>
  <c r="F409" i="4"/>
  <c r="F408" i="4"/>
  <c r="F407" i="4"/>
  <c r="F406" i="4"/>
  <c r="F405" i="4"/>
  <c r="F400" i="4"/>
  <c r="F399" i="4"/>
  <c r="F398" i="4"/>
  <c r="F397" i="4"/>
  <c r="F396" i="4"/>
  <c r="F395" i="4"/>
  <c r="F394" i="4"/>
  <c r="F393" i="4"/>
  <c r="F392" i="4"/>
  <c r="F391" i="4"/>
  <c r="F390" i="4"/>
  <c r="F389" i="4"/>
  <c r="F388" i="4"/>
  <c r="F387" i="4"/>
  <c r="F386" i="4"/>
  <c r="F385" i="4"/>
  <c r="F384" i="4"/>
  <c r="F383" i="4"/>
  <c r="F382" i="4"/>
  <c r="F381" i="4"/>
  <c r="F380" i="4"/>
  <c r="F379" i="4"/>
  <c r="F378" i="4"/>
  <c r="F377" i="4"/>
  <c r="F376" i="4"/>
  <c r="F375" i="4"/>
  <c r="F374" i="4"/>
  <c r="F373" i="4"/>
  <c r="F372" i="4"/>
  <c r="F371" i="4"/>
  <c r="F370" i="4"/>
  <c r="F369" i="4"/>
  <c r="F368" i="4"/>
  <c r="F367" i="4"/>
  <c r="F366" i="4"/>
  <c r="F365" i="4"/>
  <c r="F364" i="4"/>
  <c r="F363" i="4"/>
  <c r="F362" i="4"/>
  <c r="F361" i="4"/>
  <c r="F360" i="4"/>
  <c r="F359" i="4"/>
  <c r="F358" i="4"/>
  <c r="F357" i="4"/>
  <c r="F356" i="4"/>
  <c r="F355" i="4"/>
  <c r="F354" i="4"/>
  <c r="F353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28" i="4"/>
  <c r="F327" i="4"/>
  <c r="F326" i="4"/>
  <c r="F325" i="4"/>
  <c r="F324" i="4"/>
  <c r="F323" i="4"/>
  <c r="F322" i="4"/>
  <c r="F321" i="4"/>
  <c r="F320" i="4"/>
  <c r="F319" i="4"/>
  <c r="F318" i="4"/>
  <c r="F317" i="4"/>
  <c r="F316" i="4"/>
  <c r="F315" i="4"/>
  <c r="F314" i="4"/>
  <c r="F313" i="4"/>
  <c r="F312" i="4"/>
  <c r="F311" i="4"/>
  <c r="F310" i="4"/>
  <c r="F309" i="4"/>
  <c r="F308" i="4"/>
  <c r="F307" i="4"/>
  <c r="F306" i="4"/>
  <c r="F305" i="4"/>
  <c r="F304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49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3" i="4"/>
</calcChain>
</file>

<file path=xl/sharedStrings.xml><?xml version="1.0" encoding="utf-8"?>
<sst xmlns="http://schemas.openxmlformats.org/spreadsheetml/2006/main" count="12645" uniqueCount="3055">
  <si>
    <t>Historical</t>
  </si>
  <si>
    <t>Final</t>
  </si>
  <si>
    <t>Pooling Case #</t>
  </si>
  <si>
    <t>Status</t>
  </si>
  <si>
    <t>Order Number</t>
  </si>
  <si>
    <t>Operator</t>
  </si>
  <si>
    <t>County</t>
  </si>
  <si>
    <t>Coordinates</t>
  </si>
  <si>
    <t>Section</t>
  </si>
  <si>
    <t>Township</t>
  </si>
  <si>
    <t>Range</t>
  </si>
  <si>
    <t>Input Date</t>
  </si>
  <si>
    <t>Hearing/Continued/Order Date</t>
  </si>
  <si>
    <t>C2!!</t>
  </si>
  <si>
    <t>Order Status (Final?)</t>
  </si>
  <si>
    <t># of Respondents</t>
  </si>
  <si>
    <t>Paloma Rating</t>
  </si>
  <si>
    <t>16N</t>
  </si>
  <si>
    <t>Priority</t>
  </si>
  <si>
    <t>15N</t>
  </si>
  <si>
    <t>10W</t>
  </si>
  <si>
    <t>14N</t>
  </si>
  <si>
    <t>11W</t>
  </si>
  <si>
    <t>09W</t>
  </si>
  <si>
    <t>08W</t>
  </si>
  <si>
    <t>12W</t>
  </si>
  <si>
    <t>17N</t>
  </si>
  <si>
    <t>07W</t>
  </si>
  <si>
    <t>-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</si>
  <si>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</si>
  <si>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</si>
  <si>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</si>
  <si>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</si>
  <si>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</si>
  <si>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</si>
  <si>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</si>
  <si>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</si>
  <si>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</si>
  <si>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</si>
  <si>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</si>
  <si>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</si>
  <si>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 LONGFELLOW ENERGY LP</t>
  </si>
  <si>
    <t> 201700943</t>
  </si>
  <si>
    <t>36-19N-06W</t>
  </si>
  <si>
    <t> NEWFIELD EXPL MID CONTINT</t>
  </si>
  <si>
    <t>Not Monitored</t>
  </si>
  <si>
    <t>02-17N-08W</t>
  </si>
  <si>
    <t>03-17N-08W</t>
  </si>
  <si>
    <t>Interim</t>
  </si>
  <si>
    <t>04-17N-08W</t>
  </si>
  <si>
    <t>Dismissal</t>
  </si>
  <si>
    <t>05-17N-08W</t>
  </si>
  <si>
    <t>07-17N-08W</t>
  </si>
  <si>
    <t>09-17N-08W</t>
  </si>
  <si>
    <t>10-17N-08W</t>
  </si>
  <si>
    <t>11-17N-08W</t>
  </si>
  <si>
    <t>12-17N-08W</t>
  </si>
  <si>
    <t>13-17N-08W</t>
  </si>
  <si>
    <t>14-17N-08W</t>
  </si>
  <si>
    <t>15-17N-08W</t>
  </si>
  <si>
    <t>16-17N-08W</t>
  </si>
  <si>
    <t>17-17N-08W</t>
  </si>
  <si>
    <t>19-17N-08W</t>
  </si>
  <si>
    <t>Emergency</t>
  </si>
  <si>
    <t>20-17N-08W</t>
  </si>
  <si>
    <t>21-17N-08W</t>
  </si>
  <si>
    <t>22-17N-08W</t>
  </si>
  <si>
    <t>23-17N-08W</t>
  </si>
  <si>
    <t> PAYROCK ENERGY LLC</t>
  </si>
  <si>
    <t>24-17N-08W</t>
  </si>
  <si>
    <t>27-17N-08W</t>
  </si>
  <si>
    <t>28-17N-08W</t>
  </si>
  <si>
    <t>29-17N-08W</t>
  </si>
  <si>
    <t>34-17N-08W</t>
  </si>
  <si>
    <t>35-17N-08W</t>
  </si>
  <si>
    <t>01-17N-08W</t>
  </si>
  <si>
    <t>Recommended</t>
  </si>
  <si>
    <t> 201604826-T</t>
  </si>
  <si>
    <t> 201503508-T</t>
  </si>
  <si>
    <t> 201600651-T</t>
  </si>
  <si>
    <t> 201503584-T</t>
  </si>
  <si>
    <t> 201503162-T</t>
  </si>
  <si>
    <t> 201501597-T</t>
  </si>
  <si>
    <t>06-17N-08W</t>
  </si>
  <si>
    <t> 201502358-T</t>
  </si>
  <si>
    <t> 201502359-T</t>
  </si>
  <si>
    <t>08-17N-08W</t>
  </si>
  <si>
    <t> 201501598-T</t>
  </si>
  <si>
    <t> 201503163-T</t>
  </si>
  <si>
    <t> 201503585-T</t>
  </si>
  <si>
    <t> 201503509-T</t>
  </si>
  <si>
    <t> 201604828-T</t>
  </si>
  <si>
    <t> 201504019-T</t>
  </si>
  <si>
    <t> 201602206-T</t>
  </si>
  <si>
    <t> 201600709-T</t>
  </si>
  <si>
    <t> 201503416-T</t>
  </si>
  <si>
    <t> 201504048-T</t>
  </si>
  <si>
    <t> 201503463-T</t>
  </si>
  <si>
    <t> 201601387</t>
  </si>
  <si>
    <t> SPRINGBOK ENERGY PARTNERS</t>
  </si>
  <si>
    <t>Dismissed</t>
  </si>
  <si>
    <t>18-17N-08W</t>
  </si>
  <si>
    <t> 201407911-T</t>
  </si>
  <si>
    <t> 201407912-T</t>
  </si>
  <si>
    <t> 201502116-T</t>
  </si>
  <si>
    <t> 201503464-T</t>
  </si>
  <si>
    <t> 201504050-T</t>
  </si>
  <si>
    <t> 201506112-T</t>
  </si>
  <si>
    <t> 201603450-T</t>
  </si>
  <si>
    <t> 201503417-T</t>
  </si>
  <si>
    <t> 201600710-T</t>
  </si>
  <si>
    <t> 201504020-T</t>
  </si>
  <si>
    <t> 201504739-T</t>
  </si>
  <si>
    <t> 201601385</t>
  </si>
  <si>
    <t>25-17N-08W</t>
  </si>
  <si>
    <t> 201308683-T</t>
  </si>
  <si>
    <t>26-17N-08W</t>
  </si>
  <si>
    <t> 201505080-T</t>
  </si>
  <si>
    <t> 201505325-T</t>
  </si>
  <si>
    <t> 201503676</t>
  </si>
  <si>
    <t> 201503762-T</t>
  </si>
  <si>
    <t> 201506184-T</t>
  </si>
  <si>
    <t>30-17N-08W</t>
  </si>
  <si>
    <t> 201504919-T</t>
  </si>
  <si>
    <t>31-17N-08W</t>
  </si>
  <si>
    <t> 201504920-T</t>
  </si>
  <si>
    <t>32-17N-08W</t>
  </si>
  <si>
    <t> 201503763-T</t>
  </si>
  <si>
    <t>33-17N-08W</t>
  </si>
  <si>
    <t> 201503677</t>
  </si>
  <si>
    <t> 201505326-T</t>
  </si>
  <si>
    <t> 201505899-T</t>
  </si>
  <si>
    <t>36-17N-08W</t>
  </si>
  <si>
    <t> 201308684-T</t>
  </si>
  <si>
    <t> OKLAHOMA ENERGY ACQUIST</t>
  </si>
  <si>
    <t>01-15N-06W</t>
  </si>
  <si>
    <t> DEVON ENERGY PRODUCTION</t>
  </si>
  <si>
    <t>01-15N-09W</t>
  </si>
  <si>
    <t>01-16N-07W</t>
  </si>
  <si>
    <t>Undetermined</t>
  </si>
  <si>
    <t>Pending Continued</t>
  </si>
  <si>
    <t>01-17N-06W</t>
  </si>
  <si>
    <t> 201703209</t>
  </si>
  <si>
    <t> DORADO E&amp;P PARTNERS LLC</t>
  </si>
  <si>
    <t>01-18N-05W</t>
  </si>
  <si>
    <t> STAGHORN PETROLEUM LLC</t>
  </si>
  <si>
    <t>01-18N-06W</t>
  </si>
  <si>
    <t> CHESAPEAKE OPERATING LLC*</t>
  </si>
  <si>
    <t> 201605884</t>
  </si>
  <si>
    <t>01-19N-06W</t>
  </si>
  <si>
    <t> 201702491</t>
  </si>
  <si>
    <t> 201702564</t>
  </si>
  <si>
    <t> 201702569</t>
  </si>
  <si>
    <t> 201702570</t>
  </si>
  <si>
    <t> 201702571</t>
  </si>
  <si>
    <t> 201702572</t>
  </si>
  <si>
    <t> 201702573</t>
  </si>
  <si>
    <t> 201702574</t>
  </si>
  <si>
    <t> 201702575</t>
  </si>
  <si>
    <t> GASTAR EXPLORATION INC</t>
  </si>
  <si>
    <t>01-19N-09W</t>
  </si>
  <si>
    <t> 201703574</t>
  </si>
  <si>
    <t>Pending</t>
  </si>
  <si>
    <t> MARATHON OIL COMPANY</t>
  </si>
  <si>
    <t>02-15N-06W</t>
  </si>
  <si>
    <t>02-15N-09W</t>
  </si>
  <si>
    <t>02-16N-05W</t>
  </si>
  <si>
    <t> 201605326</t>
  </si>
  <si>
    <t>02-16N-09W</t>
  </si>
  <si>
    <t>02-17N-05W</t>
  </si>
  <si>
    <t> 201700868</t>
  </si>
  <si>
    <t>02-19N-07W</t>
  </si>
  <si>
    <t>03-15N-05W</t>
  </si>
  <si>
    <t>03-15N-06W</t>
  </si>
  <si>
    <t>03-15N-09W</t>
  </si>
  <si>
    <t>03-16N-05W</t>
  </si>
  <si>
    <t> 201605675</t>
  </si>
  <si>
    <t> CHAPARRAL ENERGY LLC</t>
  </si>
  <si>
    <t>03-16N-06W</t>
  </si>
  <si>
    <t>03-16N-09W</t>
  </si>
  <si>
    <t>03-18N-05W</t>
  </si>
  <si>
    <t>03-18N-06W</t>
  </si>
  <si>
    <t> 201700565</t>
  </si>
  <si>
    <t> RED BLUFF RESOURCES OPER</t>
  </si>
  <si>
    <t>04-16N-05W</t>
  </si>
  <si>
    <t> 201605403</t>
  </si>
  <si>
    <t> 201600396</t>
  </si>
  <si>
    <t>04-16N-06W</t>
  </si>
  <si>
    <t>04-16N-07W</t>
  </si>
  <si>
    <t>04-16N-09W</t>
  </si>
  <si>
    <t>04-17N-06W</t>
  </si>
  <si>
    <t>04-18N-06W</t>
  </si>
  <si>
    <t> CRAWLEY PETROLEUM CORP</t>
  </si>
  <si>
    <t>04-18N-08W</t>
  </si>
  <si>
    <t> 201702709</t>
  </si>
  <si>
    <t>04-19N-07W</t>
  </si>
  <si>
    <t> 201701827</t>
  </si>
  <si>
    <t> 201603943</t>
  </si>
  <si>
    <t>05-15N-05W</t>
  </si>
  <si>
    <t> 201701055</t>
  </si>
  <si>
    <t>05-16N-07W</t>
  </si>
  <si>
    <t>05-17N-06W</t>
  </si>
  <si>
    <t> 201702835</t>
  </si>
  <si>
    <t>05-17N-07W</t>
  </si>
  <si>
    <t> 201604421</t>
  </si>
  <si>
    <t>05-18N-05W</t>
  </si>
  <si>
    <t>05-19N-05W</t>
  </si>
  <si>
    <t> 201405494-T</t>
  </si>
  <si>
    <t>06-15N-07W</t>
  </si>
  <si>
    <t>06-15N-09W</t>
  </si>
  <si>
    <t> GASTAR EXPLORATION USA</t>
  </si>
  <si>
    <t>06-16N-05W</t>
  </si>
  <si>
    <t> 201701908</t>
  </si>
  <si>
    <t>06-16N-09W</t>
  </si>
  <si>
    <t>06-17N-05W</t>
  </si>
  <si>
    <t> 201603742</t>
  </si>
  <si>
    <t>06-17N-06W</t>
  </si>
  <si>
    <t> 201702897</t>
  </si>
  <si>
    <t>06-18N-07W</t>
  </si>
  <si>
    <t>06-18N-08W</t>
  </si>
  <si>
    <t> 201702449</t>
  </si>
  <si>
    <t>06-19N-05W</t>
  </si>
  <si>
    <t>06-19N-07W</t>
  </si>
  <si>
    <t> 201700869</t>
  </si>
  <si>
    <t>07-15N-06W</t>
  </si>
  <si>
    <t>07-15N-09W</t>
  </si>
  <si>
    <t>07-16N-05W</t>
  </si>
  <si>
    <t> 201701472</t>
  </si>
  <si>
    <t>07-16N-09W</t>
  </si>
  <si>
    <t> OKLAHOMA ENERGY ACQUISITN</t>
  </si>
  <si>
    <t>07-17N-05W</t>
  </si>
  <si>
    <t>07-18N-05W</t>
  </si>
  <si>
    <t> CHISHOLM OIL &amp; GAS OPERAT</t>
  </si>
  <si>
    <t> 201703158-T</t>
  </si>
  <si>
    <t>07-18N-07W</t>
  </si>
  <si>
    <t>07-18N-08W</t>
  </si>
  <si>
    <t> 201702102</t>
  </si>
  <si>
    <t>07-18N-09W</t>
  </si>
  <si>
    <t>07-19N-05W</t>
  </si>
  <si>
    <t> 201703563</t>
  </si>
  <si>
    <t>08-15N-05W</t>
  </si>
  <si>
    <t>08-15N-09W</t>
  </si>
  <si>
    <t>08-16N-05W</t>
  </si>
  <si>
    <t> 201703154</t>
  </si>
  <si>
    <t>08-16N-07W</t>
  </si>
  <si>
    <t>08-17N-05W</t>
  </si>
  <si>
    <t>08-17N-06W</t>
  </si>
  <si>
    <t> 201703149</t>
  </si>
  <si>
    <t>08-18N-05W</t>
  </si>
  <si>
    <t> 201703650</t>
  </si>
  <si>
    <t>08-18N-06W</t>
  </si>
  <si>
    <t> 201702079</t>
  </si>
  <si>
    <t>08-18N-08W</t>
  </si>
  <si>
    <t> 201702100</t>
  </si>
  <si>
    <t> 201702711</t>
  </si>
  <si>
    <t>08-19N-05W</t>
  </si>
  <si>
    <t> 201700052</t>
  </si>
  <si>
    <t>09-15N-09W</t>
  </si>
  <si>
    <t>09-16N-05W</t>
  </si>
  <si>
    <t> 201606086</t>
  </si>
  <si>
    <t> 201701968</t>
  </si>
  <si>
    <t>09-16N-06W</t>
  </si>
  <si>
    <t>09-17N-05W</t>
  </si>
  <si>
    <t>09-17N-06W</t>
  </si>
  <si>
    <t>09-18N-05W</t>
  </si>
  <si>
    <t>09-18N-06W</t>
  </si>
  <si>
    <t> 201604509</t>
  </si>
  <si>
    <t>09-18N-08W</t>
  </si>
  <si>
    <t> 201701914</t>
  </si>
  <si>
    <t> 201702103</t>
  </si>
  <si>
    <t>10-15N-06W</t>
  </si>
  <si>
    <t>10-15N-09W</t>
  </si>
  <si>
    <t> PAYNE EXPLORATION COMPANY</t>
  </si>
  <si>
    <t>10-16N-05W</t>
  </si>
  <si>
    <t>10-16N-06W</t>
  </si>
  <si>
    <t> 201703591</t>
  </si>
  <si>
    <t>10-17N-05W</t>
  </si>
  <si>
    <t>10-17N-06W</t>
  </si>
  <si>
    <t>10-18N-05W</t>
  </si>
  <si>
    <t>10-18N-06W</t>
  </si>
  <si>
    <t> CONTINENTAL RESOURCES INC</t>
  </si>
  <si>
    <t>10-19N-09W</t>
  </si>
  <si>
    <t>11-15N-05W</t>
  </si>
  <si>
    <t> 201702703</t>
  </si>
  <si>
    <t>11-16N-06W</t>
  </si>
  <si>
    <t>11-18N-06W</t>
  </si>
  <si>
    <t> HUSKY VENTURES INC</t>
  </si>
  <si>
    <t>11-19N-07W</t>
  </si>
  <si>
    <t> 201703573</t>
  </si>
  <si>
    <t>12-15N-06W</t>
  </si>
  <si>
    <t>12-16N-06W</t>
  </si>
  <si>
    <t>12-16N-07W</t>
  </si>
  <si>
    <t>12-17N-05W</t>
  </si>
  <si>
    <t>12-17N-07W</t>
  </si>
  <si>
    <t>12-18N-06W</t>
  </si>
  <si>
    <t>12-18N-08W</t>
  </si>
  <si>
    <t> 201601792</t>
  </si>
  <si>
    <t>12-19N-06W</t>
  </si>
  <si>
    <t> 201602220</t>
  </si>
  <si>
    <t>12-19N-07W</t>
  </si>
  <si>
    <t> 201703230-T</t>
  </si>
  <si>
    <t>13-15N-06W</t>
  </si>
  <si>
    <t>13-15N-08W</t>
  </si>
  <si>
    <t> 201701610</t>
  </si>
  <si>
    <t>13-16N-07W</t>
  </si>
  <si>
    <t> 201702636-T</t>
  </si>
  <si>
    <t>13-17N-05W</t>
  </si>
  <si>
    <t>13-17N-06W</t>
  </si>
  <si>
    <t>13-17N-07W</t>
  </si>
  <si>
    <t>13-18N-06W</t>
  </si>
  <si>
    <t>13-18N-09W</t>
  </si>
  <si>
    <t>13-19N-07W</t>
  </si>
  <si>
    <t> 201702613-T</t>
  </si>
  <si>
    <t>14-15N-06W</t>
  </si>
  <si>
    <t> 201603359</t>
  </si>
  <si>
    <t>14-16N-05W</t>
  </si>
  <si>
    <t>14-16N-06W</t>
  </si>
  <si>
    <t>14-16N-07W</t>
  </si>
  <si>
    <t>14-16N-08W</t>
  </si>
  <si>
    <t> GULF EXPLORATION LLC</t>
  </si>
  <si>
    <t>14-17N-05W</t>
  </si>
  <si>
    <t>14-17N-06W</t>
  </si>
  <si>
    <t> 201703119</t>
  </si>
  <si>
    <t>14-18N-05W</t>
  </si>
  <si>
    <t>14-18N-06W</t>
  </si>
  <si>
    <t> 201702325</t>
  </si>
  <si>
    <t>14-18N-08W</t>
  </si>
  <si>
    <t> 201703576</t>
  </si>
  <si>
    <t>14-18N-09W</t>
  </si>
  <si>
    <t>14-19N-08W</t>
  </si>
  <si>
    <t> 201700870</t>
  </si>
  <si>
    <t> 201702462</t>
  </si>
  <si>
    <t> FELIX ENERGY LLC</t>
  </si>
  <si>
    <t>15-15N-07W</t>
  </si>
  <si>
    <t>15-16N-06W</t>
  </si>
  <si>
    <t>15-16N-09W</t>
  </si>
  <si>
    <t>15-17N-05W</t>
  </si>
  <si>
    <t> 201701555</t>
  </si>
  <si>
    <t>15-18N-05W</t>
  </si>
  <si>
    <t> 201700826</t>
  </si>
  <si>
    <t>15-18N-06W</t>
  </si>
  <si>
    <t>15-18N-08W</t>
  </si>
  <si>
    <t> 201702101</t>
  </si>
  <si>
    <t> 201505134</t>
  </si>
  <si>
    <t>16-15N-05W</t>
  </si>
  <si>
    <t>16-15N-09W</t>
  </si>
  <si>
    <t>16-16N-05W</t>
  </si>
  <si>
    <t>16-17N-05W</t>
  </si>
  <si>
    <t>16-17N-07W</t>
  </si>
  <si>
    <t>16-17N-09W</t>
  </si>
  <si>
    <t> 201703575</t>
  </si>
  <si>
    <t>16-18N-08W</t>
  </si>
  <si>
    <t>16-19N-07W</t>
  </si>
  <si>
    <t>17-15N-06W</t>
  </si>
  <si>
    <t>17-15N-09W</t>
  </si>
  <si>
    <t>17-16N-05W</t>
  </si>
  <si>
    <t>17-17N-05W</t>
  </si>
  <si>
    <t>17-17N-07W</t>
  </si>
  <si>
    <t> 201605930-T</t>
  </si>
  <si>
    <t>17-18N-05W</t>
  </si>
  <si>
    <t>17-18N-07W</t>
  </si>
  <si>
    <t> 201702104</t>
  </si>
  <si>
    <t>17-18N-09W</t>
  </si>
  <si>
    <t>18-15N-05W</t>
  </si>
  <si>
    <t> 201700051</t>
  </si>
  <si>
    <t>18-16N-05W</t>
  </si>
  <si>
    <t>18-16N-09W</t>
  </si>
  <si>
    <t> 201702486</t>
  </si>
  <si>
    <t>18-17N-06W</t>
  </si>
  <si>
    <t> 201600740</t>
  </si>
  <si>
    <t>18-18N-05W</t>
  </si>
  <si>
    <t> 201602847-T</t>
  </si>
  <si>
    <t>18-18N-09W</t>
  </si>
  <si>
    <t>18-19N-07W</t>
  </si>
  <si>
    <t> 201701381</t>
  </si>
  <si>
    <t>19-16N-05W</t>
  </si>
  <si>
    <t>19-16N-09W</t>
  </si>
  <si>
    <t> 201702487</t>
  </si>
  <si>
    <t>19-17N-05W</t>
  </si>
  <si>
    <t>20-16N-09W</t>
  </si>
  <si>
    <t>20-17N-05W</t>
  </si>
  <si>
    <t>20-17N-06W</t>
  </si>
  <si>
    <t>20-17N-07W</t>
  </si>
  <si>
    <t>20-18N-07W</t>
  </si>
  <si>
    <t>21-15N-07W</t>
  </si>
  <si>
    <t>21-15N-08W</t>
  </si>
  <si>
    <t> 201601850</t>
  </si>
  <si>
    <t>21-16N-07W</t>
  </si>
  <si>
    <t>21-16N-09W</t>
  </si>
  <si>
    <t>21-17N-05W</t>
  </si>
  <si>
    <t>21-17N-07W</t>
  </si>
  <si>
    <t>21-17N-09W</t>
  </si>
  <si>
    <t> 201505270-T</t>
  </si>
  <si>
    <t>21-18N-07W</t>
  </si>
  <si>
    <t>22-15N-07W</t>
  </si>
  <si>
    <t> PALOMA PARTNERS IV LLC</t>
  </si>
  <si>
    <t>22-15N-08W</t>
  </si>
  <si>
    <t> CIMAREX ENERGY CO</t>
  </si>
  <si>
    <t>22-16N-06W</t>
  </si>
  <si>
    <t>22-18N-06W</t>
  </si>
  <si>
    <t>22-18N-08W</t>
  </si>
  <si>
    <t> 201702713</t>
  </si>
  <si>
    <t>23-15N-06W</t>
  </si>
  <si>
    <t>23-15N-09W</t>
  </si>
  <si>
    <t>23-16N-07W</t>
  </si>
  <si>
    <t>23-16N-08W</t>
  </si>
  <si>
    <t>23-17N-06W</t>
  </si>
  <si>
    <t> 201703155</t>
  </si>
  <si>
    <t>23-17N-07W</t>
  </si>
  <si>
    <t> 201505430</t>
  </si>
  <si>
    <t>23-18N-09W</t>
  </si>
  <si>
    <t>24-15N-06W</t>
  </si>
  <si>
    <t> 201702421</t>
  </si>
  <si>
    <t>24-16N-06W</t>
  </si>
  <si>
    <t> 201701556</t>
  </si>
  <si>
    <t>24-17N-06W</t>
  </si>
  <si>
    <t> 201701073</t>
  </si>
  <si>
    <t>24-17N-07W</t>
  </si>
  <si>
    <t>24-18N-06W</t>
  </si>
  <si>
    <t> 201604761</t>
  </si>
  <si>
    <t>24-18N-08W</t>
  </si>
  <si>
    <t> 201702896</t>
  </si>
  <si>
    <t>24-18N-09W</t>
  </si>
  <si>
    <t> 201604891</t>
  </si>
  <si>
    <t>24-19N-06W</t>
  </si>
  <si>
    <t>24-19N-09W</t>
  </si>
  <si>
    <t> 201703030</t>
  </si>
  <si>
    <t>25-16N-06W</t>
  </si>
  <si>
    <t>25-17N-06W</t>
  </si>
  <si>
    <t>25-17N-07W</t>
  </si>
  <si>
    <t>25-18N-07W</t>
  </si>
  <si>
    <t>25-19N-05W</t>
  </si>
  <si>
    <t> 201604894</t>
  </si>
  <si>
    <t>25-19N-06W</t>
  </si>
  <si>
    <t>26-16N-05W</t>
  </si>
  <si>
    <t>26-16N-06W</t>
  </si>
  <si>
    <t>26-17N-06W</t>
  </si>
  <si>
    <t>26-18N-06W</t>
  </si>
  <si>
    <t> 201604257</t>
  </si>
  <si>
    <t> 201501747</t>
  </si>
  <si>
    <t> FAIRWAY ENERGY LLC</t>
  </si>
  <si>
    <t>26-19N-07W</t>
  </si>
  <si>
    <t>27-16N-06W</t>
  </si>
  <si>
    <t>27-16N-08W</t>
  </si>
  <si>
    <t>27-17N-05W</t>
  </si>
  <si>
    <t>27-17N-06W</t>
  </si>
  <si>
    <t>28-15N-07W</t>
  </si>
  <si>
    <t> 201403272</t>
  </si>
  <si>
    <t> 201600476</t>
  </si>
  <si>
    <t>28-16N-05W</t>
  </si>
  <si>
    <t>28-16N-09W</t>
  </si>
  <si>
    <t>28-17N-05W</t>
  </si>
  <si>
    <t>28-17N-06W</t>
  </si>
  <si>
    <t>28-17N-07W</t>
  </si>
  <si>
    <t>28-18N-06W</t>
  </si>
  <si>
    <t>28-18N-07W</t>
  </si>
  <si>
    <t>28-19N-05W</t>
  </si>
  <si>
    <t> 201702241</t>
  </si>
  <si>
    <t>28-19N-08W</t>
  </si>
  <si>
    <t> 201702607</t>
  </si>
  <si>
    <t>29-15N-05W</t>
  </si>
  <si>
    <t> 201703118</t>
  </si>
  <si>
    <t> 201501457-T</t>
  </si>
  <si>
    <t>29-15N-06W</t>
  </si>
  <si>
    <t>29-16N-09W</t>
  </si>
  <si>
    <t> 201606169</t>
  </si>
  <si>
    <t>29-17N-06W</t>
  </si>
  <si>
    <t>29-18N-06W</t>
  </si>
  <si>
    <t>29-18N-08W</t>
  </si>
  <si>
    <t>29-19N-05W</t>
  </si>
  <si>
    <t> 201702243</t>
  </si>
  <si>
    <t>30-15N-07W</t>
  </si>
  <si>
    <t>30-15N-09W</t>
  </si>
  <si>
    <t>30-16N-06W</t>
  </si>
  <si>
    <t>30-16N-07W</t>
  </si>
  <si>
    <t> 201702470</t>
  </si>
  <si>
    <t>30-17N-05W</t>
  </si>
  <si>
    <t>30-17N-06W</t>
  </si>
  <si>
    <t>30-17N-09W</t>
  </si>
  <si>
    <t>30-18N-08W</t>
  </si>
  <si>
    <t> 201700041-T</t>
  </si>
  <si>
    <t>31-15N-07W</t>
  </si>
  <si>
    <t>31-16N-05W</t>
  </si>
  <si>
    <t>31-16N-07W</t>
  </si>
  <si>
    <t> 201702471</t>
  </si>
  <si>
    <t> 201503257</t>
  </si>
  <si>
    <t>31-16N-09W</t>
  </si>
  <si>
    <t>31-17N-05W</t>
  </si>
  <si>
    <t>31-17N-06W</t>
  </si>
  <si>
    <t>31-17N-09W</t>
  </si>
  <si>
    <t>31-18N-06W</t>
  </si>
  <si>
    <t> 201701967</t>
  </si>
  <si>
    <t>31-19N-05W</t>
  </si>
  <si>
    <t>31-19N-08W</t>
  </si>
  <si>
    <t>32-16N-07W</t>
  </si>
  <si>
    <t>32-17N-06W</t>
  </si>
  <si>
    <t> 201601455</t>
  </si>
  <si>
    <t> 201603377</t>
  </si>
  <si>
    <t>32-18N-06W</t>
  </si>
  <si>
    <t> 201703562</t>
  </si>
  <si>
    <t>32-18N-07W</t>
  </si>
  <si>
    <t>32-18N-08W</t>
  </si>
  <si>
    <t> 201702463</t>
  </si>
  <si>
    <t>32-18N-09W</t>
  </si>
  <si>
    <t> 201702058-T</t>
  </si>
  <si>
    <t>32-19N-05W</t>
  </si>
  <si>
    <t> 201702245</t>
  </si>
  <si>
    <t>33-15N-07W</t>
  </si>
  <si>
    <t>33-16N-07W</t>
  </si>
  <si>
    <t>33-17N-06W</t>
  </si>
  <si>
    <t>33-17N-07W</t>
  </si>
  <si>
    <t>33-18N-06W</t>
  </si>
  <si>
    <t>33-18N-07W</t>
  </si>
  <si>
    <t>33-18N-08W</t>
  </si>
  <si>
    <t>34-15N-08W</t>
  </si>
  <si>
    <t>34-15N-09W</t>
  </si>
  <si>
    <t> 201702688</t>
  </si>
  <si>
    <t>34-16N-05W</t>
  </si>
  <si>
    <t> 201604864-T</t>
  </si>
  <si>
    <t>34-16N-06W</t>
  </si>
  <si>
    <t>34-16N-08W</t>
  </si>
  <si>
    <t>34-16N-09W</t>
  </si>
  <si>
    <t>34-17N-06W</t>
  </si>
  <si>
    <t>34-18N-06W</t>
  </si>
  <si>
    <t>34-18N-08W</t>
  </si>
  <si>
    <t>34-19N-05W</t>
  </si>
  <si>
    <t> 201700990</t>
  </si>
  <si>
    <t>34-19N-06W</t>
  </si>
  <si>
    <t> 201700992</t>
  </si>
  <si>
    <t> 201701056</t>
  </si>
  <si>
    <t>35-15N-06W</t>
  </si>
  <si>
    <t>35-16N-05W</t>
  </si>
  <si>
    <t>35-16N-06W</t>
  </si>
  <si>
    <t> 201700647</t>
  </si>
  <si>
    <t>35-16N-07W</t>
  </si>
  <si>
    <t>35-18N-05W</t>
  </si>
  <si>
    <t> 201703009-T</t>
  </si>
  <si>
    <t>35-18N-07W</t>
  </si>
  <si>
    <t> 201702099</t>
  </si>
  <si>
    <t> 201604843</t>
  </si>
  <si>
    <t>35-19N-06W</t>
  </si>
  <si>
    <t>36-15N-06W</t>
  </si>
  <si>
    <t> 201702704</t>
  </si>
  <si>
    <t>36-16N-06W</t>
  </si>
  <si>
    <t> 201703567</t>
  </si>
  <si>
    <t>36-17N-06W</t>
  </si>
  <si>
    <t> 201702639</t>
  </si>
  <si>
    <t>36-17N-07W</t>
  </si>
  <si>
    <t>36-18N-05W</t>
  </si>
  <si>
    <t>36-18N-07W</t>
  </si>
  <si>
    <t> 201604538</t>
  </si>
  <si>
    <t>36-19N-08W</t>
  </si>
  <si>
    <t>16-19N-05W</t>
  </si>
  <si>
    <t>17-19N-05W</t>
  </si>
  <si>
    <t>26-19N-05W</t>
  </si>
  <si>
    <t>30-19N-05W</t>
  </si>
  <si>
    <t>36-19N-05W</t>
  </si>
  <si>
    <t>01-19N-05W</t>
  </si>
  <si>
    <t> 201304475</t>
  </si>
  <si>
    <t>02-19N-05W</t>
  </si>
  <si>
    <t> 201302865</t>
  </si>
  <si>
    <t>03-19N-05W</t>
  </si>
  <si>
    <t> 201407112</t>
  </si>
  <si>
    <t> 201605784</t>
  </si>
  <si>
    <t> 201407288</t>
  </si>
  <si>
    <t> 201407981</t>
  </si>
  <si>
    <t> 201601685</t>
  </si>
  <si>
    <t> 201602106</t>
  </si>
  <si>
    <t> 201605907</t>
  </si>
  <si>
    <t>12-19N-05W</t>
  </si>
  <si>
    <t> 201304476</t>
  </si>
  <si>
    <t>15-19N-05W</t>
  </si>
  <si>
    <t> 201204155</t>
  </si>
  <si>
    <t> 201407113</t>
  </si>
  <si>
    <t> 201402910</t>
  </si>
  <si>
    <t> 201407285</t>
  </si>
  <si>
    <t>20-19N-05W</t>
  </si>
  <si>
    <t> 201306657</t>
  </si>
  <si>
    <t>21-19N-05W</t>
  </si>
  <si>
    <t> 201302866</t>
  </si>
  <si>
    <t> 201307219</t>
  </si>
  <si>
    <t> 201700942</t>
  </si>
  <si>
    <t>22-19N-05W</t>
  </si>
  <si>
    <t> 201300977</t>
  </si>
  <si>
    <t>24-19N-05W</t>
  </si>
  <si>
    <t> 201303909</t>
  </si>
  <si>
    <t> 201700682</t>
  </si>
  <si>
    <t> 201303910</t>
  </si>
  <si>
    <t>27-19N-05W</t>
  </si>
  <si>
    <t> 201502861</t>
  </si>
  <si>
    <t> 201204911</t>
  </si>
  <si>
    <t> SPELLER OIL CORP</t>
  </si>
  <si>
    <t> 201502233</t>
  </si>
  <si>
    <t> 201502860</t>
  </si>
  <si>
    <t> 201503750</t>
  </si>
  <si>
    <t> 201601617-T</t>
  </si>
  <si>
    <t> 201601768</t>
  </si>
  <si>
    <t> 201603779</t>
  </si>
  <si>
    <t> 201605794</t>
  </si>
  <si>
    <t> BLAKE PRODUCTION COMPANY</t>
  </si>
  <si>
    <t>33-19N-05W</t>
  </si>
  <si>
    <t> 201406891</t>
  </si>
  <si>
    <t> 201502114</t>
  </si>
  <si>
    <t> 201604895</t>
  </si>
  <si>
    <t>35-19N-05W</t>
  </si>
  <si>
    <t> 201303911</t>
  </si>
  <si>
    <t> 201503238</t>
  </si>
  <si>
    <t> 201702566</t>
  </si>
  <si>
    <t> 201702567</t>
  </si>
  <si>
    <t> 201603324</t>
  </si>
  <si>
    <t> 201604105</t>
  </si>
  <si>
    <t>27-19N-06W</t>
  </si>
  <si>
    <t> 201605963</t>
  </si>
  <si>
    <t> 201605967</t>
  </si>
  <si>
    <t> 201701248</t>
  </si>
  <si>
    <t> 201603589</t>
  </si>
  <si>
    <t> 201405577</t>
  </si>
  <si>
    <t> 201406779</t>
  </si>
  <si>
    <t> 201406847</t>
  </si>
  <si>
    <t>B46847GE Color</t>
  </si>
  <si>
    <t> 201407411</t>
  </si>
  <si>
    <t> 201606170</t>
  </si>
  <si>
    <t> 201702420</t>
  </si>
  <si>
    <t> 201504470</t>
  </si>
  <si>
    <t>06-19N-06W</t>
  </si>
  <si>
    <t> 201506302</t>
  </si>
  <si>
    <t> 201506303</t>
  </si>
  <si>
    <t> 201602213</t>
  </si>
  <si>
    <t> 201602222</t>
  </si>
  <si>
    <t> 201408177</t>
  </si>
  <si>
    <t> 201601791</t>
  </si>
  <si>
    <t> 201602107</t>
  </si>
  <si>
    <t> 201602110</t>
  </si>
  <si>
    <t> 201700646</t>
  </si>
  <si>
    <t> 201504469</t>
  </si>
  <si>
    <t>13-19N-06W</t>
  </si>
  <si>
    <t> 201504861</t>
  </si>
  <si>
    <t> 201504862</t>
  </si>
  <si>
    <t> 201601608</t>
  </si>
  <si>
    <t> 201601718</t>
  </si>
  <si>
    <t> 201606064</t>
  </si>
  <si>
    <t> 201603323</t>
  </si>
  <si>
    <t> 201604892</t>
  </si>
  <si>
    <t> 201604104</t>
  </si>
  <si>
    <t> 201604893</t>
  </si>
  <si>
    <t> 201700693-T</t>
  </si>
  <si>
    <t> 201700694-T</t>
  </si>
  <si>
    <t> 201600641</t>
  </si>
  <si>
    <t> 201600642</t>
  </si>
  <si>
    <t> 201600643</t>
  </si>
  <si>
    <t> 201208084</t>
  </si>
  <si>
    <t> OKLAHOMA ENERGY ACQUISTNS</t>
  </si>
  <si>
    <t>32-19N-06W</t>
  </si>
  <si>
    <t> 201605961</t>
  </si>
  <si>
    <t> 201605964</t>
  </si>
  <si>
    <t> 201605966</t>
  </si>
  <si>
    <t> 201603588</t>
  </si>
  <si>
    <t> 201605634</t>
  </si>
  <si>
    <t> 201503914</t>
  </si>
  <si>
    <t> 201604537</t>
  </si>
  <si>
    <t>05-19N-07W</t>
  </si>
  <si>
    <t> BRG PETROLEUM LLC</t>
  </si>
  <si>
    <t> 201405132</t>
  </si>
  <si>
    <t>07-19N-07W</t>
  </si>
  <si>
    <t> 201301785</t>
  </si>
  <si>
    <t> HUSKY VENTURES</t>
  </si>
  <si>
    <t> 201605032-T</t>
  </si>
  <si>
    <t>20-19N-07W</t>
  </si>
  <si>
    <t> 201405462</t>
  </si>
  <si>
    <t> 201505865</t>
  </si>
  <si>
    <t>27-19N-07W</t>
  </si>
  <si>
    <t>28-19N-07W</t>
  </si>
  <si>
    <t> 201405311</t>
  </si>
  <si>
    <t>29-19N-07W</t>
  </si>
  <si>
    <t> 201402291</t>
  </si>
  <si>
    <t>30-19N-07W</t>
  </si>
  <si>
    <t> 201206643-T</t>
  </si>
  <si>
    <t>31-19N-07W</t>
  </si>
  <si>
    <t> 201400906</t>
  </si>
  <si>
    <t> 201401426</t>
  </si>
  <si>
    <t>35-19N-07W</t>
  </si>
  <si>
    <t> 201500084</t>
  </si>
  <si>
    <t> FAIRWAY ENERGY LLC *</t>
  </si>
  <si>
    <t>34-19N-08W</t>
  </si>
  <si>
    <t>02-19N-08W</t>
  </si>
  <si>
    <t>03-19N-08W</t>
  </si>
  <si>
    <t>04-19N-08W</t>
  </si>
  <si>
    <t>07-19N-08W</t>
  </si>
  <si>
    <t>11-19N-08W</t>
  </si>
  <si>
    <t>12-19N-08W</t>
  </si>
  <si>
    <t>16-19N-08W</t>
  </si>
  <si>
    <t>19-19N-08W</t>
  </si>
  <si>
    <t>20-19N-08W</t>
  </si>
  <si>
    <t>21-19N-08W</t>
  </si>
  <si>
    <t>23-19N-08W</t>
  </si>
  <si>
    <t>29-19N-08W</t>
  </si>
  <si>
    <t>30-19N-08W</t>
  </si>
  <si>
    <t> 201403824</t>
  </si>
  <si>
    <t> 201308154</t>
  </si>
  <si>
    <t> 201403823</t>
  </si>
  <si>
    <t> 201207912</t>
  </si>
  <si>
    <t> 201301654</t>
  </si>
  <si>
    <t> 201305817</t>
  </si>
  <si>
    <t> 201409301</t>
  </si>
  <si>
    <t> 201408924</t>
  </si>
  <si>
    <t> 201402955</t>
  </si>
  <si>
    <t> 201305815</t>
  </si>
  <si>
    <t> 201307499</t>
  </si>
  <si>
    <t> 201403590</t>
  </si>
  <si>
    <t> 201405463</t>
  </si>
  <si>
    <t> 201700873</t>
  </si>
  <si>
    <t> 201403465</t>
  </si>
  <si>
    <t> 201403208</t>
  </si>
  <si>
    <t> 201700271</t>
  </si>
  <si>
    <t> 201405460</t>
  </si>
  <si>
    <t> 201301219</t>
  </si>
  <si>
    <t> 201408923</t>
  </si>
  <si>
    <t> 201409090</t>
  </si>
  <si>
    <t>03-19N-09W</t>
  </si>
  <si>
    <t> 201405130</t>
  </si>
  <si>
    <t>09-19N-09W</t>
  </si>
  <si>
    <t> 201405135</t>
  </si>
  <si>
    <t> 201700872</t>
  </si>
  <si>
    <t> 201406613</t>
  </si>
  <si>
    <t>11-19N-09W</t>
  </si>
  <si>
    <t> 201500037</t>
  </si>
  <si>
    <t>12-19N-09W</t>
  </si>
  <si>
    <t> 201303239</t>
  </si>
  <si>
    <t>13-19N-09W</t>
  </si>
  <si>
    <t> 201406806</t>
  </si>
  <si>
    <t> 201406596</t>
  </si>
  <si>
    <t>14-19N-09W</t>
  </si>
  <si>
    <t> 201400905</t>
  </si>
  <si>
    <t>15-19N-09W</t>
  </si>
  <si>
    <t> 201501051</t>
  </si>
  <si>
    <t>21-19N-09W</t>
  </si>
  <si>
    <t> 201405134</t>
  </si>
  <si>
    <t>22-19N-09W</t>
  </si>
  <si>
    <t> 201406801</t>
  </si>
  <si>
    <t>23-19N-09W</t>
  </si>
  <si>
    <t> 201603453</t>
  </si>
  <si>
    <t> JEC OPERATING LLC</t>
  </si>
  <si>
    <t>26-19N-09W</t>
  </si>
  <si>
    <t> 201406936</t>
  </si>
  <si>
    <t> 201500795</t>
  </si>
  <si>
    <t> 201505300</t>
  </si>
  <si>
    <t> ARNOLD OIL PROPERTIES LLC</t>
  </si>
  <si>
    <t>02-18N-05W</t>
  </si>
  <si>
    <t> 201506304</t>
  </si>
  <si>
    <t> 201601418</t>
  </si>
  <si>
    <t> 201405067</t>
  </si>
  <si>
    <t> 201602394</t>
  </si>
  <si>
    <t>04-18N-05W</t>
  </si>
  <si>
    <t> 201602421</t>
  </si>
  <si>
    <t> 201405322</t>
  </si>
  <si>
    <t> 201604166-T</t>
  </si>
  <si>
    <t> 201700174</t>
  </si>
  <si>
    <t> 201600017</t>
  </si>
  <si>
    <t>06-18N-05W</t>
  </si>
  <si>
    <t> 201701886</t>
  </si>
  <si>
    <t> 201700394</t>
  </si>
  <si>
    <t> 201406336</t>
  </si>
  <si>
    <t> 201604119-T</t>
  </si>
  <si>
    <t> 201603093</t>
  </si>
  <si>
    <t> 201605624</t>
  </si>
  <si>
    <t> 201403995</t>
  </si>
  <si>
    <t>11-18N-05W</t>
  </si>
  <si>
    <t> 201505717</t>
  </si>
  <si>
    <t>12-18N-05W</t>
  </si>
  <si>
    <t> 201600738</t>
  </si>
  <si>
    <t> 201602344</t>
  </si>
  <si>
    <t> 201207921</t>
  </si>
  <si>
    <t> ARROWHEAD ENERGY INC</t>
  </si>
  <si>
    <t> 201506287</t>
  </si>
  <si>
    <t> 201600521</t>
  </si>
  <si>
    <t> 201605619</t>
  </si>
  <si>
    <t> 201404859</t>
  </si>
  <si>
    <t> 201604615-T</t>
  </si>
  <si>
    <t> 201600219</t>
  </si>
  <si>
    <t> 201602420</t>
  </si>
  <si>
    <t> 201604221</t>
  </si>
  <si>
    <t>20-18N-05W</t>
  </si>
  <si>
    <t> 201405850</t>
  </si>
  <si>
    <t>21-18N-05W</t>
  </si>
  <si>
    <t> 201601421</t>
  </si>
  <si>
    <t>22-18N-05W</t>
  </si>
  <si>
    <t> 201406339</t>
  </si>
  <si>
    <t>23-18N-05W</t>
  </si>
  <si>
    <t> 201601232</t>
  </si>
  <si>
    <t> 201504965</t>
  </si>
  <si>
    <t>26-18N-05W</t>
  </si>
  <si>
    <t> 201406114</t>
  </si>
  <si>
    <t> 201700830-T</t>
  </si>
  <si>
    <t> 201403747</t>
  </si>
  <si>
    <t> 201405144</t>
  </si>
  <si>
    <t> 201403055</t>
  </si>
  <si>
    <t> 201500486</t>
  </si>
  <si>
    <t> 201601512</t>
  </si>
  <si>
    <t> 201600200</t>
  </si>
  <si>
    <t>02-18N-06W</t>
  </si>
  <si>
    <t> 201600515</t>
  </si>
  <si>
    <t> 201602099</t>
  </si>
  <si>
    <t> 201600247</t>
  </si>
  <si>
    <t> 201505888</t>
  </si>
  <si>
    <t> 201604273</t>
  </si>
  <si>
    <t> 201605143</t>
  </si>
  <si>
    <t> 201604827</t>
  </si>
  <si>
    <t> 201605307-T</t>
  </si>
  <si>
    <t> 201506146</t>
  </si>
  <si>
    <t> 201603153-T</t>
  </si>
  <si>
    <t> 201407088</t>
  </si>
  <si>
    <t> 201700248</t>
  </si>
  <si>
    <t> 201403429</t>
  </si>
  <si>
    <t> 201405233</t>
  </si>
  <si>
    <t> 201407985</t>
  </si>
  <si>
    <t> 201601645</t>
  </si>
  <si>
    <t> 201601663</t>
  </si>
  <si>
    <t> 201305158</t>
  </si>
  <si>
    <t>16-18N-06W</t>
  </si>
  <si>
    <t> 201307694</t>
  </si>
  <si>
    <t>17-18N-06W</t>
  </si>
  <si>
    <t> 201307814</t>
  </si>
  <si>
    <t> 201602223</t>
  </si>
  <si>
    <t> 201602214</t>
  </si>
  <si>
    <t>19-18N-06W</t>
  </si>
  <si>
    <t> 201603868</t>
  </si>
  <si>
    <t> 201603322</t>
  </si>
  <si>
    <t>20-18N-06W</t>
  </si>
  <si>
    <t> 201604048</t>
  </si>
  <si>
    <t> 201306001</t>
  </si>
  <si>
    <t>21-18N-06W</t>
  </si>
  <si>
    <t> 201407017</t>
  </si>
  <si>
    <t> 201603869</t>
  </si>
  <si>
    <t> 201504860</t>
  </si>
  <si>
    <t> 201602194</t>
  </si>
  <si>
    <t> 201505035</t>
  </si>
  <si>
    <t>27-18N-06W</t>
  </si>
  <si>
    <t> 201602215</t>
  </si>
  <si>
    <t> 201601470</t>
  </si>
  <si>
    <t> 201605568</t>
  </si>
  <si>
    <t> 201502766</t>
  </si>
  <si>
    <t> 201600120</t>
  </si>
  <si>
    <t> 201407086</t>
  </si>
  <si>
    <t>30-18N-06W</t>
  </si>
  <si>
    <t> 201502764</t>
  </si>
  <si>
    <t> 201602395</t>
  </si>
  <si>
    <t> 201604665</t>
  </si>
  <si>
    <t> 201600506</t>
  </si>
  <si>
    <t> 201604882</t>
  </si>
  <si>
    <t> 201605147</t>
  </si>
  <si>
    <t> 201602502</t>
  </si>
  <si>
    <t> 201600696</t>
  </si>
  <si>
    <t> 201204284</t>
  </si>
  <si>
    <t>35-18N-06W</t>
  </si>
  <si>
    <t> 201204283</t>
  </si>
  <si>
    <t>36-18N-06W</t>
  </si>
  <si>
    <t> 201502867</t>
  </si>
  <si>
    <t> 201206001</t>
  </si>
  <si>
    <t> BLAKE PRODUCTION CO INC</t>
  </si>
  <si>
    <t>04-18N-07W</t>
  </si>
  <si>
    <t> 201405131</t>
  </si>
  <si>
    <t> 201602062</t>
  </si>
  <si>
    <t> 201604317</t>
  </si>
  <si>
    <t> 201601412</t>
  </si>
  <si>
    <t> BLAKE PRODUCTION COMPANY*</t>
  </si>
  <si>
    <t>08-18N-07W</t>
  </si>
  <si>
    <t> 201404969</t>
  </si>
  <si>
    <t>18-18N-07W</t>
  </si>
  <si>
    <t> 201406109</t>
  </si>
  <si>
    <t> 201402473</t>
  </si>
  <si>
    <t>19-18N-07W</t>
  </si>
  <si>
    <t> 201406662</t>
  </si>
  <si>
    <t> 201604870</t>
  </si>
  <si>
    <t> 201605230</t>
  </si>
  <si>
    <t> 201506091</t>
  </si>
  <si>
    <t> 201602393</t>
  </si>
  <si>
    <t> 201604169</t>
  </si>
  <si>
    <t> 201503803</t>
  </si>
  <si>
    <t> 201503111</t>
  </si>
  <si>
    <t>29-18N-07W</t>
  </si>
  <si>
    <t> 201601169</t>
  </si>
  <si>
    <t> 201605033</t>
  </si>
  <si>
    <t> 201605092</t>
  </si>
  <si>
    <t> 201408289</t>
  </si>
  <si>
    <t> 201604874</t>
  </si>
  <si>
    <t> 201602659-T</t>
  </si>
  <si>
    <t> 201604196</t>
  </si>
  <si>
    <t> 201408240</t>
  </si>
  <si>
    <t>01-18N-08W</t>
  </si>
  <si>
    <t> 201403518</t>
  </si>
  <si>
    <t>02-18N-08W</t>
  </si>
  <si>
    <t> 201400907</t>
  </si>
  <si>
    <t>03-18N-08W</t>
  </si>
  <si>
    <t> 201700769</t>
  </si>
  <si>
    <t> 201405309</t>
  </si>
  <si>
    <t>10-18N-08W</t>
  </si>
  <si>
    <t> 201408003</t>
  </si>
  <si>
    <t> 201701123</t>
  </si>
  <si>
    <t> 201602874</t>
  </si>
  <si>
    <t>27-18N-08W</t>
  </si>
  <si>
    <t> 201602530</t>
  </si>
  <si>
    <t>28-18N-08W</t>
  </si>
  <si>
    <t> 201602755</t>
  </si>
  <si>
    <t> 201602771-T</t>
  </si>
  <si>
    <t> 201602872</t>
  </si>
  <si>
    <t> 201604082</t>
  </si>
  <si>
    <t> 201602411-T</t>
  </si>
  <si>
    <t>31-18N-08W</t>
  </si>
  <si>
    <t> 201602873</t>
  </si>
  <si>
    <t> 201604871</t>
  </si>
  <si>
    <t> 201603134-T</t>
  </si>
  <si>
    <t> 201606189-T</t>
  </si>
  <si>
    <t> 201603266</t>
  </si>
  <si>
    <t> 201700832-T</t>
  </si>
  <si>
    <t> 201600896-T</t>
  </si>
  <si>
    <t> 201601215</t>
  </si>
  <si>
    <t> 201602790</t>
  </si>
  <si>
    <t> 201601045</t>
  </si>
  <si>
    <t> 201504297-T</t>
  </si>
  <si>
    <t> 201600897-T</t>
  </si>
  <si>
    <t> 201600926</t>
  </si>
  <si>
    <t> 201500975-T</t>
  </si>
  <si>
    <t>25-18N-09W</t>
  </si>
  <si>
    <t> 201503486-T</t>
  </si>
  <si>
    <t>26-18N-09W</t>
  </si>
  <si>
    <t> 201505679-T</t>
  </si>
  <si>
    <t>27-18N-09W</t>
  </si>
  <si>
    <t> 201601807-T</t>
  </si>
  <si>
    <t>33-18N-09W</t>
  </si>
  <si>
    <t> 201505681-T</t>
  </si>
  <si>
    <t>34-18N-09W</t>
  </si>
  <si>
    <t> 201601524-T</t>
  </si>
  <si>
    <t> 201503487-T</t>
  </si>
  <si>
    <t>35-18N-09W</t>
  </si>
  <si>
    <t> 201501027-T</t>
  </si>
  <si>
    <t>36-18N-09W</t>
  </si>
  <si>
    <t> 201501652-T</t>
  </si>
  <si>
    <t>01-17N-09W</t>
  </si>
  <si>
    <t> 201501603-T</t>
  </si>
  <si>
    <t>02-17N-09W</t>
  </si>
  <si>
    <t> 201502963-T</t>
  </si>
  <si>
    <t>03-17N-09W</t>
  </si>
  <si>
    <t> 201501696-T</t>
  </si>
  <si>
    <t>04-17N-09W</t>
  </si>
  <si>
    <t> 201503515-T</t>
  </si>
  <si>
    <t> 201503684</t>
  </si>
  <si>
    <t> 201505767-T</t>
  </si>
  <si>
    <t> 201405835-T</t>
  </si>
  <si>
    <t>05-17N-09W</t>
  </si>
  <si>
    <t> 201501680-T</t>
  </si>
  <si>
    <t>06-17N-09W</t>
  </si>
  <si>
    <t> 201503523-T</t>
  </si>
  <si>
    <t> 201501681-T</t>
  </si>
  <si>
    <t>07-17N-09W</t>
  </si>
  <si>
    <t> 201503524-T</t>
  </si>
  <si>
    <t> 201405836-T</t>
  </si>
  <si>
    <t>08-17N-09W</t>
  </si>
  <si>
    <t> 201501697-T</t>
  </si>
  <si>
    <t>09-17N-09W</t>
  </si>
  <si>
    <t> 201501604-T</t>
  </si>
  <si>
    <t>11-17N-09W</t>
  </si>
  <si>
    <t> 201501653-T</t>
  </si>
  <si>
    <t>12-17N-09W</t>
  </si>
  <si>
    <t> 201500593-T</t>
  </si>
  <si>
    <t>13-17N-09W</t>
  </si>
  <si>
    <t> 201503422-T</t>
  </si>
  <si>
    <t>14-17N-09W</t>
  </si>
  <si>
    <t> 201503604-T</t>
  </si>
  <si>
    <t>15-17N-09W</t>
  </si>
  <si>
    <t> 201505269-T</t>
  </si>
  <si>
    <t> 201502554-T</t>
  </si>
  <si>
    <t>17-17N-09W</t>
  </si>
  <si>
    <t> 201503829-T</t>
  </si>
  <si>
    <t> 201502526-T</t>
  </si>
  <si>
    <t>18-17N-09W</t>
  </si>
  <si>
    <t> 201503997-T</t>
  </si>
  <si>
    <t> 201502527-T</t>
  </si>
  <si>
    <t>19-17N-09W</t>
  </si>
  <si>
    <t> 201502555-T</t>
  </si>
  <si>
    <t>20-17N-09W</t>
  </si>
  <si>
    <t> 201503830-T</t>
  </si>
  <si>
    <t> 201503605-T</t>
  </si>
  <si>
    <t>22-17N-09W</t>
  </si>
  <si>
    <t> 201503423-T</t>
  </si>
  <si>
    <t>23-17N-09W</t>
  </si>
  <si>
    <t> 201500594-T</t>
  </si>
  <si>
    <t>24-17N-09W</t>
  </si>
  <si>
    <t> 201504496-T</t>
  </si>
  <si>
    <t> 201505907-T</t>
  </si>
  <si>
    <t>25-17N-09W</t>
  </si>
  <si>
    <t> 201501671-T</t>
  </si>
  <si>
    <t>26-17N-09W</t>
  </si>
  <si>
    <t> 201501905-T</t>
  </si>
  <si>
    <t>27-17N-09W</t>
  </si>
  <si>
    <t> 201502135-T</t>
  </si>
  <si>
    <t>28-17N-09W</t>
  </si>
  <si>
    <t> 201501171-T</t>
  </si>
  <si>
    <t>29-17N-09W</t>
  </si>
  <si>
    <t> 201503685</t>
  </si>
  <si>
    <t> 201604517-T</t>
  </si>
  <si>
    <t> 201604518-T</t>
  </si>
  <si>
    <t> 201605821-T</t>
  </si>
  <si>
    <t> 201501172-T</t>
  </si>
  <si>
    <t>32-17N-09W</t>
  </si>
  <si>
    <t> 201503892-T</t>
  </si>
  <si>
    <t> 201502136-T</t>
  </si>
  <si>
    <t>33-17N-09W</t>
  </si>
  <si>
    <t> 201503804-T</t>
  </si>
  <si>
    <t> 201501906-T</t>
  </si>
  <si>
    <t>34-17N-09W</t>
  </si>
  <si>
    <t> 201505908-T</t>
  </si>
  <si>
    <t>36-17N-09W</t>
  </si>
  <si>
    <t> 201505217-T</t>
  </si>
  <si>
    <t>02-17N-07W</t>
  </si>
  <si>
    <t> 201500741-T</t>
  </si>
  <si>
    <t>06-17N-07W</t>
  </si>
  <si>
    <t> 201500742-T</t>
  </si>
  <si>
    <t>07-17N-07W</t>
  </si>
  <si>
    <t> 201504624-T</t>
  </si>
  <si>
    <t>11-17N-07W</t>
  </si>
  <si>
    <t> 201603771</t>
  </si>
  <si>
    <t> 201504880</t>
  </si>
  <si>
    <t> 201505039</t>
  </si>
  <si>
    <t> 201600056</t>
  </si>
  <si>
    <t> 201601227</t>
  </si>
  <si>
    <t> 201600328</t>
  </si>
  <si>
    <t> 201601858</t>
  </si>
  <si>
    <t> 201603803-T</t>
  </si>
  <si>
    <t> 201600701-T</t>
  </si>
  <si>
    <t> 201502879-T</t>
  </si>
  <si>
    <t>18-17N-07W</t>
  </si>
  <si>
    <t> 201502880-T</t>
  </si>
  <si>
    <t>19-17N-07W</t>
  </si>
  <si>
    <t> 201600702-T</t>
  </si>
  <si>
    <t> 201602495-T</t>
  </si>
  <si>
    <t> 201603806-T</t>
  </si>
  <si>
    <t> 201408884</t>
  </si>
  <si>
    <t>22-17N-07W</t>
  </si>
  <si>
    <t> 201409258</t>
  </si>
  <si>
    <t> 201409259</t>
  </si>
  <si>
    <t> 201506259</t>
  </si>
  <si>
    <t> 201505255</t>
  </si>
  <si>
    <t> 201506038</t>
  </si>
  <si>
    <t> 201408143-T</t>
  </si>
  <si>
    <t>26-17N-07W</t>
  </si>
  <si>
    <t> 201409373</t>
  </si>
  <si>
    <t>27-17N-07W</t>
  </si>
  <si>
    <t> 201501302</t>
  </si>
  <si>
    <t> 201603729-T</t>
  </si>
  <si>
    <t> 201600570-T</t>
  </si>
  <si>
    <t>29-17N-07W</t>
  </si>
  <si>
    <t> 201601207-T</t>
  </si>
  <si>
    <t> 201600972-T</t>
  </si>
  <si>
    <t>30-17N-07W</t>
  </si>
  <si>
    <t> 201603138-T</t>
  </si>
  <si>
    <t> 201600973-T</t>
  </si>
  <si>
    <t>31-17N-07W</t>
  </si>
  <si>
    <t> 201600572-T</t>
  </si>
  <si>
    <t>32-17N-07W</t>
  </si>
  <si>
    <t> 201603731-T</t>
  </si>
  <si>
    <t> 201503727</t>
  </si>
  <si>
    <t>34-17N-07W</t>
  </si>
  <si>
    <t> 201504552-T</t>
  </si>
  <si>
    <t> 201408144-T</t>
  </si>
  <si>
    <t>35-17N-07W</t>
  </si>
  <si>
    <t> 201604388-T</t>
  </si>
  <si>
    <t> 201303466</t>
  </si>
  <si>
    <t> OKLAHOMA ENERGY ACQUIS</t>
  </si>
  <si>
    <t> 201600321</t>
  </si>
  <si>
    <t> 201601454</t>
  </si>
  <si>
    <t> 201504859</t>
  </si>
  <si>
    <t> 201600026</t>
  </si>
  <si>
    <t> 201601109</t>
  </si>
  <si>
    <t>07-17N-06W</t>
  </si>
  <si>
    <t> 201601112</t>
  </si>
  <si>
    <t> 201603826</t>
  </si>
  <si>
    <t> 201503475</t>
  </si>
  <si>
    <t> OKLAHOMA ENERGY AQUIST</t>
  </si>
  <si>
    <t> 201504531</t>
  </si>
  <si>
    <t> 201206759</t>
  </si>
  <si>
    <t> 201407566</t>
  </si>
  <si>
    <t>11-17N-06W</t>
  </si>
  <si>
    <t> 201303635</t>
  </si>
  <si>
    <t> OKLAHOMA ENERGY ACQUISIT</t>
  </si>
  <si>
    <t> 201407235</t>
  </si>
  <si>
    <t> 201502376</t>
  </si>
  <si>
    <t>15-17N-06W</t>
  </si>
  <si>
    <t> 201503040</t>
  </si>
  <si>
    <t>16-17N-06W</t>
  </si>
  <si>
    <t> 201601420</t>
  </si>
  <si>
    <t>17-17N-06W</t>
  </si>
  <si>
    <t> 201603402</t>
  </si>
  <si>
    <t> 201600322</t>
  </si>
  <si>
    <t> 201602425</t>
  </si>
  <si>
    <t> 201604788</t>
  </si>
  <si>
    <t> 201601118</t>
  </si>
  <si>
    <t>19-17N-06W</t>
  </si>
  <si>
    <t> 201605620</t>
  </si>
  <si>
    <t> 201603683</t>
  </si>
  <si>
    <t> 201605621</t>
  </si>
  <si>
    <t> 201504964</t>
  </si>
  <si>
    <t>21-17N-06W</t>
  </si>
  <si>
    <t> 201601119</t>
  </si>
  <si>
    <t> 201600844</t>
  </si>
  <si>
    <t>22-17N-06W</t>
  </si>
  <si>
    <t> 201602050</t>
  </si>
  <si>
    <t> 201505117</t>
  </si>
  <si>
    <t> 201600333</t>
  </si>
  <si>
    <t> 201504745</t>
  </si>
  <si>
    <t> 201600784</t>
  </si>
  <si>
    <t> 201600854</t>
  </si>
  <si>
    <t> 201505256</t>
  </si>
  <si>
    <t> 201600630</t>
  </si>
  <si>
    <t> 201505733</t>
  </si>
  <si>
    <t> 201602064</t>
  </si>
  <si>
    <t> 201603030</t>
  </si>
  <si>
    <t> 201605215</t>
  </si>
  <si>
    <t> 201505749</t>
  </si>
  <si>
    <t> 201601566</t>
  </si>
  <si>
    <t> 201600638</t>
  </si>
  <si>
    <t> 201600695</t>
  </si>
  <si>
    <t> 201602221</t>
  </si>
  <si>
    <t> 201505985</t>
  </si>
  <si>
    <t> 201506062</t>
  </si>
  <si>
    <t> 201506063</t>
  </si>
  <si>
    <t> 201505405</t>
  </si>
  <si>
    <t> 201505438</t>
  </si>
  <si>
    <t> 201600667</t>
  </si>
  <si>
    <t> 201601717</t>
  </si>
  <si>
    <t> 201600737</t>
  </si>
  <si>
    <t>01-17N-05W</t>
  </si>
  <si>
    <t> 201405635</t>
  </si>
  <si>
    <t> 201601231</t>
  </si>
  <si>
    <t> 201605144</t>
  </si>
  <si>
    <t> 201701181</t>
  </si>
  <si>
    <t> 201404601</t>
  </si>
  <si>
    <t>04-17N-05W</t>
  </si>
  <si>
    <t> 201404864</t>
  </si>
  <si>
    <t>05-17N-05W</t>
  </si>
  <si>
    <t> 201407234</t>
  </si>
  <si>
    <t> 201600216</t>
  </si>
  <si>
    <t> 201307404</t>
  </si>
  <si>
    <t> 201307405</t>
  </si>
  <si>
    <t> 201503192</t>
  </si>
  <si>
    <t> 201503793</t>
  </si>
  <si>
    <t> OKLAHOMA ENERGY ACUIST</t>
  </si>
  <si>
    <t> 201603866</t>
  </si>
  <si>
    <t> 201504720</t>
  </si>
  <si>
    <t> 201505475</t>
  </si>
  <si>
    <t> 201600842</t>
  </si>
  <si>
    <t>11-17N-05W</t>
  </si>
  <si>
    <t> 201600217</t>
  </si>
  <si>
    <t> 201602501</t>
  </si>
  <si>
    <t> 201603275</t>
  </si>
  <si>
    <t> 201502311</t>
  </si>
  <si>
    <t> 201503834</t>
  </si>
  <si>
    <t> 201502762</t>
  </si>
  <si>
    <t> 201403838</t>
  </si>
  <si>
    <t> 201308646</t>
  </si>
  <si>
    <t> 201301320</t>
  </si>
  <si>
    <t> 201408527</t>
  </si>
  <si>
    <t> 201308573</t>
  </si>
  <si>
    <t> WARD PETROLEUM CORP</t>
  </si>
  <si>
    <t>22-17N-05W</t>
  </si>
  <si>
    <t> 201302299</t>
  </si>
  <si>
    <t>24-17N-05W</t>
  </si>
  <si>
    <t> 201401241</t>
  </si>
  <si>
    <t> 201408682</t>
  </si>
  <si>
    <t> 201307052</t>
  </si>
  <si>
    <t> PAYNE EXPLORATION CO</t>
  </si>
  <si>
    <t>25-17N-05W</t>
  </si>
  <si>
    <t> 201401980</t>
  </si>
  <si>
    <t> 201207778</t>
  </si>
  <si>
    <t>26-17N-05W</t>
  </si>
  <si>
    <t> 201300292</t>
  </si>
  <si>
    <t> 201203863</t>
  </si>
  <si>
    <t> 201308244</t>
  </si>
  <si>
    <t> 201502480</t>
  </si>
  <si>
    <t> 201308599</t>
  </si>
  <si>
    <t> 201402763</t>
  </si>
  <si>
    <t> 201401220</t>
  </si>
  <si>
    <t> 201503571</t>
  </si>
  <si>
    <t> 201600252</t>
  </si>
  <si>
    <t> 201700262</t>
  </si>
  <si>
    <t> 201602219</t>
  </si>
  <si>
    <t>32-17N-05W</t>
  </si>
  <si>
    <t> 201605622</t>
  </si>
  <si>
    <t> 201305916</t>
  </si>
  <si>
    <t>33-17N-05W</t>
  </si>
  <si>
    <t> 201403419</t>
  </si>
  <si>
    <t> 201406176</t>
  </si>
  <si>
    <t> STEPHENS PRODUCTION CO</t>
  </si>
  <si>
    <t> 201204916</t>
  </si>
  <si>
    <t>35-17N-05W</t>
  </si>
  <si>
    <t> 201302787</t>
  </si>
  <si>
    <t>01-16N-05W</t>
  </si>
  <si>
    <t> 201308606</t>
  </si>
  <si>
    <t> 201306651</t>
  </si>
  <si>
    <t> 201305477</t>
  </si>
  <si>
    <t> 201306859</t>
  </si>
  <si>
    <t> 201400695</t>
  </si>
  <si>
    <t> 201506001</t>
  </si>
  <si>
    <t>05-16N-05W</t>
  </si>
  <si>
    <t> 201602218</t>
  </si>
  <si>
    <t> 201305683</t>
  </si>
  <si>
    <t> 201703710</t>
  </si>
  <si>
    <t> 201401420</t>
  </si>
  <si>
    <t> 201405625</t>
  </si>
  <si>
    <t> 201205779</t>
  </si>
  <si>
    <t> 201208435</t>
  </si>
  <si>
    <t> 201207933</t>
  </si>
  <si>
    <t>11-16N-05W</t>
  </si>
  <si>
    <t> 201206440</t>
  </si>
  <si>
    <t>13-16N-05W</t>
  </si>
  <si>
    <t> 201302731</t>
  </si>
  <si>
    <t> 201601845</t>
  </si>
  <si>
    <t> 201207935</t>
  </si>
  <si>
    <t>15-16N-05W</t>
  </si>
  <si>
    <t> 201407144</t>
  </si>
  <si>
    <t> 201602761</t>
  </si>
  <si>
    <t> 201601889</t>
  </si>
  <si>
    <t> 201604554</t>
  </si>
  <si>
    <t> 201604646</t>
  </si>
  <si>
    <t> 201603284</t>
  </si>
  <si>
    <t> 201603285</t>
  </si>
  <si>
    <t> 201407294</t>
  </si>
  <si>
    <t> 201506298</t>
  </si>
  <si>
    <t> 201600818</t>
  </si>
  <si>
    <t> 201605848</t>
  </si>
  <si>
    <t> 201505426</t>
  </si>
  <si>
    <t>27-16N-05W</t>
  </si>
  <si>
    <t> 201602049</t>
  </si>
  <si>
    <t> 201601453</t>
  </si>
  <si>
    <t>30-16N-05W</t>
  </si>
  <si>
    <t> 201604065</t>
  </si>
  <si>
    <t> 201604389</t>
  </si>
  <si>
    <t> 201701554</t>
  </si>
  <si>
    <t> 201605278</t>
  </si>
  <si>
    <t> 201600764</t>
  </si>
  <si>
    <t>36-16N-05W</t>
  </si>
  <si>
    <t> 201505508</t>
  </si>
  <si>
    <t> 201600810-T</t>
  </si>
  <si>
    <t> 201502577-T</t>
  </si>
  <si>
    <t>05-16N-06W</t>
  </si>
  <si>
    <t> 201601206-T</t>
  </si>
  <si>
    <t> 201601971-T</t>
  </si>
  <si>
    <t>06-16N-06W</t>
  </si>
  <si>
    <t> 201601972-T</t>
  </si>
  <si>
    <t>07-16N-06W</t>
  </si>
  <si>
    <t> 201502578-T</t>
  </si>
  <si>
    <t>08-16N-06W</t>
  </si>
  <si>
    <t> 201600811-T</t>
  </si>
  <si>
    <t> 201601079</t>
  </si>
  <si>
    <t> 201603321</t>
  </si>
  <si>
    <t> 201604491</t>
  </si>
  <si>
    <t> 201602995</t>
  </si>
  <si>
    <t> 201700263</t>
  </si>
  <si>
    <t> 201504900-T</t>
  </si>
  <si>
    <t>16-16N-06W</t>
  </si>
  <si>
    <t> 201502726-T</t>
  </si>
  <si>
    <t>17-16N-06W</t>
  </si>
  <si>
    <t> 201502674-T</t>
  </si>
  <si>
    <t>18-16N-06W</t>
  </si>
  <si>
    <t> 201502675-T</t>
  </si>
  <si>
    <t>19-16N-06W</t>
  </si>
  <si>
    <t> 201505004-T</t>
  </si>
  <si>
    <t>21-16N-06W</t>
  </si>
  <si>
    <t> 201505078</t>
  </si>
  <si>
    <t> 201604103-T</t>
  </si>
  <si>
    <t> 201505168</t>
  </si>
  <si>
    <t> 201601521</t>
  </si>
  <si>
    <t> 201505884</t>
  </si>
  <si>
    <t> 201603925</t>
  </si>
  <si>
    <t> 201700711</t>
  </si>
  <si>
    <t> 201601505</t>
  </si>
  <si>
    <t> 201407972-T</t>
  </si>
  <si>
    <t>28-16N-06W</t>
  </si>
  <si>
    <t> 201506266-T</t>
  </si>
  <si>
    <t>29-16N-06W</t>
  </si>
  <si>
    <t> 201409311</t>
  </si>
  <si>
    <t> 201504156-T</t>
  </si>
  <si>
    <t> 201505046</t>
  </si>
  <si>
    <t> 201504157-T</t>
  </si>
  <si>
    <t>31-16N-06W</t>
  </si>
  <si>
    <t> 201506267-T</t>
  </si>
  <si>
    <t>32-16N-06W</t>
  </si>
  <si>
    <t> 201600059</t>
  </si>
  <si>
    <t> 201407973-T</t>
  </si>
  <si>
    <t>33-16N-06W</t>
  </si>
  <si>
    <t> 201602629-T</t>
  </si>
  <si>
    <t> 201701977</t>
  </si>
  <si>
    <t> 201701978</t>
  </si>
  <si>
    <t> 201602077-T</t>
  </si>
  <si>
    <t> 201504336</t>
  </si>
  <si>
    <t>02-16N-07W</t>
  </si>
  <si>
    <t> 201504389-T</t>
  </si>
  <si>
    <t>03-16N-07W</t>
  </si>
  <si>
    <t> 201505546</t>
  </si>
  <si>
    <t> 201503822</t>
  </si>
  <si>
    <t> 201602841</t>
  </si>
  <si>
    <t> 201604687-T</t>
  </si>
  <si>
    <t> 201408159</t>
  </si>
  <si>
    <t> 201504369-T</t>
  </si>
  <si>
    <t>09-16N-07W</t>
  </si>
  <si>
    <t> 201504399-T</t>
  </si>
  <si>
    <t>10-16N-07W</t>
  </si>
  <si>
    <t> 201601283-T</t>
  </si>
  <si>
    <t> 201601386</t>
  </si>
  <si>
    <t> 201502247</t>
  </si>
  <si>
    <t>11-16N-07W</t>
  </si>
  <si>
    <t> 201501217</t>
  </si>
  <si>
    <t> 201501549</t>
  </si>
  <si>
    <t> 201501948</t>
  </si>
  <si>
    <t> 201601497</t>
  </si>
  <si>
    <t>16-16N-07W</t>
  </si>
  <si>
    <t> 201501308-T</t>
  </si>
  <si>
    <t>17-16N-07W</t>
  </si>
  <si>
    <t> 201503275-T</t>
  </si>
  <si>
    <t>18-16N-07W</t>
  </si>
  <si>
    <t> 201501309-T</t>
  </si>
  <si>
    <t>20-16N-07W</t>
  </si>
  <si>
    <t> 201503516-T</t>
  </si>
  <si>
    <t> 201505075-T</t>
  </si>
  <si>
    <t> 201505096</t>
  </si>
  <si>
    <t> 201500381</t>
  </si>
  <si>
    <t>24-16N-07W</t>
  </si>
  <si>
    <t> 201501208-T</t>
  </si>
  <si>
    <t>25-16N-07W</t>
  </si>
  <si>
    <t> 201501588-T</t>
  </si>
  <si>
    <t>26-16N-07W</t>
  </si>
  <si>
    <t> 201504477-T</t>
  </si>
  <si>
    <t> 201501537-T</t>
  </si>
  <si>
    <t>27-16N-07W</t>
  </si>
  <si>
    <t> 201602894</t>
  </si>
  <si>
    <t>28-16N-07W</t>
  </si>
  <si>
    <t> 201602905</t>
  </si>
  <si>
    <t> 201603261</t>
  </si>
  <si>
    <t> 201407172</t>
  </si>
  <si>
    <t> 201501538-T</t>
  </si>
  <si>
    <t>34-16N-07W</t>
  </si>
  <si>
    <t> 201404097</t>
  </si>
  <si>
    <t> 201501209-T</t>
  </si>
  <si>
    <t>36-16N-07W</t>
  </si>
  <si>
    <t> 201504162-T</t>
  </si>
  <si>
    <t> 201406547-T</t>
  </si>
  <si>
    <t>01-16N-08W</t>
  </si>
  <si>
    <t> 201500220-T</t>
  </si>
  <si>
    <t> 201501131-T</t>
  </si>
  <si>
    <t> 201600021-T</t>
  </si>
  <si>
    <t> 201405587</t>
  </si>
  <si>
    <t>02-16N-08W</t>
  </si>
  <si>
    <t> 201407176-T</t>
  </si>
  <si>
    <t>03-16N-08W</t>
  </si>
  <si>
    <t> 201504499-T</t>
  </si>
  <si>
    <t> 201601067-T</t>
  </si>
  <si>
    <t>04-16N-08W</t>
  </si>
  <si>
    <t> 201405267-T</t>
  </si>
  <si>
    <t>05-16N-08W</t>
  </si>
  <si>
    <t> 201501943</t>
  </si>
  <si>
    <t> AMERICAN ENERGY NONOP LLC</t>
  </si>
  <si>
    <t> 201404039</t>
  </si>
  <si>
    <t>06-16N-08W</t>
  </si>
  <si>
    <t> 201404499-T</t>
  </si>
  <si>
    <t> 201404043</t>
  </si>
  <si>
    <t>07-16N-08W</t>
  </si>
  <si>
    <t> 201404498-T</t>
  </si>
  <si>
    <t> 201405268-T</t>
  </si>
  <si>
    <t>08-16N-08W</t>
  </si>
  <si>
    <t> 201408079-T</t>
  </si>
  <si>
    <t> 201501944</t>
  </si>
  <si>
    <t> 201601068-T</t>
  </si>
  <si>
    <t>09-16N-08W</t>
  </si>
  <si>
    <t> 201407177-T</t>
  </si>
  <si>
    <t>10-16N-08W</t>
  </si>
  <si>
    <t> 201405588</t>
  </si>
  <si>
    <t>11-16N-08W</t>
  </si>
  <si>
    <t> 201406548-T</t>
  </si>
  <si>
    <t>12-16N-08W</t>
  </si>
  <si>
    <t> 201501132-T</t>
  </si>
  <si>
    <t> 201505909-T</t>
  </si>
  <si>
    <t> 201400546-T</t>
  </si>
  <si>
    <t> 201404435-T</t>
  </si>
  <si>
    <t>15-16N-08W</t>
  </si>
  <si>
    <t> 201406960-T</t>
  </si>
  <si>
    <t>16-16N-08W</t>
  </si>
  <si>
    <t> 201406281-T</t>
  </si>
  <si>
    <t>17-16N-08W</t>
  </si>
  <si>
    <t> 201303131-T</t>
  </si>
  <si>
    <t> NEWFIELD EXPL MIDCONTIN</t>
  </si>
  <si>
    <t>18-16N-08W</t>
  </si>
  <si>
    <t> 201303132-T</t>
  </si>
  <si>
    <t>19-16N-08W</t>
  </si>
  <si>
    <t> 201406282-T</t>
  </si>
  <si>
    <t>20-16N-08W</t>
  </si>
  <si>
    <t> 201406959-T</t>
  </si>
  <si>
    <t>21-16N-08W</t>
  </si>
  <si>
    <t> 201404436-T</t>
  </si>
  <si>
    <t>22-16N-08W</t>
  </si>
  <si>
    <t> 201400547-T</t>
  </si>
  <si>
    <t> 201500484-T</t>
  </si>
  <si>
    <t>24-16N-08W</t>
  </si>
  <si>
    <t> 201503525-T</t>
  </si>
  <si>
    <t> 201406072-T</t>
  </si>
  <si>
    <t>26-16N-08W</t>
  </si>
  <si>
    <t> 201505582</t>
  </si>
  <si>
    <t> 201404823-T</t>
  </si>
  <si>
    <t>28-16N-08W</t>
  </si>
  <si>
    <t> 201404797-T</t>
  </si>
  <si>
    <t>29-16N-08W</t>
  </si>
  <si>
    <t> 201404477-T</t>
  </si>
  <si>
    <t>30-16N-08W</t>
  </si>
  <si>
    <t> 201404798-T</t>
  </si>
  <si>
    <t>32-16N-08W</t>
  </si>
  <si>
    <t> 201404824-T</t>
  </si>
  <si>
    <t>33-16N-08W</t>
  </si>
  <si>
    <t> 201402201-T</t>
  </si>
  <si>
    <t> 201406073-T</t>
  </si>
  <si>
    <t>35-16N-08W</t>
  </si>
  <si>
    <t> 201504672-T</t>
  </si>
  <si>
    <t> 201601660</t>
  </si>
  <si>
    <t>36-16N-08W</t>
  </si>
  <si>
    <t> 201406394-T</t>
  </si>
  <si>
    <t>01-16N-09W</t>
  </si>
  <si>
    <t> 201500219-T</t>
  </si>
  <si>
    <t> 201406131-T</t>
  </si>
  <si>
    <t> 201500223-T</t>
  </si>
  <si>
    <t> 201505044-T</t>
  </si>
  <si>
    <t> 201502494</t>
  </si>
  <si>
    <t> 201604640</t>
  </si>
  <si>
    <t> 201700344</t>
  </si>
  <si>
    <t> 201501256-T</t>
  </si>
  <si>
    <t>05-16N-09W</t>
  </si>
  <si>
    <t> 201503372</t>
  </si>
  <si>
    <t> 201504090</t>
  </si>
  <si>
    <t> 201600620</t>
  </si>
  <si>
    <t> 201503374</t>
  </si>
  <si>
    <t> 201600622</t>
  </si>
  <si>
    <t> 201501257-T</t>
  </si>
  <si>
    <t>08-16N-09W</t>
  </si>
  <si>
    <t> 201504856</t>
  </si>
  <si>
    <t> 201406132-T</t>
  </si>
  <si>
    <t>11-16N-09W</t>
  </si>
  <si>
    <t> 201500224-T</t>
  </si>
  <si>
    <t> 201501665-T</t>
  </si>
  <si>
    <t> 201503046-T</t>
  </si>
  <si>
    <t> 201406395-T</t>
  </si>
  <si>
    <t>12-16N-09W</t>
  </si>
  <si>
    <t> 201409075-T</t>
  </si>
  <si>
    <t>13-16N-09W</t>
  </si>
  <si>
    <t> 201604003</t>
  </si>
  <si>
    <t> 201700442</t>
  </si>
  <si>
    <t> 201504057</t>
  </si>
  <si>
    <t> 201603744</t>
  </si>
  <si>
    <t> 201605824</t>
  </si>
  <si>
    <t> 201504058</t>
  </si>
  <si>
    <t> 201603745</t>
  </si>
  <si>
    <t> 201605825</t>
  </si>
  <si>
    <t> 201504582</t>
  </si>
  <si>
    <t> 201603634</t>
  </si>
  <si>
    <t> 201604557</t>
  </si>
  <si>
    <t> 201409076-T</t>
  </si>
  <si>
    <t>24-16N-09W</t>
  </si>
  <si>
    <t> 201501546</t>
  </si>
  <si>
    <t>26-16N-09W</t>
  </si>
  <si>
    <t> 201504400-T</t>
  </si>
  <si>
    <t> 201500963</t>
  </si>
  <si>
    <t>27-16N-09W</t>
  </si>
  <si>
    <t> 201502203</t>
  </si>
  <si>
    <t> 201503132</t>
  </si>
  <si>
    <t> 201604560</t>
  </si>
  <si>
    <t> 201603845</t>
  </si>
  <si>
    <t> 201409206</t>
  </si>
  <si>
    <t>30-16N-09W</t>
  </si>
  <si>
    <t> 201502920</t>
  </si>
  <si>
    <t> 201504385-T</t>
  </si>
  <si>
    <t> 201604260</t>
  </si>
  <si>
    <t> 201605572-T</t>
  </si>
  <si>
    <t> 201601344</t>
  </si>
  <si>
    <t>36-16N-09W</t>
  </si>
  <si>
    <t> 201604366</t>
  </si>
  <si>
    <t> 201604652</t>
  </si>
  <si>
    <t> 201604417</t>
  </si>
  <si>
    <t> 201407476-T</t>
  </si>
  <si>
    <t> 201407631</t>
  </si>
  <si>
    <t> 201503092</t>
  </si>
  <si>
    <t> 201407473-T</t>
  </si>
  <si>
    <t> 201408511</t>
  </si>
  <si>
    <t> 201500444-T</t>
  </si>
  <si>
    <t> 201504516</t>
  </si>
  <si>
    <t> 201603775</t>
  </si>
  <si>
    <t> 201603150</t>
  </si>
  <si>
    <t> 201604416</t>
  </si>
  <si>
    <t> 201407698-T</t>
  </si>
  <si>
    <t>12-15N-09W</t>
  </si>
  <si>
    <t> 201408340</t>
  </si>
  <si>
    <t> 201407699-T</t>
  </si>
  <si>
    <t>13-15N-09W</t>
  </si>
  <si>
    <t> 201407759</t>
  </si>
  <si>
    <t> 201407808</t>
  </si>
  <si>
    <t>15-15N-09W</t>
  </si>
  <si>
    <t> 201603149</t>
  </si>
  <si>
    <t> 201500445-T</t>
  </si>
  <si>
    <t> 201409433</t>
  </si>
  <si>
    <t>18-15N-09W</t>
  </si>
  <si>
    <t> 201502717</t>
  </si>
  <si>
    <t> 201502872</t>
  </si>
  <si>
    <t> 201605679</t>
  </si>
  <si>
    <t> 201408287</t>
  </si>
  <si>
    <t>24-15N-09W</t>
  </si>
  <si>
    <t> 201404546</t>
  </si>
  <si>
    <t>27-15N-09W</t>
  </si>
  <si>
    <t> 201604194</t>
  </si>
  <si>
    <t> 201605990</t>
  </si>
  <si>
    <t> 201303060</t>
  </si>
  <si>
    <t>31-15N-09W</t>
  </si>
  <si>
    <t> 201303176</t>
  </si>
  <si>
    <t>32-15N-09W</t>
  </si>
  <si>
    <t> 201304428</t>
  </si>
  <si>
    <t> 201403863</t>
  </si>
  <si>
    <t> 201702695</t>
  </si>
  <si>
    <t> 201602893</t>
  </si>
  <si>
    <t> 201502386-T</t>
  </si>
  <si>
    <t>01-15N-08W</t>
  </si>
  <si>
    <t> 201408889-T</t>
  </si>
  <si>
    <t>02-15N-08W</t>
  </si>
  <si>
    <t> 201502819-T</t>
  </si>
  <si>
    <t> 201504450-T</t>
  </si>
  <si>
    <t> 201404381-T</t>
  </si>
  <si>
    <t>04-15N-08W</t>
  </si>
  <si>
    <t> 201405388</t>
  </si>
  <si>
    <t> KING ENERGY LLC</t>
  </si>
  <si>
    <t> 201208509</t>
  </si>
  <si>
    <t>05-15N-08W</t>
  </si>
  <si>
    <t> 201405589</t>
  </si>
  <si>
    <t>06-15N-08W</t>
  </si>
  <si>
    <t> 201405750-T</t>
  </si>
  <si>
    <t> 201503630</t>
  </si>
  <si>
    <t> 201405590</t>
  </si>
  <si>
    <t>07-15N-08W</t>
  </si>
  <si>
    <t> 201500917</t>
  </si>
  <si>
    <t> 201208511</t>
  </si>
  <si>
    <t>08-15N-08W</t>
  </si>
  <si>
    <t> 201404382-T</t>
  </si>
  <si>
    <t>09-15N-08W</t>
  </si>
  <si>
    <t> 201407936</t>
  </si>
  <si>
    <t>10-15N-08W</t>
  </si>
  <si>
    <t> 201404847-T</t>
  </si>
  <si>
    <t>11-15N-08W</t>
  </si>
  <si>
    <t> 201503714-T</t>
  </si>
  <si>
    <t> 201601366-T</t>
  </si>
  <si>
    <t> 201502387-T</t>
  </si>
  <si>
    <t>12-15N-08W</t>
  </si>
  <si>
    <t> 201404886-T</t>
  </si>
  <si>
    <t>14-15N-08W</t>
  </si>
  <si>
    <t> 201407937</t>
  </si>
  <si>
    <t>15-15N-08W</t>
  </si>
  <si>
    <t> 201409169</t>
  </si>
  <si>
    <t> 201502264-T</t>
  </si>
  <si>
    <t>18-15N-08W</t>
  </si>
  <si>
    <t> 201502265-T</t>
  </si>
  <si>
    <t>19-15N-08W</t>
  </si>
  <si>
    <t> 201404986</t>
  </si>
  <si>
    <t>20-15N-08W</t>
  </si>
  <si>
    <t> 201501564</t>
  </si>
  <si>
    <t> 201503715</t>
  </si>
  <si>
    <t> 201604033</t>
  </si>
  <si>
    <t> 201604925</t>
  </si>
  <si>
    <t> 201404887-T</t>
  </si>
  <si>
    <t>23-15N-08W</t>
  </si>
  <si>
    <t> 201409440</t>
  </si>
  <si>
    <t>24-15N-08W</t>
  </si>
  <si>
    <t> 201409441</t>
  </si>
  <si>
    <t>25-15N-08W</t>
  </si>
  <si>
    <t> 201602976</t>
  </si>
  <si>
    <t> 201405257-T</t>
  </si>
  <si>
    <t>26-15N-08W</t>
  </si>
  <si>
    <t> 201407083</t>
  </si>
  <si>
    <t>28-15N-08W</t>
  </si>
  <si>
    <t> 201404985</t>
  </si>
  <si>
    <t>29-15N-08W</t>
  </si>
  <si>
    <t> 201405768</t>
  </si>
  <si>
    <t> 201503254</t>
  </si>
  <si>
    <t> 201406487</t>
  </si>
  <si>
    <t>31-15N-08W</t>
  </si>
  <si>
    <t> 201405260-T</t>
  </si>
  <si>
    <t>35-15N-08W</t>
  </si>
  <si>
    <t> 201404714-T</t>
  </si>
  <si>
    <t>01-15N-07W</t>
  </si>
  <si>
    <t> 201405384-T</t>
  </si>
  <si>
    <t>02-15N-07W</t>
  </si>
  <si>
    <t> 201306351-T</t>
  </si>
  <si>
    <t>03-15N-07W</t>
  </si>
  <si>
    <t> 201504737</t>
  </si>
  <si>
    <t>05-15N-07W</t>
  </si>
  <si>
    <t> 201602661-T</t>
  </si>
  <si>
    <t> 201405496-T</t>
  </si>
  <si>
    <t>07-15N-07W</t>
  </si>
  <si>
    <t> 201504738</t>
  </si>
  <si>
    <t>08-15N-07W</t>
  </si>
  <si>
    <t> 201306352-T</t>
  </si>
  <si>
    <t>10-15N-07W</t>
  </si>
  <si>
    <t>11-15N-07W</t>
  </si>
  <si>
    <t> 201404715-T</t>
  </si>
  <si>
    <t>12-15N-07W</t>
  </si>
  <si>
    <t> 201502017-T</t>
  </si>
  <si>
    <t> 201406120-T</t>
  </si>
  <si>
    <t>13-15N-07W</t>
  </si>
  <si>
    <t> 201405830-T</t>
  </si>
  <si>
    <t>14-15N-07W</t>
  </si>
  <si>
    <t> 201406372</t>
  </si>
  <si>
    <t> 201503502</t>
  </si>
  <si>
    <t> 201402236-T</t>
  </si>
  <si>
    <t> 201402901-T</t>
  </si>
  <si>
    <t> 201405479-T</t>
  </si>
  <si>
    <t>17-15N-07W</t>
  </si>
  <si>
    <t> 201500201-T</t>
  </si>
  <si>
    <t> 201504372-T</t>
  </si>
  <si>
    <t>18-15N-07W</t>
  </si>
  <si>
    <t> 201602141-T</t>
  </si>
  <si>
    <t> 201405478-T</t>
  </si>
  <si>
    <t>20-15N-07W</t>
  </si>
  <si>
    <t> 201500202-T</t>
  </si>
  <si>
    <t> 201403271</t>
  </si>
  <si>
    <t> 201405565-T</t>
  </si>
  <si>
    <t> 201503482-T</t>
  </si>
  <si>
    <t> 201503517-T</t>
  </si>
  <si>
    <t> 201402237-T</t>
  </si>
  <si>
    <t> 201402902-T</t>
  </si>
  <si>
    <t> 201405831-T</t>
  </si>
  <si>
    <t>23-15N-07W</t>
  </si>
  <si>
    <t> 201406373</t>
  </si>
  <si>
    <t> 201406121-T</t>
  </si>
  <si>
    <t>24-15N-07W</t>
  </si>
  <si>
    <t> 201403600-T</t>
  </si>
  <si>
    <t>25-15N-07W</t>
  </si>
  <si>
    <t> 201402911-T</t>
  </si>
  <si>
    <t>26-15N-07W</t>
  </si>
  <si>
    <t> 201404247-T</t>
  </si>
  <si>
    <t>27-15N-07W</t>
  </si>
  <si>
    <t> 201404961-T</t>
  </si>
  <si>
    <t> 201600500</t>
  </si>
  <si>
    <t> 201601379</t>
  </si>
  <si>
    <t> 201602656-T</t>
  </si>
  <si>
    <t>29-15N-07W</t>
  </si>
  <si>
    <t> 201605151-T</t>
  </si>
  <si>
    <t> 201404750-T</t>
  </si>
  <si>
    <t> 201604222</t>
  </si>
  <si>
    <t> 201404249-T</t>
  </si>
  <si>
    <t>34-15N-07W</t>
  </si>
  <si>
    <t> 201402912-T</t>
  </si>
  <si>
    <t>35-15N-07W</t>
  </si>
  <si>
    <t> 201403601-T</t>
  </si>
  <si>
    <t>36-15N-07W</t>
  </si>
  <si>
    <t> 201603276</t>
  </si>
  <si>
    <t> 201701281</t>
  </si>
  <si>
    <t> 201600501</t>
  </si>
  <si>
    <t> 201604352</t>
  </si>
  <si>
    <t> 201502164</t>
  </si>
  <si>
    <t> 201502610-T</t>
  </si>
  <si>
    <t> 201503737-T</t>
  </si>
  <si>
    <t>04-15N-06W</t>
  </si>
  <si>
    <t> 201602414-T</t>
  </si>
  <si>
    <t> 201503996-T</t>
  </si>
  <si>
    <t>05-15N-06W</t>
  </si>
  <si>
    <t> 201600436-T</t>
  </si>
  <si>
    <t> 201601352-T</t>
  </si>
  <si>
    <t>06-15N-06W</t>
  </si>
  <si>
    <t> 201506188-T</t>
  </si>
  <si>
    <t> 201506196</t>
  </si>
  <si>
    <t> 201503959-T</t>
  </si>
  <si>
    <t>08-15N-06W</t>
  </si>
  <si>
    <t> 201502611-T</t>
  </si>
  <si>
    <t> 201603176</t>
  </si>
  <si>
    <t> 201700023</t>
  </si>
  <si>
    <t> 201602762</t>
  </si>
  <si>
    <t> 201506293</t>
  </si>
  <si>
    <t> 201400504-T</t>
  </si>
  <si>
    <t>15-15N-06W</t>
  </si>
  <si>
    <t> 201504838-T</t>
  </si>
  <si>
    <t>16-15N-06W</t>
  </si>
  <si>
    <t> 201404753</t>
  </si>
  <si>
    <t> 201503164-T</t>
  </si>
  <si>
    <t>18-15N-06W</t>
  </si>
  <si>
    <t> 201503165-T</t>
  </si>
  <si>
    <t>19-15N-06W</t>
  </si>
  <si>
    <t> 201503494</t>
  </si>
  <si>
    <t>20-15N-06W</t>
  </si>
  <si>
    <t> 201504636-T</t>
  </si>
  <si>
    <t>21-15N-06W</t>
  </si>
  <si>
    <t> 201400505-T</t>
  </si>
  <si>
    <t>22-15N-06W</t>
  </si>
  <si>
    <t> 201603199</t>
  </si>
  <si>
    <t> 201605146</t>
  </si>
  <si>
    <t> 201503670</t>
  </si>
  <si>
    <t>26-15N-06W</t>
  </si>
  <si>
    <t> 201408714-T</t>
  </si>
  <si>
    <t>27-15N-06W</t>
  </si>
  <si>
    <t> 201503991-T</t>
  </si>
  <si>
    <t> 201603836</t>
  </si>
  <si>
    <t> 201603837</t>
  </si>
  <si>
    <t> 201603838</t>
  </si>
  <si>
    <t> 201501503-T</t>
  </si>
  <si>
    <t>28-15N-06W</t>
  </si>
  <si>
    <t> 201503518-T</t>
  </si>
  <si>
    <t> 201503047-T</t>
  </si>
  <si>
    <t> 201409409-T</t>
  </si>
  <si>
    <t>30-15N-06W</t>
  </si>
  <si>
    <t> 201502820-T</t>
  </si>
  <si>
    <t> 201503519-T</t>
  </si>
  <si>
    <t> 201409017</t>
  </si>
  <si>
    <t>31-15N-06W</t>
  </si>
  <si>
    <t> 201409410-T</t>
  </si>
  <si>
    <t> 201501458-T</t>
  </si>
  <si>
    <t>32-15N-06W</t>
  </si>
  <si>
    <t> 201501504-T</t>
  </si>
  <si>
    <t>33-15N-06W</t>
  </si>
  <si>
    <t> 201600795-T</t>
  </si>
  <si>
    <t> 201408715-T</t>
  </si>
  <si>
    <t>34-15N-06W</t>
  </si>
  <si>
    <t> 201603809</t>
  </si>
  <si>
    <t> 201603810</t>
  </si>
  <si>
    <t> 201404816</t>
  </si>
  <si>
    <t> 201603687</t>
  </si>
  <si>
    <t> 201700824</t>
  </si>
  <si>
    <t> 201504766</t>
  </si>
  <si>
    <t>04-15N-05W</t>
  </si>
  <si>
    <t> 201602866</t>
  </si>
  <si>
    <t>07-15N-05W</t>
  </si>
  <si>
    <t> 201603939</t>
  </si>
  <si>
    <t> 201602020</t>
  </si>
  <si>
    <t> 201602051</t>
  </si>
  <si>
    <t>09-15N-05W</t>
  </si>
  <si>
    <t> 201600218</t>
  </si>
  <si>
    <t>14-15N-05W</t>
  </si>
  <si>
    <t> 201601871</t>
  </si>
  <si>
    <t>15-15N-05W</t>
  </si>
  <si>
    <t> 201601419</t>
  </si>
  <si>
    <t> 201602224</t>
  </si>
  <si>
    <t>17-15N-05W</t>
  </si>
  <si>
    <t>Sections Pooled Since 2012</t>
  </si>
  <si>
    <t>15N-05W</t>
  </si>
  <si>
    <t>15N-06W</t>
  </si>
  <si>
    <t>15N-07W</t>
  </si>
  <si>
    <t>15N-08W</t>
  </si>
  <si>
    <t>15N-09W</t>
  </si>
  <si>
    <t>16N-09W</t>
  </si>
  <si>
    <t>16N-08W</t>
  </si>
  <si>
    <t>16N-07W</t>
  </si>
  <si>
    <t>16N-06W</t>
  </si>
  <si>
    <t>16N-05W</t>
  </si>
  <si>
    <t>17N-05W</t>
  </si>
  <si>
    <t>17N-06W</t>
  </si>
  <si>
    <t>17N-07W</t>
  </si>
  <si>
    <t>17N-09W</t>
  </si>
  <si>
    <t>17N-08W</t>
  </si>
  <si>
    <t>18N-08W</t>
  </si>
  <si>
    <t>18N-07W</t>
  </si>
  <si>
    <t>18N-06W</t>
  </si>
  <si>
    <t>18N-05W</t>
  </si>
  <si>
    <t>19N-05W</t>
  </si>
  <si>
    <t>19N-06W</t>
  </si>
  <si>
    <t>19N-07W</t>
  </si>
  <si>
    <t>19N-08W</t>
  </si>
  <si>
    <t>19N-09W</t>
  </si>
  <si>
    <t>POOLED SECTIONS IN THE PAST 5 YEARS</t>
  </si>
  <si>
    <t>18N-09W</t>
  </si>
  <si>
    <t> 201503474</t>
  </si>
  <si>
    <t> CARRERA ENERGY LLC</t>
  </si>
  <si>
    <t>03-18N-12W</t>
  </si>
  <si>
    <t>Nunc Pro Tunc</t>
  </si>
  <si>
    <t> 201702895</t>
  </si>
  <si>
    <t> HIGHMARK RESOURCES LLC</t>
  </si>
  <si>
    <t>05-18N-12W</t>
  </si>
  <si>
    <t> 201503556</t>
  </si>
  <si>
    <t>10-18N-12W</t>
  </si>
  <si>
    <t> 201305418</t>
  </si>
  <si>
    <t>13-18N-12W</t>
  </si>
  <si>
    <t> 201305419</t>
  </si>
  <si>
    <t> 201605604</t>
  </si>
  <si>
    <t>16-18N-12W</t>
  </si>
  <si>
    <t> 201503559</t>
  </si>
  <si>
    <t>22-18N-12W</t>
  </si>
  <si>
    <t> 201605195</t>
  </si>
  <si>
    <t> 201700310</t>
  </si>
  <si>
    <t>25-18N-12W</t>
  </si>
  <si>
    <t> 201701739</t>
  </si>
  <si>
    <t> 201605197</t>
  </si>
  <si>
    <t>31-18N-12W</t>
  </si>
  <si>
    <t> 201703451</t>
  </si>
  <si>
    <t> 201605980</t>
  </si>
  <si>
    <t>33-18N-12W</t>
  </si>
  <si>
    <t> 201604650</t>
  </si>
  <si>
    <t>35-18N-12W</t>
  </si>
  <si>
    <t> 201605253-T</t>
  </si>
  <si>
    <t> COUNCIL OAK RESOURCES LLC</t>
  </si>
  <si>
    <t>07-17N-13W</t>
  </si>
  <si>
    <t> 201605450-T</t>
  </si>
  <si>
    <t> 201701674-T</t>
  </si>
  <si>
    <t> 201605254-T</t>
  </si>
  <si>
    <t>08-17N-13W</t>
  </si>
  <si>
    <t> 201604629-T</t>
  </si>
  <si>
    <t>10-17N-13W</t>
  </si>
  <si>
    <t> 201605252-T</t>
  </si>
  <si>
    <t>11-17N-13W</t>
  </si>
  <si>
    <t> 201700557-T</t>
  </si>
  <si>
    <t>13-17N-13W</t>
  </si>
  <si>
    <t> 201605255-T</t>
  </si>
  <si>
    <t>15-17N-13W</t>
  </si>
  <si>
    <t> 201605256-T</t>
  </si>
  <si>
    <t>17-17N-13W</t>
  </si>
  <si>
    <t> 201701991-T</t>
  </si>
  <si>
    <t> 201702024</t>
  </si>
  <si>
    <t>20-17N-13W</t>
  </si>
  <si>
    <t> 201605258-T</t>
  </si>
  <si>
    <t>23-17N-13W</t>
  </si>
  <si>
    <t> 201605779-T</t>
  </si>
  <si>
    <t>25-17N-13W</t>
  </si>
  <si>
    <t> 201604579-T</t>
  </si>
  <si>
    <t>27-17N-13W</t>
  </si>
  <si>
    <t> 201703183</t>
  </si>
  <si>
    <t>30-17N-13W</t>
  </si>
  <si>
    <t> 201602205-T</t>
  </si>
  <si>
    <t>04-17N-12W</t>
  </si>
  <si>
    <t> 201700497-T</t>
  </si>
  <si>
    <t>05-17N-12W</t>
  </si>
  <si>
    <t> 201605232</t>
  </si>
  <si>
    <t>06-17N-12W</t>
  </si>
  <si>
    <t> 201700604</t>
  </si>
  <si>
    <t>08-17N-12W</t>
  </si>
  <si>
    <t> 201701854-T</t>
  </si>
  <si>
    <t> 201700587-T</t>
  </si>
  <si>
    <t> TRIUMPH ENERGY PARTNERS</t>
  </si>
  <si>
    <t>09-17N-12W</t>
  </si>
  <si>
    <t> 201604816</t>
  </si>
  <si>
    <t>12-17N-12W</t>
  </si>
  <si>
    <t> 201604818</t>
  </si>
  <si>
    <t>13-17N-12W</t>
  </si>
  <si>
    <t> 201604649</t>
  </si>
  <si>
    <t>16-17N-12W</t>
  </si>
  <si>
    <t> 201605361</t>
  </si>
  <si>
    <t>20-17N-12W</t>
  </si>
  <si>
    <t> 201605257-T</t>
  </si>
  <si>
    <t>21-17N-12W</t>
  </si>
  <si>
    <t> 201606054</t>
  </si>
  <si>
    <t>23-17N-12W</t>
  </si>
  <si>
    <t> 201603420</t>
  </si>
  <si>
    <t>24-17N-12W</t>
  </si>
  <si>
    <t> 201700453</t>
  </si>
  <si>
    <t> 201701200-T</t>
  </si>
  <si>
    <t>26-17N-12W</t>
  </si>
  <si>
    <t> 201602855</t>
  </si>
  <si>
    <t>27-17N-12W</t>
  </si>
  <si>
    <t> 201702045</t>
  </si>
  <si>
    <t> 201602810</t>
  </si>
  <si>
    <t>28-17N-12W</t>
  </si>
  <si>
    <t> 201604999</t>
  </si>
  <si>
    <t>29-17N-12W</t>
  </si>
  <si>
    <t> 201701228</t>
  </si>
  <si>
    <t> 201605000</t>
  </si>
  <si>
    <t>32-17N-12W</t>
  </si>
  <si>
    <t> 201701227</t>
  </si>
  <si>
    <t> 201602853</t>
  </si>
  <si>
    <t>34-17N-12W</t>
  </si>
  <si>
    <t> 201701510</t>
  </si>
  <si>
    <t> 201702087</t>
  </si>
  <si>
    <t> 201701201-T</t>
  </si>
  <si>
    <t>35-17N-12W</t>
  </si>
  <si>
    <t> 201504717</t>
  </si>
  <si>
    <t>36-17N-12W</t>
  </si>
  <si>
    <t> 201604350</t>
  </si>
  <si>
    <t>17N-13W</t>
  </si>
  <si>
    <t> 201605358</t>
  </si>
  <si>
    <t>03-17N-11W</t>
  </si>
  <si>
    <t> 201605499</t>
  </si>
  <si>
    <t>07-17N-11W</t>
  </si>
  <si>
    <t> 201605048</t>
  </si>
  <si>
    <t>08-17N-11W</t>
  </si>
  <si>
    <t> 201701078</t>
  </si>
  <si>
    <t>11-17N-11W</t>
  </si>
  <si>
    <t> 201601518</t>
  </si>
  <si>
    <t>12-17N-11W</t>
  </si>
  <si>
    <t> 201702675</t>
  </si>
  <si>
    <t>14-17N-11W</t>
  </si>
  <si>
    <t> 201700343</t>
  </si>
  <si>
    <t>16-17N-11W</t>
  </si>
  <si>
    <t> 201700796-T</t>
  </si>
  <si>
    <t> 201605051</t>
  </si>
  <si>
    <t>17-17N-11W</t>
  </si>
  <si>
    <t> 201605056</t>
  </si>
  <si>
    <t>18-17N-11W</t>
  </si>
  <si>
    <t> 201702149</t>
  </si>
  <si>
    <t> 201605058</t>
  </si>
  <si>
    <t>19-17N-11W</t>
  </si>
  <si>
    <t> 201605268</t>
  </si>
  <si>
    <t>20-17N-11W</t>
  </si>
  <si>
    <t> 201700342</t>
  </si>
  <si>
    <t>21-17N-11W</t>
  </si>
  <si>
    <t> 201505470-T</t>
  </si>
  <si>
    <t>24-17N-11W</t>
  </si>
  <si>
    <t> 201603075</t>
  </si>
  <si>
    <t>25-17N-11W</t>
  </si>
  <si>
    <t> 201604784</t>
  </si>
  <si>
    <t> 201700964</t>
  </si>
  <si>
    <t> 201600603</t>
  </si>
  <si>
    <t>26-17N-11W</t>
  </si>
  <si>
    <t> 201505170</t>
  </si>
  <si>
    <t>28-17N-11W</t>
  </si>
  <si>
    <t> 201605270</t>
  </si>
  <si>
    <t>29-17N-11W</t>
  </si>
  <si>
    <t> 201605975</t>
  </si>
  <si>
    <t>30-17N-11W</t>
  </si>
  <si>
    <t> 201605977</t>
  </si>
  <si>
    <t>31-17N-11W</t>
  </si>
  <si>
    <t> 201603196-T</t>
  </si>
  <si>
    <t>32-17N-11W</t>
  </si>
  <si>
    <t> 201505172</t>
  </si>
  <si>
    <t>33-17N-11W</t>
  </si>
  <si>
    <t> 201602594</t>
  </si>
  <si>
    <t> 201703778</t>
  </si>
  <si>
    <t>34-17N-11W</t>
  </si>
  <si>
    <t> 201506260</t>
  </si>
  <si>
    <t>35-17N-11W</t>
  </si>
  <si>
    <t> 201600726</t>
  </si>
  <si>
    <t> 201604785</t>
  </si>
  <si>
    <t>36-17N-11W</t>
  </si>
  <si>
    <t> 201501173-T</t>
  </si>
  <si>
    <t>01-17N-10W</t>
  </si>
  <si>
    <t> 201502493</t>
  </si>
  <si>
    <t>02-17N-10W</t>
  </si>
  <si>
    <t> 201504139-T</t>
  </si>
  <si>
    <t> 201700521</t>
  </si>
  <si>
    <t> CHAPARRAL ENERGY LLC ETAL</t>
  </si>
  <si>
    <t> 201502014-T</t>
  </si>
  <si>
    <t>05-17N-10W</t>
  </si>
  <si>
    <t> 201502394</t>
  </si>
  <si>
    <t> 201502015-T</t>
  </si>
  <si>
    <t>08-17N-10W</t>
  </si>
  <si>
    <t> 201502395</t>
  </si>
  <si>
    <t> 201401846</t>
  </si>
  <si>
    <t> COMANCHE EXPLORATION CO</t>
  </si>
  <si>
    <t>09-17N-10W</t>
  </si>
  <si>
    <t> 201402090-T</t>
  </si>
  <si>
    <t> 201502492</t>
  </si>
  <si>
    <t>11-17N-10W</t>
  </si>
  <si>
    <t> 201701332</t>
  </si>
  <si>
    <t> 201501174-T</t>
  </si>
  <si>
    <t>12-17N-10W</t>
  </si>
  <si>
    <t> 201502328</t>
  </si>
  <si>
    <t>13-17N-10W</t>
  </si>
  <si>
    <t> 201701151-T</t>
  </si>
  <si>
    <t> 201701541</t>
  </si>
  <si>
    <t> 201500261</t>
  </si>
  <si>
    <t>14-17N-10W</t>
  </si>
  <si>
    <t> 201505739</t>
  </si>
  <si>
    <t>15-17N-10W</t>
  </si>
  <si>
    <t> 201401843</t>
  </si>
  <si>
    <t>16-17N-10W</t>
  </si>
  <si>
    <t> 201402091-T</t>
  </si>
  <si>
    <t> 201501630-T</t>
  </si>
  <si>
    <t>17-17N-10W</t>
  </si>
  <si>
    <t> 201502491-T</t>
  </si>
  <si>
    <t>18-17N-10W</t>
  </si>
  <si>
    <t> 201700963</t>
  </si>
  <si>
    <t>19-17N-10W</t>
  </si>
  <si>
    <t> 201501631-T</t>
  </si>
  <si>
    <t>20-17N-10W</t>
  </si>
  <si>
    <t> 201505738</t>
  </si>
  <si>
    <t>22-17N-10W</t>
  </si>
  <si>
    <t> 201500811</t>
  </si>
  <si>
    <t>23-17N-10W</t>
  </si>
  <si>
    <t> 201501932-T</t>
  </si>
  <si>
    <t> 201502327</t>
  </si>
  <si>
    <t>24-17N-10W</t>
  </si>
  <si>
    <t> 201600094</t>
  </si>
  <si>
    <t> 201600095</t>
  </si>
  <si>
    <t>25-17N-10W</t>
  </si>
  <si>
    <t> 201501936</t>
  </si>
  <si>
    <t>26-17N-10W</t>
  </si>
  <si>
    <t> 201505740</t>
  </si>
  <si>
    <t>27-17N-10W</t>
  </si>
  <si>
    <t> 201503901</t>
  </si>
  <si>
    <t>28-17N-10W</t>
  </si>
  <si>
    <t> 201504062</t>
  </si>
  <si>
    <t> 201504889</t>
  </si>
  <si>
    <t>30-17N-10W</t>
  </si>
  <si>
    <t> 201504888</t>
  </si>
  <si>
    <t>31-17N-10W</t>
  </si>
  <si>
    <t> 201504628-T</t>
  </si>
  <si>
    <t>32-17N-10W</t>
  </si>
  <si>
    <t> 201503900</t>
  </si>
  <si>
    <t>33-17N-10W</t>
  </si>
  <si>
    <t> 201604534</t>
  </si>
  <si>
    <t> 201600096</t>
  </si>
  <si>
    <t>36-17N-10W</t>
  </si>
  <si>
    <t> 201503961</t>
  </si>
  <si>
    <t>01-16N-10W</t>
  </si>
  <si>
    <t> 201504218</t>
  </si>
  <si>
    <t> CHESAPEAKE OPERATING LLC</t>
  </si>
  <si>
    <t>02-16N-10W</t>
  </si>
  <si>
    <t> 201501436</t>
  </si>
  <si>
    <t>03-16N-10W</t>
  </si>
  <si>
    <t> 201502101</t>
  </si>
  <si>
    <t> 201409161</t>
  </si>
  <si>
    <t>04-16N-10W</t>
  </si>
  <si>
    <t> 201500843</t>
  </si>
  <si>
    <t> 201502418</t>
  </si>
  <si>
    <t>05-16N-10W</t>
  </si>
  <si>
    <t> 201502603</t>
  </si>
  <si>
    <t>06-16N-10W</t>
  </si>
  <si>
    <t> 201502604</t>
  </si>
  <si>
    <t>07-16N-10W</t>
  </si>
  <si>
    <t> 201502417</t>
  </si>
  <si>
    <t>08-16N-10W</t>
  </si>
  <si>
    <t> 201409162</t>
  </si>
  <si>
    <t>09-16N-10W</t>
  </si>
  <si>
    <t> 201500842</t>
  </si>
  <si>
    <t> 201502102</t>
  </si>
  <si>
    <t>10-16N-10W</t>
  </si>
  <si>
    <t> 201504219</t>
  </si>
  <si>
    <t>11-16N-10W</t>
  </si>
  <si>
    <t> 201503962</t>
  </si>
  <si>
    <t>12-16N-10W</t>
  </si>
  <si>
    <t> 201502970</t>
  </si>
  <si>
    <t>13-16N-10W</t>
  </si>
  <si>
    <t> 201502950</t>
  </si>
  <si>
    <t>14-16N-10W</t>
  </si>
  <si>
    <t> 201501868</t>
  </si>
  <si>
    <t>15-16N-10W</t>
  </si>
  <si>
    <t> 201600372</t>
  </si>
  <si>
    <t>18-16N-10W</t>
  </si>
  <si>
    <t> 201502330</t>
  </si>
  <si>
    <t>19-16N-10W</t>
  </si>
  <si>
    <t> 201501867</t>
  </si>
  <si>
    <t>22-16N-10W</t>
  </si>
  <si>
    <t> 201502951</t>
  </si>
  <si>
    <t>23-16N-10W</t>
  </si>
  <si>
    <t> 201502952</t>
  </si>
  <si>
    <t>24-16N-10W</t>
  </si>
  <si>
    <t> 201502971</t>
  </si>
  <si>
    <t> 201603114</t>
  </si>
  <si>
    <t> 201502953</t>
  </si>
  <si>
    <t>25-16N-10W</t>
  </si>
  <si>
    <t> 201500878</t>
  </si>
  <si>
    <t>26-16N-10W</t>
  </si>
  <si>
    <t> 201500809</t>
  </si>
  <si>
    <t>30-16N-10W</t>
  </si>
  <si>
    <t> 201500808</t>
  </si>
  <si>
    <t>31-16N-10W</t>
  </si>
  <si>
    <t> 201600422</t>
  </si>
  <si>
    <t> 201503438-T</t>
  </si>
  <si>
    <t>32-16N-10W</t>
  </si>
  <si>
    <t> 201503787</t>
  </si>
  <si>
    <t>33-16N-10W</t>
  </si>
  <si>
    <t> 201605978</t>
  </si>
  <si>
    <t> 201700566</t>
  </si>
  <si>
    <t> 201500262</t>
  </si>
  <si>
    <t>35-16N-10W</t>
  </si>
  <si>
    <t> 201500877</t>
  </si>
  <si>
    <t> 201505922</t>
  </si>
  <si>
    <t>01-16N-11W</t>
  </si>
  <si>
    <t> 201600722</t>
  </si>
  <si>
    <t>02-16N-11W</t>
  </si>
  <si>
    <t> 201504947</t>
  </si>
  <si>
    <t>04-16N-11W</t>
  </si>
  <si>
    <t> 201601133</t>
  </si>
  <si>
    <t> 201605849</t>
  </si>
  <si>
    <t> 201603195-T</t>
  </si>
  <si>
    <t>05-16N-11W</t>
  </si>
  <si>
    <t> 201504718</t>
  </si>
  <si>
    <t>07-16N-11W</t>
  </si>
  <si>
    <t> 201600001</t>
  </si>
  <si>
    <t> 201600980</t>
  </si>
  <si>
    <t> 201605378-T</t>
  </si>
  <si>
    <t>08-16N-11W</t>
  </si>
  <si>
    <t> 201504948</t>
  </si>
  <si>
    <t>09-16N-11W</t>
  </si>
  <si>
    <t> 201600267</t>
  </si>
  <si>
    <t>10-16N-11W</t>
  </si>
  <si>
    <t> 201600724</t>
  </si>
  <si>
    <t>11-16N-11W</t>
  </si>
  <si>
    <t> 201603003</t>
  </si>
  <si>
    <t>12-16N-11W</t>
  </si>
  <si>
    <t> 201504225</t>
  </si>
  <si>
    <t>13-16N-11W</t>
  </si>
  <si>
    <t> 201605298</t>
  </si>
  <si>
    <t> 201605475</t>
  </si>
  <si>
    <t>14-16N-11W</t>
  </si>
  <si>
    <t> 201701558</t>
  </si>
  <si>
    <t> ECHO OPERATING LLC *</t>
  </si>
  <si>
    <t> 201700897</t>
  </si>
  <si>
    <t>16-16N-11W</t>
  </si>
  <si>
    <t> 201701043-T</t>
  </si>
  <si>
    <t> 201603062</t>
  </si>
  <si>
    <t>17-16N-11W</t>
  </si>
  <si>
    <t> 201701619-T</t>
  </si>
  <si>
    <t> 201504288</t>
  </si>
  <si>
    <t>18-16N-11W</t>
  </si>
  <si>
    <t> 201600981</t>
  </si>
  <si>
    <t> 201604187</t>
  </si>
  <si>
    <t>19-16N-11W</t>
  </si>
  <si>
    <t> 201701683</t>
  </si>
  <si>
    <t> 201603063</t>
  </si>
  <si>
    <t>20-16N-11W</t>
  </si>
  <si>
    <t> 201701044-T</t>
  </si>
  <si>
    <t>21-16N-11W</t>
  </si>
  <si>
    <t> 201701259</t>
  </si>
  <si>
    <t> 201702093-T</t>
  </si>
  <si>
    <t>22-16N-11W</t>
  </si>
  <si>
    <t> 201702743</t>
  </si>
  <si>
    <t>23-16N-11W</t>
  </si>
  <si>
    <t> 201701793</t>
  </si>
  <si>
    <t>24-16N-11W</t>
  </si>
  <si>
    <t> 201601304-T</t>
  </si>
  <si>
    <t> ATALAYA RESOURCES LLC</t>
  </si>
  <si>
    <t>25-16N-11W</t>
  </si>
  <si>
    <t> 201603143</t>
  </si>
  <si>
    <t> 201603720</t>
  </si>
  <si>
    <t> 201604076-T</t>
  </si>
  <si>
    <t> 201605310</t>
  </si>
  <si>
    <t>26-16N-11W</t>
  </si>
  <si>
    <t> 201702742</t>
  </si>
  <si>
    <t> 201703107</t>
  </si>
  <si>
    <t> 201605800</t>
  </si>
  <si>
    <t>27-16N-11W</t>
  </si>
  <si>
    <t> 201701261</t>
  </si>
  <si>
    <t>28-16N-11W</t>
  </si>
  <si>
    <t> 201600249</t>
  </si>
  <si>
    <t>30-16N-11W</t>
  </si>
  <si>
    <t> 201600250</t>
  </si>
  <si>
    <t>31-16N-11W</t>
  </si>
  <si>
    <t> 201603246</t>
  </si>
  <si>
    <t>32-16N-11W</t>
  </si>
  <si>
    <t> 201603822</t>
  </si>
  <si>
    <t>33-16N-11W</t>
  </si>
  <si>
    <t> 201604174</t>
  </si>
  <si>
    <t>34-16N-11W</t>
  </si>
  <si>
    <t> 201604077-T</t>
  </si>
  <si>
    <t>36-16N-11W</t>
  </si>
  <si>
    <t>Key:</t>
  </si>
  <si>
    <t> 201605881</t>
  </si>
  <si>
    <t>01-16N-12W</t>
  </si>
  <si>
    <t> 201605168-T</t>
  </si>
  <si>
    <t>02-16N-12W</t>
  </si>
  <si>
    <t> 201700345</t>
  </si>
  <si>
    <t>03-16N-12W</t>
  </si>
  <si>
    <t> 201701229</t>
  </si>
  <si>
    <t> 201504289</t>
  </si>
  <si>
    <t>04-16N-12W</t>
  </si>
  <si>
    <t> 201505549</t>
  </si>
  <si>
    <t>05-16N-12W</t>
  </si>
  <si>
    <t> 201605304-T</t>
  </si>
  <si>
    <t>07-16N-12W</t>
  </si>
  <si>
    <t> 201505548</t>
  </si>
  <si>
    <t>08-16N-12W</t>
  </si>
  <si>
    <t> 201503120</t>
  </si>
  <si>
    <t>09-16N-12W</t>
  </si>
  <si>
    <t> 201504486</t>
  </si>
  <si>
    <t>10-16N-12W</t>
  </si>
  <si>
    <t> 201700346</t>
  </si>
  <si>
    <t> 201505113</t>
  </si>
  <si>
    <t>11-16N-12W</t>
  </si>
  <si>
    <t> 201605169-T</t>
  </si>
  <si>
    <t> 201600682-T</t>
  </si>
  <si>
    <t>12-16N-12W</t>
  </si>
  <si>
    <t> 201600525</t>
  </si>
  <si>
    <t>13-16N-12W</t>
  </si>
  <si>
    <t> 201600683-T</t>
  </si>
  <si>
    <t> 201505112</t>
  </si>
  <si>
    <t>14-16N-12W</t>
  </si>
  <si>
    <t> 201603477-T</t>
  </si>
  <si>
    <t>15-16N-12W</t>
  </si>
  <si>
    <t> 201700962</t>
  </si>
  <si>
    <t>16-16N-12W</t>
  </si>
  <si>
    <t> 201603009-T</t>
  </si>
  <si>
    <t>17-16N-12W</t>
  </si>
  <si>
    <t> 201605305-T</t>
  </si>
  <si>
    <t>18-16N-12W</t>
  </si>
  <si>
    <t> 201407647-T</t>
  </si>
  <si>
    <t>19-16N-12W</t>
  </si>
  <si>
    <t> 201408059</t>
  </si>
  <si>
    <t> 201408838</t>
  </si>
  <si>
    <t> 201603010-T</t>
  </si>
  <si>
    <t>20-16N-12W</t>
  </si>
  <si>
    <t> 201506015-T</t>
  </si>
  <si>
    <t>21-16N-12W</t>
  </si>
  <si>
    <t> 201506080</t>
  </si>
  <si>
    <t> 201600455-T</t>
  </si>
  <si>
    <t> 201603476-T</t>
  </si>
  <si>
    <t>22-16N-12W</t>
  </si>
  <si>
    <t> 201702247-T</t>
  </si>
  <si>
    <t> 201600523</t>
  </si>
  <si>
    <t>24-16N-12W</t>
  </si>
  <si>
    <t> 201701429</t>
  </si>
  <si>
    <t> 201700709</t>
  </si>
  <si>
    <t>25-16N-12W</t>
  </si>
  <si>
    <t> 201700823</t>
  </si>
  <si>
    <t> 201703719</t>
  </si>
  <si>
    <t>27-16N-12W</t>
  </si>
  <si>
    <t> 201506017-T</t>
  </si>
  <si>
    <t>28-16N-12W</t>
  </si>
  <si>
    <t> 201506081</t>
  </si>
  <si>
    <t> 201505097-T</t>
  </si>
  <si>
    <t>30-16N-12W</t>
  </si>
  <si>
    <t> 201505489-T</t>
  </si>
  <si>
    <t>31-16N-12W</t>
  </si>
  <si>
    <t> 201407418-T</t>
  </si>
  <si>
    <t>32-16N-12W</t>
  </si>
  <si>
    <t> 201603335-T</t>
  </si>
  <si>
    <t> 201605854-T</t>
  </si>
  <si>
    <t> 201406916</t>
  </si>
  <si>
    <t> LATIGO OIL &amp; GAS</t>
  </si>
  <si>
    <t>33-16N-12W</t>
  </si>
  <si>
    <t> 201406967-T</t>
  </si>
  <si>
    <t> 201602031-T</t>
  </si>
  <si>
    <t> 201700602</t>
  </si>
  <si>
    <t>35-16N-12W</t>
  </si>
  <si>
    <t> 201700710</t>
  </si>
  <si>
    <t>36-16N-12W</t>
  </si>
  <si>
    <t> 201603142</t>
  </si>
  <si>
    <t>01-16N-13W</t>
  </si>
  <si>
    <t>03-16N-13W</t>
  </si>
  <si>
    <t> 201700487</t>
  </si>
  <si>
    <t> 201604334</t>
  </si>
  <si>
    <t>05-16N-13W</t>
  </si>
  <si>
    <t> 201605356</t>
  </si>
  <si>
    <t>07-16N-13W</t>
  </si>
  <si>
    <t> 201604332</t>
  </si>
  <si>
    <t>08-16N-13W</t>
  </si>
  <si>
    <t> 201700311</t>
  </si>
  <si>
    <t>10-16N-13W</t>
  </si>
  <si>
    <t>13-16N-13W</t>
  </si>
  <si>
    <t> 201603027</t>
  </si>
  <si>
    <t> 201605615</t>
  </si>
  <si>
    <t>15-16N-13W</t>
  </si>
  <si>
    <t> 201605442</t>
  </si>
  <si>
    <t>16-16N-13W</t>
  </si>
  <si>
    <t> 201702458-T</t>
  </si>
  <si>
    <t> NEWFIELD EXPL MID CONRINT</t>
  </si>
  <si>
    <t>17-16N-13W</t>
  </si>
  <si>
    <t> 201604769</t>
  </si>
  <si>
    <t>18-16N-13W</t>
  </si>
  <si>
    <t> 201602297</t>
  </si>
  <si>
    <t>19-16N-13W</t>
  </si>
  <si>
    <t>20-16N-13W</t>
  </si>
  <si>
    <t> 201702457-T</t>
  </si>
  <si>
    <t> 201605444</t>
  </si>
  <si>
    <t>21-16N-13W</t>
  </si>
  <si>
    <t> 201605042</t>
  </si>
  <si>
    <t>22-16N-13W</t>
  </si>
  <si>
    <t> 201606221-T</t>
  </si>
  <si>
    <t>23-16N-13W</t>
  </si>
  <si>
    <t> 201606222-T</t>
  </si>
  <si>
    <t>26-16N-13W</t>
  </si>
  <si>
    <t> 201605743</t>
  </si>
  <si>
    <t>28-16N-13W</t>
  </si>
  <si>
    <t>29-16N-13W</t>
  </si>
  <si>
    <t> 201701822-T</t>
  </si>
  <si>
    <t> 201602299</t>
  </si>
  <si>
    <t>30-16N-13W</t>
  </si>
  <si>
    <t>32-16N-13W</t>
  </si>
  <si>
    <t> 201702492-T</t>
  </si>
  <si>
    <t> 201701482-T</t>
  </si>
  <si>
    <t>34-16N-13W</t>
  </si>
  <si>
    <t> 201700988-T</t>
  </si>
  <si>
    <t>35-16N-13W</t>
  </si>
  <si>
    <t> 201604795-T</t>
  </si>
  <si>
    <t>01-15N-13W</t>
  </si>
  <si>
    <t> 201602961</t>
  </si>
  <si>
    <t>02-15N-13W</t>
  </si>
  <si>
    <t> 201605889-T</t>
  </si>
  <si>
    <t> 201602692</t>
  </si>
  <si>
    <t>03-15N-13W</t>
  </si>
  <si>
    <t> 201605478</t>
  </si>
  <si>
    <t>04-15N-13W</t>
  </si>
  <si>
    <t> 201602303</t>
  </si>
  <si>
    <t>06-15N-13W</t>
  </si>
  <si>
    <t> 201602305</t>
  </si>
  <si>
    <t>07-15N-13W</t>
  </si>
  <si>
    <t> 201605765-T</t>
  </si>
  <si>
    <t> 201604824</t>
  </si>
  <si>
    <t>09-15N-13W</t>
  </si>
  <si>
    <t> 201602959</t>
  </si>
  <si>
    <t>11-15N-13W</t>
  </si>
  <si>
    <t> 201605890-T</t>
  </si>
  <si>
    <t> 201601665</t>
  </si>
  <si>
    <t>13-15N-13W</t>
  </si>
  <si>
    <t> 201503691</t>
  </si>
  <si>
    <t>14-15N-13W</t>
  </si>
  <si>
    <t> 201602406</t>
  </si>
  <si>
    <t>15-15N-13W</t>
  </si>
  <si>
    <t> 201703105-T</t>
  </si>
  <si>
    <t> 201601631</t>
  </si>
  <si>
    <t>17-15N-13W</t>
  </si>
  <si>
    <t> 201600513</t>
  </si>
  <si>
    <t>20-15N-13W</t>
  </si>
  <si>
    <t> 201601276</t>
  </si>
  <si>
    <t>21-15N-13W</t>
  </si>
  <si>
    <t> 201602408</t>
  </si>
  <si>
    <t>22-15N-13W</t>
  </si>
  <si>
    <t> 201605940-T</t>
  </si>
  <si>
    <t> 201503692</t>
  </si>
  <si>
    <t>23-15N-13W</t>
  </si>
  <si>
    <t> 201601664</t>
  </si>
  <si>
    <t>24-15N-13W</t>
  </si>
  <si>
    <t> 201601194</t>
  </si>
  <si>
    <t>25-15N-13W</t>
  </si>
  <si>
    <t> 201700729</t>
  </si>
  <si>
    <t>26-15N-13W</t>
  </si>
  <si>
    <t> 201602236</t>
  </si>
  <si>
    <t>27-15N-13W</t>
  </si>
  <si>
    <t> 201605941-T</t>
  </si>
  <si>
    <t> 201601278</t>
  </si>
  <si>
    <t>28-15N-13W</t>
  </si>
  <si>
    <t> 201702262</t>
  </si>
  <si>
    <t>30-15N-13W</t>
  </si>
  <si>
    <t> 201602355</t>
  </si>
  <si>
    <t>31-15N-13W</t>
  </si>
  <si>
    <t> 201701195</t>
  </si>
  <si>
    <t> 201703390-T</t>
  </si>
  <si>
    <t>32-15N-13W</t>
  </si>
  <si>
    <t> 201605857-T</t>
  </si>
  <si>
    <t>33-15N-13W</t>
  </si>
  <si>
    <t> 201602238</t>
  </si>
  <si>
    <t>34-15N-13W</t>
  </si>
  <si>
    <t> 201601196</t>
  </si>
  <si>
    <t>36-15N-13W</t>
  </si>
  <si>
    <t> 201602080-T</t>
  </si>
  <si>
    <t>02-15N-12W</t>
  </si>
  <si>
    <t> 201602030-T</t>
  </si>
  <si>
    <t>04-15N-12W</t>
  </si>
  <si>
    <t> 201700140</t>
  </si>
  <si>
    <t>05-15N-12W</t>
  </si>
  <si>
    <t> 201606016</t>
  </si>
  <si>
    <t>06-15N-12W</t>
  </si>
  <si>
    <t> 201701017-T</t>
  </si>
  <si>
    <t>08-15N-12W</t>
  </si>
  <si>
    <t>11-15N-12W</t>
  </si>
  <si>
    <t> 201605641</t>
  </si>
  <si>
    <t> 201701526</t>
  </si>
  <si>
    <t> DEVON ENERGY PRODUCITON</t>
  </si>
  <si>
    <t>25-15N-12W</t>
  </si>
  <si>
    <t>26-15N-12W</t>
  </si>
  <si>
    <t> 201502881-T</t>
  </si>
  <si>
    <t> 201700582-T</t>
  </si>
  <si>
    <t>30-15N-12W</t>
  </si>
  <si>
    <t> 201701029</t>
  </si>
  <si>
    <t>32-15N-12W</t>
  </si>
  <si>
    <t> 201502524-T</t>
  </si>
  <si>
    <t>35-15N-12W</t>
  </si>
  <si>
    <t> 201701525</t>
  </si>
  <si>
    <t>36-15N-12W</t>
  </si>
  <si>
    <t> 201606015</t>
  </si>
  <si>
    <t>01-15N-11W</t>
  </si>
  <si>
    <t> 201602550-T</t>
  </si>
  <si>
    <t> KAISER FRANCIS OIL CO</t>
  </si>
  <si>
    <t>03-15N-11W</t>
  </si>
  <si>
    <t> 201604171</t>
  </si>
  <si>
    <t> 201600870</t>
  </si>
  <si>
    <t>04-15N-11W</t>
  </si>
  <si>
    <t> 201701795</t>
  </si>
  <si>
    <t>06-15N-11W</t>
  </si>
  <si>
    <t> 201701796</t>
  </si>
  <si>
    <t>07-15N-11W</t>
  </si>
  <si>
    <t> 201700092</t>
  </si>
  <si>
    <t>08-15N-11W</t>
  </si>
  <si>
    <t> 201604298</t>
  </si>
  <si>
    <t>09-15N-11W</t>
  </si>
  <si>
    <t> 201604587</t>
  </si>
  <si>
    <t>10-15N-11W</t>
  </si>
  <si>
    <t> 201601403-T</t>
  </si>
  <si>
    <t>11-15N-11W</t>
  </si>
  <si>
    <t> 201500712</t>
  </si>
  <si>
    <t>12-15N-11W</t>
  </si>
  <si>
    <t> 201502086</t>
  </si>
  <si>
    <t> 201700979</t>
  </si>
  <si>
    <t>14-15N-11W</t>
  </si>
  <si>
    <t> 201604584</t>
  </si>
  <si>
    <t>15-15N-11W</t>
  </si>
  <si>
    <t> 201604299</t>
  </si>
  <si>
    <t>16-15N-11W</t>
  </si>
  <si>
    <t> 201600227-T</t>
  </si>
  <si>
    <t>18-15N-11W</t>
  </si>
  <si>
    <t> 201600228-T</t>
  </si>
  <si>
    <t>19-15N-11W</t>
  </si>
  <si>
    <t> 201605130-T</t>
  </si>
  <si>
    <t>20-15N-11W</t>
  </si>
  <si>
    <t> 201605863</t>
  </si>
  <si>
    <t>21-15N-11W</t>
  </si>
  <si>
    <t> 201505939-T</t>
  </si>
  <si>
    <t>23-15N-11W</t>
  </si>
  <si>
    <t> 201506078</t>
  </si>
  <si>
    <t> 201600759</t>
  </si>
  <si>
    <t>24-15N-11W</t>
  </si>
  <si>
    <t> 201603236</t>
  </si>
  <si>
    <t> 201603237</t>
  </si>
  <si>
    <t>25-15N-11W</t>
  </si>
  <si>
    <t> 201506079</t>
  </si>
  <si>
    <t>26-15N-11W</t>
  </si>
  <si>
    <t> 201602850</t>
  </si>
  <si>
    <t>28-15N-11W</t>
  </si>
  <si>
    <t> 201600785</t>
  </si>
  <si>
    <t>30-15N-11W</t>
  </si>
  <si>
    <t> 201602161</t>
  </si>
  <si>
    <t> 201602162</t>
  </si>
  <si>
    <t> 201602158</t>
  </si>
  <si>
    <t>31-15N-11W</t>
  </si>
  <si>
    <t> 201602907</t>
  </si>
  <si>
    <t>32-15N-11W</t>
  </si>
  <si>
    <t> 201700019</t>
  </si>
  <si>
    <t>33-15N-11W</t>
  </si>
  <si>
    <t> 201700562-T</t>
  </si>
  <si>
    <t> 201605078</t>
  </si>
  <si>
    <t>34-15N-11W</t>
  </si>
  <si>
    <t> 201701573</t>
  </si>
  <si>
    <t> 201207510</t>
  </si>
  <si>
    <t>35-15N-11W</t>
  </si>
  <si>
    <t> 201502033</t>
  </si>
  <si>
    <t>03-15N-10W</t>
  </si>
  <si>
    <t> 201604192</t>
  </si>
  <si>
    <t>04-15N-10W</t>
  </si>
  <si>
    <t> 201604832</t>
  </si>
  <si>
    <t>05-15N-10W</t>
  </si>
  <si>
    <t> 201602451-T</t>
  </si>
  <si>
    <t>07-15N-10W</t>
  </si>
  <si>
    <t> 201605399</t>
  </si>
  <si>
    <t> 201503337</t>
  </si>
  <si>
    <t>08-15N-10W</t>
  </si>
  <si>
    <t> 201604445</t>
  </si>
  <si>
    <t> 201503986</t>
  </si>
  <si>
    <t>09-15N-10W</t>
  </si>
  <si>
    <t> 201604191</t>
  </si>
  <si>
    <t> 201406488</t>
  </si>
  <si>
    <t>11-15N-10W</t>
  </si>
  <si>
    <t> 201500263</t>
  </si>
  <si>
    <t>12-15N-10W</t>
  </si>
  <si>
    <t> 201504857</t>
  </si>
  <si>
    <t>13-15N-10W</t>
  </si>
  <si>
    <t> 201605639</t>
  </si>
  <si>
    <t> 201700076</t>
  </si>
  <si>
    <t> 201501826</t>
  </si>
  <si>
    <t>15-15N-10W</t>
  </si>
  <si>
    <t> 201502504</t>
  </si>
  <si>
    <t> 201503985</t>
  </si>
  <si>
    <t>16-15N-10W</t>
  </si>
  <si>
    <t> 201604618</t>
  </si>
  <si>
    <t> 201602259</t>
  </si>
  <si>
    <t>18-15N-10W</t>
  </si>
  <si>
    <t> 201602452-T</t>
  </si>
  <si>
    <t> 201504588-T</t>
  </si>
  <si>
    <t>21-15N-10W</t>
  </si>
  <si>
    <t> 201502594</t>
  </si>
  <si>
    <t>22-15N-10W</t>
  </si>
  <si>
    <t> 201504242-T</t>
  </si>
  <si>
    <t> 201204544</t>
  </si>
  <si>
    <t>24-15N-10W</t>
  </si>
  <si>
    <t> 201503228-T</t>
  </si>
  <si>
    <t>27-15N-10W</t>
  </si>
  <si>
    <t> 201502506</t>
  </si>
  <si>
    <t>30-15N-10W</t>
  </si>
  <si>
    <t> 201701119</t>
  </si>
  <si>
    <t>32-15N-10W</t>
  </si>
  <si>
    <t> 201501587-T</t>
  </si>
  <si>
    <t>33-15N-10W</t>
  </si>
  <si>
    <t> 201503229-T</t>
  </si>
  <si>
    <t>34-15N-10W</t>
  </si>
  <si>
    <t> 201602466</t>
  </si>
  <si>
    <t>01-13N-13W</t>
  </si>
  <si>
    <t> 201602472</t>
  </si>
  <si>
    <t>02-13N-13W</t>
  </si>
  <si>
    <t> 201602291</t>
  </si>
  <si>
    <t>03-13N-13W</t>
  </si>
  <si>
    <t> 201500940</t>
  </si>
  <si>
    <t>04-13N-13W</t>
  </si>
  <si>
    <t> 201407407</t>
  </si>
  <si>
    <t>05-13N-13W</t>
  </si>
  <si>
    <t> 201408248</t>
  </si>
  <si>
    <t>06-13N-13W</t>
  </si>
  <si>
    <t> 201408249</t>
  </si>
  <si>
    <t>07-13N-13W</t>
  </si>
  <si>
    <t> 201407408</t>
  </si>
  <si>
    <t>08-13N-13W</t>
  </si>
  <si>
    <t> 201500941</t>
  </si>
  <si>
    <t>09-13N-13W</t>
  </si>
  <si>
    <t> 201602468</t>
  </si>
  <si>
    <t>11-13N-13W</t>
  </si>
  <si>
    <t> 201602836</t>
  </si>
  <si>
    <t>12-13N-13W</t>
  </si>
  <si>
    <t> 201602838</t>
  </si>
  <si>
    <t>13-13N-13W</t>
  </si>
  <si>
    <t> 201602264</t>
  </si>
  <si>
    <t>14-13N-13W</t>
  </si>
  <si>
    <t> 201601534</t>
  </si>
  <si>
    <t>18-13N-13W</t>
  </si>
  <si>
    <t> 201500943</t>
  </si>
  <si>
    <t>19-13N-13W</t>
  </si>
  <si>
    <t> 201502699</t>
  </si>
  <si>
    <t>20-13N-13W</t>
  </si>
  <si>
    <t> 201501409</t>
  </si>
  <si>
    <t>21-13N-13W</t>
  </si>
  <si>
    <t> 201602263</t>
  </si>
  <si>
    <t>23-13N-13W</t>
  </si>
  <si>
    <t> 201603255</t>
  </si>
  <si>
    <t>24-13N-13W</t>
  </si>
  <si>
    <t> 201601500</t>
  </si>
  <si>
    <t>27-13N-13W</t>
  </si>
  <si>
    <t> 201502697</t>
  </si>
  <si>
    <t>29-13N-13W</t>
  </si>
  <si>
    <t> 201500942</t>
  </si>
  <si>
    <t>30-13N-13W</t>
  </si>
  <si>
    <t> 201601532</t>
  </si>
  <si>
    <t>33-13N-13W</t>
  </si>
  <si>
    <t> 201601499</t>
  </si>
  <si>
    <t>34-13N-13W</t>
  </si>
  <si>
    <t> 201601471</t>
  </si>
  <si>
    <t>36-13N-13W</t>
  </si>
  <si>
    <t> 201602244</t>
  </si>
  <si>
    <t>01-14N-13W</t>
  </si>
  <si>
    <t> 201603738</t>
  </si>
  <si>
    <t>02-14N-13W</t>
  </si>
  <si>
    <t> 201606201-T</t>
  </si>
  <si>
    <t> 201602240</t>
  </si>
  <si>
    <t>03-14N-13W</t>
  </si>
  <si>
    <t> 201700690-T</t>
  </si>
  <si>
    <t> 201600397</t>
  </si>
  <si>
    <t>04-14N-13W</t>
  </si>
  <si>
    <t> 201602356</t>
  </si>
  <si>
    <t>06-14N-13W</t>
  </si>
  <si>
    <t> 201602385</t>
  </si>
  <si>
    <t>07-14N-13W</t>
  </si>
  <si>
    <t> 201602260</t>
  </si>
  <si>
    <t>08-14N-13W</t>
  </si>
  <si>
    <t> 201700691-T</t>
  </si>
  <si>
    <t>10-14N-13W</t>
  </si>
  <si>
    <t> 201701506</t>
  </si>
  <si>
    <t>11-14N-13W</t>
  </si>
  <si>
    <t> 201602242</t>
  </si>
  <si>
    <t>12-14N-13W</t>
  </si>
  <si>
    <t> 201602268</t>
  </si>
  <si>
    <t>13-14N-13W</t>
  </si>
  <si>
    <t> 201602226-T</t>
  </si>
  <si>
    <t>14-14N-13W</t>
  </si>
  <si>
    <t> 201602470</t>
  </si>
  <si>
    <t>16-14N-13W</t>
  </si>
  <si>
    <t> 201602261</t>
  </si>
  <si>
    <t>17-14N-13W</t>
  </si>
  <si>
    <t> 201602383</t>
  </si>
  <si>
    <t>18-14N-13W</t>
  </si>
  <si>
    <t> 201601329</t>
  </si>
  <si>
    <t>19-14N-13W</t>
  </si>
  <si>
    <t> 201604613-T</t>
  </si>
  <si>
    <t> 201605021</t>
  </si>
  <si>
    <t> UNIT PETROLEUM COMPANY</t>
  </si>
  <si>
    <t> 201606047</t>
  </si>
  <si>
    <t> 201505941</t>
  </si>
  <si>
    <t>20-14N-13W</t>
  </si>
  <si>
    <t> 201700567</t>
  </si>
  <si>
    <t> 201601799</t>
  </si>
  <si>
    <t>21-14N-13W</t>
  </si>
  <si>
    <t> 201602258</t>
  </si>
  <si>
    <t>22-14N-13W</t>
  </si>
  <si>
    <t> 201602228-T</t>
  </si>
  <si>
    <t>23-14N-13W</t>
  </si>
  <si>
    <t> 201602269</t>
  </si>
  <si>
    <t>24-14N-13W</t>
  </si>
  <si>
    <t> 201602230-T</t>
  </si>
  <si>
    <t>26-14N-13W</t>
  </si>
  <si>
    <t> 201602256</t>
  </si>
  <si>
    <t>27-14N-13W</t>
  </si>
  <si>
    <t> 201601798</t>
  </si>
  <si>
    <t>28-14N-13W</t>
  </si>
  <si>
    <t> 201505940</t>
  </si>
  <si>
    <t>29-14N-13W</t>
  </si>
  <si>
    <t> 201601330</t>
  </si>
  <si>
    <t>30-14N-13W</t>
  </si>
  <si>
    <t> 201602014</t>
  </si>
  <si>
    <t> EXCALIBUR RESOURCES LLC</t>
  </si>
  <si>
    <t> 201604262</t>
  </si>
  <si>
    <t> 201604614-T</t>
  </si>
  <si>
    <t> 201606048</t>
  </si>
  <si>
    <t> 201600408</t>
  </si>
  <si>
    <t>32-14N-13W</t>
  </si>
  <si>
    <t> 201602290</t>
  </si>
  <si>
    <t>34-14N-13W</t>
  </si>
  <si>
    <t> 201603613</t>
  </si>
  <si>
    <t>35-14N-13W</t>
  </si>
  <si>
    <t> 201602464</t>
  </si>
  <si>
    <t>36-14N-13W</t>
  </si>
  <si>
    <t>Order</t>
  </si>
  <si>
    <t>Pooler ID Name</t>
  </si>
  <si>
    <t> 201505084</t>
  </si>
  <si>
    <t>02-14N-12W</t>
  </si>
  <si>
    <t> 201602601</t>
  </si>
  <si>
    <t>06-14N-12W</t>
  </si>
  <si>
    <t> 201603287</t>
  </si>
  <si>
    <t> 201602600</t>
  </si>
  <si>
    <t>07-14N-12W</t>
  </si>
  <si>
    <t> 201603288</t>
  </si>
  <si>
    <t> 201600792</t>
  </si>
  <si>
    <t>08-14N-12W</t>
  </si>
  <si>
    <t> 201702164</t>
  </si>
  <si>
    <t>13-14N-12W</t>
  </si>
  <si>
    <t> 201503912</t>
  </si>
  <si>
    <t>15-14N-12W</t>
  </si>
  <si>
    <t> 201600616</t>
  </si>
  <si>
    <t> 201602802-T</t>
  </si>
  <si>
    <t>17-14N-12W</t>
  </si>
  <si>
    <t> 201602274</t>
  </si>
  <si>
    <t>19-14N-12W</t>
  </si>
  <si>
    <t> 201604198</t>
  </si>
  <si>
    <t> 201703540</t>
  </si>
  <si>
    <t> 201602803-T</t>
  </si>
  <si>
    <t>20-14N-12W</t>
  </si>
  <si>
    <t> 201701563</t>
  </si>
  <si>
    <t> DORCHESTER RESOURCES LP</t>
  </si>
  <si>
    <t>21-14N-12W</t>
  </si>
  <si>
    <t> 201600275</t>
  </si>
  <si>
    <t>22-14N-12W</t>
  </si>
  <si>
    <t> 201602033</t>
  </si>
  <si>
    <t>27-14N-12W</t>
  </si>
  <si>
    <t> 201604052</t>
  </si>
  <si>
    <t> 201701561</t>
  </si>
  <si>
    <t>28-14N-12W</t>
  </si>
  <si>
    <t> 201602275</t>
  </si>
  <si>
    <t>30-14N-12W</t>
  </si>
  <si>
    <t> 201604199</t>
  </si>
  <si>
    <t> 201702235</t>
  </si>
  <si>
    <t> 201602938</t>
  </si>
  <si>
    <t>31-14N-12W</t>
  </si>
  <si>
    <t> 201602650</t>
  </si>
  <si>
    <t>33-14N-12W</t>
  </si>
  <si>
    <t> 201601372</t>
  </si>
  <si>
    <t>34-14N-12W</t>
  </si>
  <si>
    <t> 201601701</t>
  </si>
  <si>
    <t> 201505643</t>
  </si>
  <si>
    <t>35-14N-12W</t>
  </si>
  <si>
    <t> 201406914-T</t>
  </si>
  <si>
    <t>01-14N-10W</t>
  </si>
  <si>
    <t> 201404991-T</t>
  </si>
  <si>
    <t>04-14N-10W</t>
  </si>
  <si>
    <t> 201208259-T</t>
  </si>
  <si>
    <t> QEP ENERGY COMPANY</t>
  </si>
  <si>
    <t>05-14N-10W</t>
  </si>
  <si>
    <t> 201604888</t>
  </si>
  <si>
    <t> 201702021</t>
  </si>
  <si>
    <t>07-14N-10W</t>
  </si>
  <si>
    <t> 201703203-T</t>
  </si>
  <si>
    <t> 201500778-T</t>
  </si>
  <si>
    <t>14-14N-10W</t>
  </si>
  <si>
    <t> 201606069</t>
  </si>
  <si>
    <t> 201702955</t>
  </si>
  <si>
    <t> 201600118-T</t>
  </si>
  <si>
    <t>17-14N-10W</t>
  </si>
  <si>
    <t> 201600116-T</t>
  </si>
  <si>
    <t>20-14N-10W</t>
  </si>
  <si>
    <t> 201600117-T</t>
  </si>
  <si>
    <t> 201500575</t>
  </si>
  <si>
    <t>05-14N-09W</t>
  </si>
  <si>
    <t> 201503984</t>
  </si>
  <si>
    <t>06-14N-09W</t>
  </si>
  <si>
    <t> 201505226</t>
  </si>
  <si>
    <t> 201601059-T</t>
  </si>
  <si>
    <t> 201500576</t>
  </si>
  <si>
    <t>08-14N-09W</t>
  </si>
  <si>
    <t> 201701708</t>
  </si>
  <si>
    <t>09-14N-09W</t>
  </si>
  <si>
    <t> 201605098</t>
  </si>
  <si>
    <t>10-14N-09W</t>
  </si>
  <si>
    <t> 201204016</t>
  </si>
  <si>
    <t>13-14N-09W</t>
  </si>
  <si>
    <t> 201204164</t>
  </si>
  <si>
    <t> 201605099</t>
  </si>
  <si>
    <t>15-14N-09W</t>
  </si>
  <si>
    <t> 201603743</t>
  </si>
  <si>
    <t>16-14N-09W</t>
  </si>
  <si>
    <t> 201605396</t>
  </si>
  <si>
    <t> 201500438-T</t>
  </si>
  <si>
    <t>17-14N-09W</t>
  </si>
  <si>
    <t> 201601737-T</t>
  </si>
  <si>
    <t> 201404944-T</t>
  </si>
  <si>
    <t>21-14N-09W</t>
  </si>
  <si>
    <t> 201205754</t>
  </si>
  <si>
    <t>22-14N-09W</t>
  </si>
  <si>
    <t> 201401588-T</t>
  </si>
  <si>
    <t> 201408063-T</t>
  </si>
  <si>
    <t>25-14N-09W</t>
  </si>
  <si>
    <t> 201603898</t>
  </si>
  <si>
    <t>02-14N-08W</t>
  </si>
  <si>
    <t> 201700456</t>
  </si>
  <si>
    <t> 201702277</t>
  </si>
  <si>
    <t> 201402900-T</t>
  </si>
  <si>
    <t>03-14N-08W</t>
  </si>
  <si>
    <t> 201602892</t>
  </si>
  <si>
    <t> 201403033-T</t>
  </si>
  <si>
    <t>04-14N-08W</t>
  </si>
  <si>
    <t> 201504352-T</t>
  </si>
  <si>
    <t> 201600697</t>
  </si>
  <si>
    <t> 201402250</t>
  </si>
  <si>
    <t>08-14N-08W</t>
  </si>
  <si>
    <t> 201405380-T</t>
  </si>
  <si>
    <t> 201504353-T</t>
  </si>
  <si>
    <t>09-14N-08W</t>
  </si>
  <si>
    <t> 201600698</t>
  </si>
  <si>
    <t> 201600339</t>
  </si>
  <si>
    <t>12-14N-08W</t>
  </si>
  <si>
    <t> 201406426</t>
  </si>
  <si>
    <t>13-14N-08W</t>
  </si>
  <si>
    <t> 201604443</t>
  </si>
  <si>
    <t>14-14N-08W</t>
  </si>
  <si>
    <t> 201701018</t>
  </si>
  <si>
    <t> 201404277</t>
  </si>
  <si>
    <t>15-14N-08W</t>
  </si>
  <si>
    <t> 201504357-T</t>
  </si>
  <si>
    <t>16-14N-08W</t>
  </si>
  <si>
    <t> 201504658</t>
  </si>
  <si>
    <t> 201407179</t>
  </si>
  <si>
    <t>17-14N-08W</t>
  </si>
  <si>
    <t> 201500567</t>
  </si>
  <si>
    <t>20-14N-08W</t>
  </si>
  <si>
    <t> 201504358-T</t>
  </si>
  <si>
    <t>21-14N-08W</t>
  </si>
  <si>
    <t> 201600478</t>
  </si>
  <si>
    <t> 201404276</t>
  </si>
  <si>
    <t>22-14N-08W</t>
  </si>
  <si>
    <t> 201409437</t>
  </si>
  <si>
    <t> 201604442</t>
  </si>
  <si>
    <t>23-14N-08W</t>
  </si>
  <si>
    <t> 201406427</t>
  </si>
  <si>
    <t>24-14N-08W</t>
  </si>
  <si>
    <t> 201407934</t>
  </si>
  <si>
    <t>25-14N-08W</t>
  </si>
  <si>
    <t> 201605882</t>
  </si>
  <si>
    <t> 201701797</t>
  </si>
  <si>
    <t> 201702228</t>
  </si>
  <si>
    <t> 201604337</t>
  </si>
  <si>
    <t>26-14N-08W</t>
  </si>
  <si>
    <t> 201503363</t>
  </si>
  <si>
    <t>29-14N-08W</t>
  </si>
  <si>
    <t> 201207286</t>
  </si>
  <si>
    <t>32-14N-08W</t>
  </si>
  <si>
    <t> 201404045</t>
  </si>
  <si>
    <t>35-14N-08W</t>
  </si>
  <si>
    <t> 201604619</t>
  </si>
  <si>
    <t> 201407935</t>
  </si>
  <si>
    <t>36-14N-08W</t>
  </si>
  <si>
    <t>Kingfisher Pooled Sections:</t>
  </si>
  <si>
    <t>Unpooled Sections:</t>
  </si>
  <si>
    <t>Blaine Pooled Sections:</t>
  </si>
  <si>
    <t>Calculation:</t>
  </si>
  <si>
    <t>C</t>
  </si>
  <si>
    <t> 201206065-T</t>
  </si>
  <si>
    <t>02-14N-07W</t>
  </si>
  <si>
    <t> 201500713</t>
  </si>
  <si>
    <t>05-14N-07W</t>
  </si>
  <si>
    <t> 201503501</t>
  </si>
  <si>
    <t> 201700042-T</t>
  </si>
  <si>
    <t>06-14N-07W</t>
  </si>
  <si>
    <t> 201603893</t>
  </si>
  <si>
    <t>08-14N-07W</t>
  </si>
  <si>
    <t> 201408130-T</t>
  </si>
  <si>
    <t>09-14N-07W</t>
  </si>
  <si>
    <t> 201206918-T</t>
  </si>
  <si>
    <t>10-14N-07W</t>
  </si>
  <si>
    <t> 201206066-T</t>
  </si>
  <si>
    <t>11-14N-07W</t>
  </si>
  <si>
    <t> 201208462-T</t>
  </si>
  <si>
    <t>12-14N-07W</t>
  </si>
  <si>
    <t> 201208461-T</t>
  </si>
  <si>
    <t>13-14N-07W</t>
  </si>
  <si>
    <t> 201307989-T</t>
  </si>
  <si>
    <t>15-14N-07W</t>
  </si>
  <si>
    <t> 201408131-T</t>
  </si>
  <si>
    <t>16-14N-07W</t>
  </si>
  <si>
    <t> 201404464</t>
  </si>
  <si>
    <t>17-14N-07W</t>
  </si>
  <si>
    <t> 201403326-T</t>
  </si>
  <si>
    <t>18-14N-07W</t>
  </si>
  <si>
    <t> 201404217-T</t>
  </si>
  <si>
    <t> 201502018-T</t>
  </si>
  <si>
    <t> 201403327-T</t>
  </si>
  <si>
    <t>19-14N-07W</t>
  </si>
  <si>
    <t> 201404218-T</t>
  </si>
  <si>
    <t> 201408307</t>
  </si>
  <si>
    <t>20-14N-07W</t>
  </si>
  <si>
    <t> 201307988-T</t>
  </si>
  <si>
    <t>21-14N-07W</t>
  </si>
  <si>
    <t> 201307991-T</t>
  </si>
  <si>
    <t>22-14N-07W</t>
  </si>
  <si>
    <t> 201500413-T</t>
  </si>
  <si>
    <t>23-14N-07W</t>
  </si>
  <si>
    <t> 201301835-T</t>
  </si>
  <si>
    <t> NEWFIELD EXPLORATION</t>
  </si>
  <si>
    <t>24-14N-07W</t>
  </si>
  <si>
    <t> 201301836-T</t>
  </si>
  <si>
    <t>25-14N-07W</t>
  </si>
  <si>
    <t> 201402651-T</t>
  </si>
  <si>
    <t>26-14N-07W</t>
  </si>
  <si>
    <t> 201405090</t>
  </si>
  <si>
    <t> 201602922-T</t>
  </si>
  <si>
    <t> 201307994-T</t>
  </si>
  <si>
    <t>28-14N-07W</t>
  </si>
  <si>
    <t> 201500588-T</t>
  </si>
  <si>
    <t>29-14N-07W</t>
  </si>
  <si>
    <t> 201406855</t>
  </si>
  <si>
    <t>30-14N-07W</t>
  </si>
  <si>
    <t> 201600018</t>
  </si>
  <si>
    <t> 201406856</t>
  </si>
  <si>
    <t>31-14N-07W</t>
  </si>
  <si>
    <t> 201500589-T</t>
  </si>
  <si>
    <t>32-14N-07W</t>
  </si>
  <si>
    <t> 201503526-T</t>
  </si>
  <si>
    <t> 201500869-T</t>
  </si>
  <si>
    <t>33-14N-07W</t>
  </si>
  <si>
    <t> 201303720-T</t>
  </si>
  <si>
    <t>34-14N-07W</t>
  </si>
  <si>
    <t> 201402652-T</t>
  </si>
  <si>
    <t>35-14N-07W</t>
  </si>
  <si>
    <t> 201601159-T</t>
  </si>
  <si>
    <t> 201405942-T</t>
  </si>
  <si>
    <t>36-14N-07W</t>
  </si>
  <si>
    <t> 201500204-T</t>
  </si>
  <si>
    <t> 201504363-T</t>
  </si>
  <si>
    <t>01-14N-06W</t>
  </si>
  <si>
    <t> 201402896</t>
  </si>
  <si>
    <t>02-14N-06W</t>
  </si>
  <si>
    <t> 201403891</t>
  </si>
  <si>
    <t> 201500386</t>
  </si>
  <si>
    <t>04-14N-06W</t>
  </si>
  <si>
    <t> 201306400-T</t>
  </si>
  <si>
    <t>05-14N-06W</t>
  </si>
  <si>
    <t> 201304260-T</t>
  </si>
  <si>
    <t>06-14N-06W</t>
  </si>
  <si>
    <t> 201400974-T</t>
  </si>
  <si>
    <t> 201403246-T</t>
  </si>
  <si>
    <t> 201304261-T</t>
  </si>
  <si>
    <t>07-14N-06W</t>
  </si>
  <si>
    <t> 201306401-T</t>
  </si>
  <si>
    <t>08-14N-06W</t>
  </si>
  <si>
    <t> 201503440-T</t>
  </si>
  <si>
    <t>09-14N-06W</t>
  </si>
  <si>
    <t> 201409199</t>
  </si>
  <si>
    <t>10-14N-06W</t>
  </si>
  <si>
    <t> 201504364-T</t>
  </si>
  <si>
    <t>12-14N-06W</t>
  </si>
  <si>
    <t> 201504406-T</t>
  </si>
  <si>
    <t>13-14N-06W</t>
  </si>
  <si>
    <t> 201504379-T</t>
  </si>
  <si>
    <t>14-14N-06W</t>
  </si>
  <si>
    <t> 201604628-T</t>
  </si>
  <si>
    <t> 201700696-T</t>
  </si>
  <si>
    <t> 201505014-T</t>
  </si>
  <si>
    <t>15-14N-06W</t>
  </si>
  <si>
    <t> 201602687-T</t>
  </si>
  <si>
    <t> 201500862-T</t>
  </si>
  <si>
    <t>16-14N-06W</t>
  </si>
  <si>
    <t> 201601390-T</t>
  </si>
  <si>
    <t> 201306988-T</t>
  </si>
  <si>
    <t>17-14N-06W</t>
  </si>
  <si>
    <t> 201208503</t>
  </si>
  <si>
    <t>18-14N-06W</t>
  </si>
  <si>
    <t> 201208505</t>
  </si>
  <si>
    <t>19-14N-06W</t>
  </si>
  <si>
    <t> 201306989-T</t>
  </si>
  <si>
    <t>20-14N-06W</t>
  </si>
  <si>
    <t> 201500259</t>
  </si>
  <si>
    <t>21-14N-06W</t>
  </si>
  <si>
    <t> 201500863-T</t>
  </si>
  <si>
    <t> 201505015-T</t>
  </si>
  <si>
    <t>22-14N-06W</t>
  </si>
  <si>
    <t> 201602688-T</t>
  </si>
  <si>
    <t> 201504380-T</t>
  </si>
  <si>
    <t>23-14N-06W</t>
  </si>
  <si>
    <t> 201604657-T</t>
  </si>
  <si>
    <t> 201504407-T</t>
  </si>
  <si>
    <t>24-14N-06W</t>
  </si>
  <si>
    <t> 201504572-T</t>
  </si>
  <si>
    <t>27-14N-06W</t>
  </si>
  <si>
    <t> 201500260</t>
  </si>
  <si>
    <t>28-14N-06W</t>
  </si>
  <si>
    <t> 201504292</t>
  </si>
  <si>
    <t>29-14N-06W</t>
  </si>
  <si>
    <t> 201505991</t>
  </si>
  <si>
    <t>30-14N-06W</t>
  </si>
  <si>
    <t> 201600900</t>
  </si>
  <si>
    <t> 201601849</t>
  </si>
  <si>
    <t> 201603360</t>
  </si>
  <si>
    <t> 201504573-T</t>
  </si>
  <si>
    <t>34-14N-06W</t>
  </si>
  <si>
    <t> 201601933-T</t>
  </si>
  <si>
    <t> 201503377</t>
  </si>
  <si>
    <t>01-13N-06W</t>
  </si>
  <si>
    <t> 201505297</t>
  </si>
  <si>
    <t> 201504334</t>
  </si>
  <si>
    <t>02-13N-06W</t>
  </si>
  <si>
    <t> 201703397</t>
  </si>
  <si>
    <t> 89 ENERGY LLC</t>
  </si>
  <si>
    <t>10-13N-06W</t>
  </si>
  <si>
    <t> 201702863</t>
  </si>
  <si>
    <t>12-13N-06W</t>
  </si>
  <si>
    <t> 201700305</t>
  </si>
  <si>
    <t>13-13N-06W</t>
  </si>
  <si>
    <t> 201505762</t>
  </si>
  <si>
    <t>15-13N-06W</t>
  </si>
  <si>
    <t> 201307652-T</t>
  </si>
  <si>
    <t>17-13N-06W</t>
  </si>
  <si>
    <t> 201402893-T</t>
  </si>
  <si>
    <t> 201504177-T</t>
  </si>
  <si>
    <t> 201504178-T</t>
  </si>
  <si>
    <t> 201504912-T</t>
  </si>
  <si>
    <t> 201407798</t>
  </si>
  <si>
    <t> VEENKER RESOURCES INC</t>
  </si>
  <si>
    <t>18-13N-06W</t>
  </si>
  <si>
    <t> 201505338</t>
  </si>
  <si>
    <t> 201703120</t>
  </si>
  <si>
    <t>19-13N-06W</t>
  </si>
  <si>
    <t>20-13N-06W</t>
  </si>
  <si>
    <t> 201307658</t>
  </si>
  <si>
    <t>22-13N-06W</t>
  </si>
  <si>
    <t> 201701642</t>
  </si>
  <si>
    <t>25-13N-06W</t>
  </si>
  <si>
    <t> 201700926-T</t>
  </si>
  <si>
    <t> TPR MID CONTINENT LLC</t>
  </si>
  <si>
    <t>31-13N-06W</t>
  </si>
  <si>
    <t> 201702883</t>
  </si>
  <si>
    <t> JONES ENERGY LLC ET AL</t>
  </si>
  <si>
    <t> 201400340</t>
  </si>
  <si>
    <t>33-13N-06W</t>
  </si>
  <si>
    <t> 201503378</t>
  </si>
  <si>
    <t> 201700274</t>
  </si>
  <si>
    <t> 201701371</t>
  </si>
  <si>
    <t> 201701640</t>
  </si>
  <si>
    <t>36-13N-06W</t>
  </si>
  <si>
    <t> 201405943-T</t>
  </si>
  <si>
    <t>01-13N-07W</t>
  </si>
  <si>
    <t> 201601158-T</t>
  </si>
  <si>
    <t>02-13N-07W</t>
  </si>
  <si>
    <t> 201303719-T</t>
  </si>
  <si>
    <t>03-13N-07W</t>
  </si>
  <si>
    <t> 201308535-T</t>
  </si>
  <si>
    <t> 201500868-T</t>
  </si>
  <si>
    <t>04-13N-07W</t>
  </si>
  <si>
    <t> 201503522-T</t>
  </si>
  <si>
    <t> 201505779-T</t>
  </si>
  <si>
    <t> 201502846</t>
  </si>
  <si>
    <t>09-13N-07W</t>
  </si>
  <si>
    <t> 201504472</t>
  </si>
  <si>
    <t> 201703516</t>
  </si>
  <si>
    <t> 201407832</t>
  </si>
  <si>
    <t>10-13N-07W</t>
  </si>
  <si>
    <t> 201501533</t>
  </si>
  <si>
    <t> 201502324</t>
  </si>
  <si>
    <t>11-13N-07W</t>
  </si>
  <si>
    <t> 201602747-T</t>
  </si>
  <si>
    <t>12-13N-07W</t>
  </si>
  <si>
    <t> 201601543</t>
  </si>
  <si>
    <t>13-13N-07W</t>
  </si>
  <si>
    <t> 201502325</t>
  </si>
  <si>
    <t>14-13N-07W</t>
  </si>
  <si>
    <t> 201605991</t>
  </si>
  <si>
    <t> 201703026</t>
  </si>
  <si>
    <t> 201502597</t>
  </si>
  <si>
    <t>19-13N-07W</t>
  </si>
  <si>
    <t> 201505852</t>
  </si>
  <si>
    <t> 201503258</t>
  </si>
  <si>
    <t>20-13N-07W</t>
  </si>
  <si>
    <t> 201503635</t>
  </si>
  <si>
    <t>21-13N-07W</t>
  </si>
  <si>
    <t> 201503636</t>
  </si>
  <si>
    <t>22-13N-07W</t>
  </si>
  <si>
    <t> 201505458</t>
  </si>
  <si>
    <t>23-13N-07W</t>
  </si>
  <si>
    <t> 201505745-T</t>
  </si>
  <si>
    <t> 201504308</t>
  </si>
  <si>
    <t>24-13N-07W</t>
  </si>
  <si>
    <t> 201700625</t>
  </si>
  <si>
    <t>26-13N-07W</t>
  </si>
  <si>
    <t> 201601913-T</t>
  </si>
  <si>
    <t>27-13N-07W</t>
  </si>
  <si>
    <t> 201605080</t>
  </si>
  <si>
    <t>28-13N-07W</t>
  </si>
  <si>
    <t> 201605856</t>
  </si>
  <si>
    <t> 201501690</t>
  </si>
  <si>
    <t>29-13N-07W</t>
  </si>
  <si>
    <t> 201500788</t>
  </si>
  <si>
    <t>36-13N-07W</t>
  </si>
  <si>
    <t> 201504366-T</t>
  </si>
  <si>
    <t>01-13N-08W</t>
  </si>
  <si>
    <t> 201404046</t>
  </si>
  <si>
    <t>02-13N-08W</t>
  </si>
  <si>
    <t> 201502412</t>
  </si>
  <si>
    <t>04-13N-08W</t>
  </si>
  <si>
    <t> 201504183</t>
  </si>
  <si>
    <t> 201205130-T</t>
  </si>
  <si>
    <t>05-13N-08W</t>
  </si>
  <si>
    <t> 201701392-T</t>
  </si>
  <si>
    <t>07-13N-08W</t>
  </si>
  <si>
    <t> 201701393-T</t>
  </si>
  <si>
    <t>14-13N-08W</t>
  </si>
  <si>
    <t> 201602895</t>
  </si>
  <si>
    <t> 201405220-T</t>
  </si>
  <si>
    <t>17-13N-08W</t>
  </si>
  <si>
    <t> 201308678-T</t>
  </si>
  <si>
    <t>19-13N-08W</t>
  </si>
  <si>
    <t> 201206573</t>
  </si>
  <si>
    <t>29-13N-08W</t>
  </si>
  <si>
    <t> 201303094</t>
  </si>
  <si>
    <t>30-13N-08W</t>
  </si>
  <si>
    <t> 201206679</t>
  </si>
  <si>
    <t>32-13N-08W</t>
  </si>
  <si>
    <t>Canadian Pooled Sections:</t>
  </si>
  <si>
    <t> 201601864-T</t>
  </si>
  <si>
    <t> CITIZEN ENERGY II LLC</t>
  </si>
  <si>
    <t>05-10N-05W</t>
  </si>
  <si>
    <t> 201602782-T</t>
  </si>
  <si>
    <t> 201602047-T</t>
  </si>
  <si>
    <t>06-10N-05W</t>
  </si>
  <si>
    <t> 201600600</t>
  </si>
  <si>
    <t> SCOOP ENERGY COMPANY LLC</t>
  </si>
  <si>
    <t>07-10N-05W</t>
  </si>
  <si>
    <t> 201602048-T</t>
  </si>
  <si>
    <t> 201601571</t>
  </si>
  <si>
    <t>08-10N-05W</t>
  </si>
  <si>
    <t> 201601865-T</t>
  </si>
  <si>
    <t> 201602783-T</t>
  </si>
  <si>
    <t> 201600771-T</t>
  </si>
  <si>
    <t>09-10N-05W</t>
  </si>
  <si>
    <t> 201600772-T</t>
  </si>
  <si>
    <t>16-10N-05W</t>
  </si>
  <si>
    <t> 201505218-T</t>
  </si>
  <si>
    <t>17-10N-05W</t>
  </si>
  <si>
    <t> 201602784-T</t>
  </si>
  <si>
    <t>18-10N-05W</t>
  </si>
  <si>
    <t> 201502341-T</t>
  </si>
  <si>
    <t>20-10N-05W</t>
  </si>
  <si>
    <t> 201505561</t>
  </si>
  <si>
    <t> ECHO ENERGY LLC</t>
  </si>
  <si>
    <t> 201505642</t>
  </si>
  <si>
    <t> WESTFALEN ENERGY LLC *</t>
  </si>
  <si>
    <t> 201602105-T</t>
  </si>
  <si>
    <t> 201502315-T</t>
  </si>
  <si>
    <t>19-10N-05W</t>
  </si>
  <si>
    <t> 201505627</t>
  </si>
  <si>
    <t> WESTFALLEN ENERGY LLC *</t>
  </si>
  <si>
    <t> 201505626</t>
  </si>
  <si>
    <t> 201600943-T</t>
  </si>
  <si>
    <t>21-10N-05W</t>
  </si>
  <si>
    <t> 201505759-T</t>
  </si>
  <si>
    <t>28-10N-05W</t>
  </si>
  <si>
    <t> 201505446-T</t>
  </si>
  <si>
    <t>30-10N-05W</t>
  </si>
  <si>
    <t> 201505449-T</t>
  </si>
  <si>
    <t>31-10N-05W</t>
  </si>
  <si>
    <t> 201502032-T</t>
  </si>
  <si>
    <t>32-10N-05W</t>
  </si>
  <si>
    <t> 201505452-T</t>
  </si>
  <si>
    <t>33-10N-05W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</si>
</sst>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8A178"/>
        <bgColor indexed="64"/>
      </patternFill>
    </fill>
    <fill>
      <patternFill patternType="solid">
        <fgColor rgb="FFFFFF8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0848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0" fontId="0" fillId="0" borderId="0" xfId="0" applyFill="1"/>
    <xf numFmtId="0" fontId="0" fillId="0" borderId="0" xfId="0" quotePrefix="1"/>
    <xf numFmtId="0" fontId="0" fillId="0" borderId="0" xfId="0" quotePrefix="1" applyFill="1"/>
    <xf numFmtId="0" fontId="0" fillId="2" borderId="0" xfId="0" quotePrefix="1" applyFill="1"/>
    <xf numFmtId="0" fontId="1" fillId="0" borderId="0" xfId="0" applyFont="1"/>
    <xf numFmtId="0" fontId="0" fillId="0" borderId="0" xfId="0" applyFont="1"/>
    <xf numFmtId="0" fontId="0" fillId="3" borderId="1" xfId="0" applyFill="1" applyBorder="1"/>
    <xf numFmtId="0" fontId="0" fillId="0" borderId="1" xfId="0" applyBorder="1"/>
    <xf numFmtId="0" fontId="0" fillId="2" borderId="2" xfId="0" applyFill="1" applyBorder="1"/>
    <xf numFmtId="0" fontId="2" fillId="4" borderId="2" xfId="0" applyFont="1" applyFill="1" applyBorder="1"/>
    <xf numFmtId="0" fontId="1" fillId="4" borderId="2" xfId="0" applyFont="1" applyFill="1" applyBorder="1"/>
    <xf numFmtId="0" fontId="0" fillId="5" borderId="2" xfId="0" applyFill="1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0" borderId="2" xfId="0" applyFill="1" applyBorder="1"/>
    <xf numFmtId="0" fontId="0" fillId="10" borderId="2" xfId="0" applyFill="1" applyBorder="1"/>
    <xf numFmtId="0" fontId="1" fillId="2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0</xdr:colOff>
      <xdr:row>0</xdr:row>
      <xdr:rowOff>38100</xdr:rowOff>
    </xdr:from>
    <xdr:to>
      <xdr:col>38</xdr:col>
      <xdr:colOff>24740</xdr:colOff>
      <xdr:row>86</xdr:row>
      <xdr:rowOff>98961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9EAC8FFE-52D7-4C83-A2E6-0E809A342F43}"/>
            </a:ext>
          </a:extLst>
        </xdr:cNvPr>
        <xdr:cNvCxnSpPr/>
      </xdr:nvCxnSpPr>
      <xdr:spPr>
        <a:xfrm>
          <a:off x="7962900" y="38100"/>
          <a:ext cx="24740" cy="16491486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9525</xdr:colOff>
      <xdr:row>1</xdr:row>
      <xdr:rowOff>57150</xdr:rowOff>
    </xdr:from>
    <xdr:to>
      <xdr:col>26</xdr:col>
      <xdr:colOff>12371</xdr:colOff>
      <xdr:row>86</xdr:row>
      <xdr:rowOff>12370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7439C2ED-5A2E-4EEC-AE4F-4CBEA6A3EB6D}"/>
            </a:ext>
          </a:extLst>
        </xdr:cNvPr>
        <xdr:cNvCxnSpPr/>
      </xdr:nvCxnSpPr>
      <xdr:spPr>
        <a:xfrm>
          <a:off x="5457825" y="247650"/>
          <a:ext cx="2846" cy="161953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200025</xdr:colOff>
      <xdr:row>1</xdr:row>
      <xdr:rowOff>171450</xdr:rowOff>
    </xdr:from>
    <xdr:to>
      <xdr:col>32</xdr:col>
      <xdr:colOff>12370</xdr:colOff>
      <xdr:row>86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5F7526C-478E-4ACD-BBD5-B442BF545329}"/>
            </a:ext>
          </a:extLst>
        </xdr:cNvPr>
        <xdr:cNvCxnSpPr/>
      </xdr:nvCxnSpPr>
      <xdr:spPr>
        <a:xfrm>
          <a:off x="6696075" y="361950"/>
          <a:ext cx="21895" cy="160686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</xdr:colOff>
      <xdr:row>1</xdr:row>
      <xdr:rowOff>114300</xdr:rowOff>
    </xdr:from>
    <xdr:to>
      <xdr:col>20</xdr:col>
      <xdr:colOff>12370</xdr:colOff>
      <xdr:row>86</xdr:row>
      <xdr:rowOff>12370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6D43A111-C9FF-4ED2-AA35-735BEE111C4E}"/>
            </a:ext>
          </a:extLst>
        </xdr:cNvPr>
        <xdr:cNvCxnSpPr/>
      </xdr:nvCxnSpPr>
      <xdr:spPr>
        <a:xfrm>
          <a:off x="4200525" y="304800"/>
          <a:ext cx="2845" cy="161381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0</xdr:row>
      <xdr:rowOff>152400</xdr:rowOff>
    </xdr:from>
    <xdr:to>
      <xdr:col>14</xdr:col>
      <xdr:colOff>9525</xdr:colOff>
      <xdr:row>85</xdr:row>
      <xdr:rowOff>173181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163D8F28-FE46-4737-B385-5E3BC9C9CA2D}"/>
            </a:ext>
          </a:extLst>
        </xdr:cNvPr>
        <xdr:cNvCxnSpPr/>
      </xdr:nvCxnSpPr>
      <xdr:spPr>
        <a:xfrm flipH="1">
          <a:off x="2933700" y="152400"/>
          <a:ext cx="9525" cy="16260906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197923</xdr:colOff>
      <xdr:row>1</xdr:row>
      <xdr:rowOff>19050</xdr:rowOff>
    </xdr:from>
    <xdr:to>
      <xdr:col>8</xdr:col>
      <xdr:colOff>0</xdr:colOff>
      <xdr:row>86</xdr:row>
      <xdr:rowOff>12370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E630A0D-AC4C-45F1-AAF5-EA6EBAFD8537}"/>
            </a:ext>
          </a:extLst>
        </xdr:cNvPr>
        <xdr:cNvCxnSpPr/>
      </xdr:nvCxnSpPr>
      <xdr:spPr>
        <a:xfrm flipH="1">
          <a:off x="1664773" y="209550"/>
          <a:ext cx="11627" cy="162334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0</xdr:colOff>
      <xdr:row>0</xdr:row>
      <xdr:rowOff>180975</xdr:rowOff>
    </xdr:from>
    <xdr:to>
      <xdr:col>44</xdr:col>
      <xdr:colOff>9525</xdr:colOff>
      <xdr:row>85</xdr:row>
      <xdr:rowOff>173181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2C6B6C2-B73B-4896-84A2-B44F61410DD0}"/>
            </a:ext>
          </a:extLst>
        </xdr:cNvPr>
        <xdr:cNvCxnSpPr/>
      </xdr:nvCxnSpPr>
      <xdr:spPr>
        <a:xfrm flipH="1">
          <a:off x="9220200" y="180975"/>
          <a:ext cx="9525" cy="1623233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1</xdr:row>
      <xdr:rowOff>28575</xdr:rowOff>
    </xdr:from>
    <xdr:to>
      <xdr:col>50</xdr:col>
      <xdr:colOff>24741</xdr:colOff>
      <xdr:row>86</xdr:row>
      <xdr:rowOff>24740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D17E1C80-FF55-433E-9626-40847A65063B}"/>
            </a:ext>
          </a:extLst>
        </xdr:cNvPr>
        <xdr:cNvCxnSpPr/>
      </xdr:nvCxnSpPr>
      <xdr:spPr>
        <a:xfrm>
          <a:off x="10487025" y="219075"/>
          <a:ext cx="15216" cy="1623629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0</xdr:row>
      <xdr:rowOff>66675</xdr:rowOff>
    </xdr:from>
    <xdr:to>
      <xdr:col>56</xdr:col>
      <xdr:colOff>9525</xdr:colOff>
      <xdr:row>87</xdr:row>
      <xdr:rowOff>19050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983B8B3F-11CE-4598-8E04-2F592338267E}"/>
            </a:ext>
          </a:extLst>
        </xdr:cNvPr>
        <xdr:cNvCxnSpPr/>
      </xdr:nvCxnSpPr>
      <xdr:spPr>
        <a:xfrm>
          <a:off x="11734800" y="66675"/>
          <a:ext cx="9525" cy="1657350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12370</xdr:colOff>
      <xdr:row>0</xdr:row>
      <xdr:rowOff>171450</xdr:rowOff>
    </xdr:from>
    <xdr:to>
      <xdr:col>62</xdr:col>
      <xdr:colOff>19050</xdr:colOff>
      <xdr:row>86</xdr:row>
      <xdr:rowOff>123701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47632FD0-932E-40CE-9694-02C8AC3F986E}"/>
            </a:ext>
          </a:extLst>
        </xdr:cNvPr>
        <xdr:cNvCxnSpPr/>
      </xdr:nvCxnSpPr>
      <xdr:spPr>
        <a:xfrm flipH="1">
          <a:off x="13004470" y="171450"/>
          <a:ext cx="6680" cy="16382876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12369</xdr:colOff>
      <xdr:row>1</xdr:row>
      <xdr:rowOff>174295</xdr:rowOff>
    </xdr:from>
    <xdr:to>
      <xdr:col>68</xdr:col>
      <xdr:colOff>37109</xdr:colOff>
      <xdr:row>86</xdr:row>
      <xdr:rowOff>111331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BFA23CDB-0587-4800-87E5-93856D10D486}"/>
            </a:ext>
          </a:extLst>
        </xdr:cNvPr>
        <xdr:cNvCxnSpPr/>
      </xdr:nvCxnSpPr>
      <xdr:spPr>
        <a:xfrm>
          <a:off x="14261769" y="364795"/>
          <a:ext cx="24740" cy="1617716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74</xdr:col>
      <xdr:colOff>0</xdr:colOff>
      <xdr:row>8</xdr:row>
      <xdr:rowOff>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B47E4D28-4331-41FC-8907-4AB122AF91AE}"/>
            </a:ext>
          </a:extLst>
        </xdr:cNvPr>
        <xdr:cNvCxnSpPr/>
      </xdr:nvCxnSpPr>
      <xdr:spPr>
        <a:xfrm>
          <a:off x="0" y="1571625"/>
          <a:ext cx="155067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38</xdr:row>
      <xdr:rowOff>0</xdr:rowOff>
    </xdr:from>
    <xdr:to>
      <xdr:col>74</xdr:col>
      <xdr:colOff>37111</xdr:colOff>
      <xdr:row>38</xdr:row>
      <xdr:rowOff>9525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69425798-C1C5-4DD6-BB5D-4905E86D9D0E}"/>
            </a:ext>
          </a:extLst>
        </xdr:cNvPr>
        <xdr:cNvCxnSpPr/>
      </xdr:nvCxnSpPr>
      <xdr:spPr>
        <a:xfrm flipV="1">
          <a:off x="342900" y="7286625"/>
          <a:ext cx="1520091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44</xdr:row>
      <xdr:rowOff>9525</xdr:rowOff>
    </xdr:from>
    <xdr:to>
      <xdr:col>74</xdr:col>
      <xdr:colOff>37111</xdr:colOff>
      <xdr:row>44</xdr:row>
      <xdr:rowOff>12370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B817D601-8D2D-42B7-8136-7BD8ED52E398}"/>
            </a:ext>
          </a:extLst>
        </xdr:cNvPr>
        <xdr:cNvCxnSpPr/>
      </xdr:nvCxnSpPr>
      <xdr:spPr>
        <a:xfrm>
          <a:off x="38100" y="8439150"/>
          <a:ext cx="15505711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50</xdr:row>
      <xdr:rowOff>12371</xdr:rowOff>
    </xdr:from>
    <xdr:to>
      <xdr:col>74</xdr:col>
      <xdr:colOff>37111</xdr:colOff>
      <xdr:row>50</xdr:row>
      <xdr:rowOff>19050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87E429AC-2A79-4307-BF80-9B1984FBAE73}"/>
            </a:ext>
          </a:extLst>
        </xdr:cNvPr>
        <xdr:cNvCxnSpPr/>
      </xdr:nvCxnSpPr>
      <xdr:spPr>
        <a:xfrm flipV="1">
          <a:off x="247650" y="9584996"/>
          <a:ext cx="15296161" cy="667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74</xdr:col>
      <xdr:colOff>24741</xdr:colOff>
      <xdr:row>32</xdr:row>
      <xdr:rowOff>9525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453B6D3-08EB-4084-8638-CA0D4C47ABF9}"/>
            </a:ext>
          </a:extLst>
        </xdr:cNvPr>
        <xdr:cNvCxnSpPr/>
      </xdr:nvCxnSpPr>
      <xdr:spPr>
        <a:xfrm flipV="1">
          <a:off x="0" y="6143625"/>
          <a:ext cx="1553144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123825</xdr:colOff>
      <xdr:row>25</xdr:row>
      <xdr:rowOff>180975</xdr:rowOff>
    </xdr:from>
    <xdr:to>
      <xdr:col>74</xdr:col>
      <xdr:colOff>0</xdr:colOff>
      <xdr:row>26</xdr:row>
      <xdr:rowOff>12370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EC3CBC4B-857C-48A4-AEF6-30C4882ED808}"/>
            </a:ext>
          </a:extLst>
        </xdr:cNvPr>
        <xdr:cNvCxnSpPr/>
      </xdr:nvCxnSpPr>
      <xdr:spPr>
        <a:xfrm>
          <a:off x="333375" y="4991100"/>
          <a:ext cx="15173325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19</xdr:row>
      <xdr:rowOff>180975</xdr:rowOff>
    </xdr:from>
    <xdr:to>
      <xdr:col>74</xdr:col>
      <xdr:colOff>0</xdr:colOff>
      <xdr:row>20</xdr:row>
      <xdr:rowOff>12370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584A25AC-C167-4F80-84F4-42884D378EB7}"/>
            </a:ext>
          </a:extLst>
        </xdr:cNvPr>
        <xdr:cNvCxnSpPr/>
      </xdr:nvCxnSpPr>
      <xdr:spPr>
        <a:xfrm>
          <a:off x="342900" y="3848100"/>
          <a:ext cx="15163800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</xdr:row>
      <xdr:rowOff>173182</xdr:rowOff>
    </xdr:from>
    <xdr:to>
      <xdr:col>74</xdr:col>
      <xdr:colOff>12371</xdr:colOff>
      <xdr:row>14</xdr:row>
      <xdr:rowOff>24741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2F5389F8-F236-4D25-9DEF-632CEFF7E616}"/>
            </a:ext>
          </a:extLst>
        </xdr:cNvPr>
        <xdr:cNvCxnSpPr/>
      </xdr:nvCxnSpPr>
      <xdr:spPr>
        <a:xfrm>
          <a:off x="419100" y="2697307"/>
          <a:ext cx="15099971" cy="4205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70037</xdr:colOff>
      <xdr:row>55</xdr:row>
      <xdr:rowOff>182095</xdr:rowOff>
    </xdr:from>
    <xdr:to>
      <xdr:col>74</xdr:col>
      <xdr:colOff>24741</xdr:colOff>
      <xdr:row>56</xdr:row>
      <xdr:rowOff>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3B42ECFC-F1B4-4FB9-B4A2-CFC59F786191}"/>
            </a:ext>
          </a:extLst>
        </xdr:cNvPr>
        <xdr:cNvCxnSpPr/>
      </xdr:nvCxnSpPr>
      <xdr:spPr>
        <a:xfrm>
          <a:off x="279587" y="10707220"/>
          <a:ext cx="15251854" cy="840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190500</xdr:colOff>
      <xdr:row>62</xdr:row>
      <xdr:rowOff>0</xdr:rowOff>
    </xdr:from>
    <xdr:to>
      <xdr:col>74</xdr:col>
      <xdr:colOff>12371</xdr:colOff>
      <xdr:row>62</xdr:row>
      <xdr:rowOff>9525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32BCB735-B584-406B-915E-0F8E6FF81831}"/>
            </a:ext>
          </a:extLst>
        </xdr:cNvPr>
        <xdr:cNvCxnSpPr/>
      </xdr:nvCxnSpPr>
      <xdr:spPr>
        <a:xfrm flipV="1">
          <a:off x="190500" y="11858625"/>
          <a:ext cx="1532857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68</xdr:row>
      <xdr:rowOff>0</xdr:rowOff>
    </xdr:from>
    <xdr:to>
      <xdr:col>74</xdr:col>
      <xdr:colOff>61851</xdr:colOff>
      <xdr:row>68</xdr:row>
      <xdr:rowOff>19050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E7F2BC16-CD02-4B6D-BED2-5CB14C1FBD8D}"/>
            </a:ext>
          </a:extLst>
        </xdr:cNvPr>
        <xdr:cNvCxnSpPr/>
      </xdr:nvCxnSpPr>
      <xdr:spPr>
        <a:xfrm flipV="1">
          <a:off x="342900" y="13001625"/>
          <a:ext cx="15225651" cy="19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73</xdr:row>
      <xdr:rowOff>180975</xdr:rowOff>
    </xdr:from>
    <xdr:to>
      <xdr:col>74</xdr:col>
      <xdr:colOff>61851</xdr:colOff>
      <xdr:row>74</xdr:row>
      <xdr:rowOff>12370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460A31B7-D283-488D-BE4A-34AB1DD90ABA}"/>
            </a:ext>
          </a:extLst>
        </xdr:cNvPr>
        <xdr:cNvCxnSpPr/>
      </xdr:nvCxnSpPr>
      <xdr:spPr>
        <a:xfrm>
          <a:off x="247650" y="14135100"/>
          <a:ext cx="15320901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80</xdr:row>
      <xdr:rowOff>9525</xdr:rowOff>
    </xdr:from>
    <xdr:to>
      <xdr:col>74</xdr:col>
      <xdr:colOff>61851</xdr:colOff>
      <xdr:row>80</xdr:row>
      <xdr:rowOff>12370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EEFF8CEC-0282-46D8-86CB-EBD6E120712F}"/>
            </a:ext>
          </a:extLst>
        </xdr:cNvPr>
        <xdr:cNvCxnSpPr/>
      </xdr:nvCxnSpPr>
      <xdr:spPr>
        <a:xfrm>
          <a:off x="9525" y="15297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203948</xdr:colOff>
      <xdr:row>1</xdr:row>
      <xdr:rowOff>160812</xdr:rowOff>
    </xdr:from>
    <xdr:to>
      <xdr:col>56</xdr:col>
      <xdr:colOff>24740</xdr:colOff>
      <xdr:row>86</xdr:row>
      <xdr:rowOff>179854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8EDB7A09-816D-414A-AB58-6574D90D3476}"/>
            </a:ext>
          </a:extLst>
        </xdr:cNvPr>
        <xdr:cNvCxnSpPr/>
      </xdr:nvCxnSpPr>
      <xdr:spPr>
        <a:xfrm flipH="1">
          <a:off x="11729198" y="351312"/>
          <a:ext cx="30342" cy="16259167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123702</xdr:colOff>
      <xdr:row>7</xdr:row>
      <xdr:rowOff>175657</xdr:rowOff>
    </xdr:from>
    <xdr:to>
      <xdr:col>62</xdr:col>
      <xdr:colOff>12370</xdr:colOff>
      <xdr:row>8</xdr:row>
      <xdr:rowOff>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365BEF2B-C8B3-4BE7-B9FB-C32D55B62319}"/>
            </a:ext>
          </a:extLst>
        </xdr:cNvPr>
        <xdr:cNvCxnSpPr/>
      </xdr:nvCxnSpPr>
      <xdr:spPr>
        <a:xfrm>
          <a:off x="1590552" y="1556782"/>
          <a:ext cx="11413918" cy="148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12369</xdr:colOff>
      <xdr:row>7</xdr:row>
      <xdr:rowOff>111331</xdr:rowOff>
    </xdr:from>
    <xdr:to>
      <xdr:col>62</xdr:col>
      <xdr:colOff>12369</xdr:colOff>
      <xdr:row>86</xdr:row>
      <xdr:rowOff>0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AD0349E5-DF93-4D23-B7B3-A66F9A39FBB4}"/>
            </a:ext>
          </a:extLst>
        </xdr:cNvPr>
        <xdr:cNvCxnSpPr/>
      </xdr:nvCxnSpPr>
      <xdr:spPr>
        <a:xfrm>
          <a:off x="13004469" y="1492456"/>
          <a:ext cx="0" cy="1493816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16328</xdr:colOff>
      <xdr:row>7</xdr:row>
      <xdr:rowOff>115290</xdr:rowOff>
    </xdr:from>
    <xdr:to>
      <xdr:col>8</xdr:col>
      <xdr:colOff>16328</xdr:colOff>
      <xdr:row>86</xdr:row>
      <xdr:rowOff>3959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21A3A6B1-CF6D-4594-B6FD-26026C0EAA23}"/>
            </a:ext>
          </a:extLst>
        </xdr:cNvPr>
        <xdr:cNvCxnSpPr/>
      </xdr:nvCxnSpPr>
      <xdr:spPr>
        <a:xfrm>
          <a:off x="1692728" y="1496415"/>
          <a:ext cx="0" cy="1493816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20286</xdr:colOff>
      <xdr:row>62</xdr:row>
      <xdr:rowOff>12370</xdr:rowOff>
    </xdr:from>
    <xdr:to>
      <xdr:col>38</xdr:col>
      <xdr:colOff>24740</xdr:colOff>
      <xdr:row>86</xdr:row>
      <xdr:rowOff>20287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7AD8AB4D-866D-4B07-8C72-A1A827C13D7D}"/>
            </a:ext>
          </a:extLst>
        </xdr:cNvPr>
        <xdr:cNvCxnSpPr/>
      </xdr:nvCxnSpPr>
      <xdr:spPr>
        <a:xfrm flipH="1">
          <a:off x="7983186" y="11870995"/>
          <a:ext cx="4454" cy="4579917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190007</xdr:colOff>
      <xdr:row>8</xdr:row>
      <xdr:rowOff>-1</xdr:rowOff>
    </xdr:from>
    <xdr:to>
      <xdr:col>32</xdr:col>
      <xdr:colOff>24740</xdr:colOff>
      <xdr:row>37</xdr:row>
      <xdr:rowOff>148442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16B36533-22CA-476E-B82E-3C150E700C87}"/>
            </a:ext>
          </a:extLst>
        </xdr:cNvPr>
        <xdr:cNvCxnSpPr/>
      </xdr:nvCxnSpPr>
      <xdr:spPr>
        <a:xfrm>
          <a:off x="6686057" y="1571624"/>
          <a:ext cx="44283" cy="56729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181099</xdr:rowOff>
    </xdr:from>
    <xdr:to>
      <xdr:col>10</xdr:col>
      <xdr:colOff>37111</xdr:colOff>
      <xdr:row>8</xdr:row>
      <xdr:rowOff>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5C53ACE2-D7D3-44C9-940E-6D7B7F7DF3BA}"/>
            </a:ext>
          </a:extLst>
        </xdr:cNvPr>
        <xdr:cNvCxnSpPr/>
      </xdr:nvCxnSpPr>
      <xdr:spPr>
        <a:xfrm flipH="1" flipV="1">
          <a:off x="0" y="1562224"/>
          <a:ext cx="2132611" cy="940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</xdr:colOff>
      <xdr:row>31</xdr:row>
      <xdr:rowOff>173182</xdr:rowOff>
    </xdr:from>
    <xdr:to>
      <xdr:col>8</xdr:col>
      <xdr:colOff>24740</xdr:colOff>
      <xdr:row>31</xdr:row>
      <xdr:rowOff>173183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F6662A84-C4D5-4886-AAC2-33FF78F84B9E}"/>
            </a:ext>
          </a:extLst>
        </xdr:cNvPr>
        <xdr:cNvCxnSpPr/>
      </xdr:nvCxnSpPr>
      <xdr:spPr>
        <a:xfrm flipH="1">
          <a:off x="1" y="6126307"/>
          <a:ext cx="1701139" cy="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197923</xdr:colOff>
      <xdr:row>37</xdr:row>
      <xdr:rowOff>173182</xdr:rowOff>
    </xdr:from>
    <xdr:to>
      <xdr:col>62</xdr:col>
      <xdr:colOff>49480</xdr:colOff>
      <xdr:row>38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C918E2DD-BA34-4028-A323-C02E39406EBC}"/>
            </a:ext>
          </a:extLst>
        </xdr:cNvPr>
        <xdr:cNvCxnSpPr/>
      </xdr:nvCxnSpPr>
      <xdr:spPr>
        <a:xfrm flipH="1">
          <a:off x="5436673" y="7269307"/>
          <a:ext cx="7604907" cy="1731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12371</xdr:colOff>
      <xdr:row>37</xdr:row>
      <xdr:rowOff>145597</xdr:rowOff>
    </xdr:from>
    <xdr:to>
      <xdr:col>26</xdr:col>
      <xdr:colOff>13360</xdr:colOff>
      <xdr:row>62</xdr:row>
      <xdr:rowOff>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9D0FFD60-8CC7-45BB-AF51-98C6DDE6BBC6}"/>
            </a:ext>
          </a:extLst>
        </xdr:cNvPr>
        <xdr:cNvCxnSpPr/>
      </xdr:nvCxnSpPr>
      <xdr:spPr>
        <a:xfrm flipH="1">
          <a:off x="5460671" y="7241722"/>
          <a:ext cx="989" cy="461690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173183</xdr:colOff>
      <xdr:row>61</xdr:row>
      <xdr:rowOff>173181</xdr:rowOff>
    </xdr:from>
    <xdr:to>
      <xdr:col>38</xdr:col>
      <xdr:colOff>74221</xdr:colOff>
      <xdr:row>62</xdr:row>
      <xdr:rowOff>0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73DAB5D-B21E-4197-A857-A74549F1FEBB}"/>
            </a:ext>
          </a:extLst>
        </xdr:cNvPr>
        <xdr:cNvCxnSpPr/>
      </xdr:nvCxnSpPr>
      <xdr:spPr>
        <a:xfrm flipH="1" flipV="1">
          <a:off x="5411933" y="11841306"/>
          <a:ext cx="2625188" cy="1731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8186</xdr:colOff>
      <xdr:row>61</xdr:row>
      <xdr:rowOff>120244</xdr:rowOff>
    </xdr:from>
    <xdr:to>
      <xdr:col>68</xdr:col>
      <xdr:colOff>102089</xdr:colOff>
      <xdr:row>68</xdr:row>
      <xdr:rowOff>162563</xdr:rowOff>
    </xdr:to>
    <xdr:sp macro="" textlink="">
      <xdr:nvSpPr>
        <xdr:cNvPr id="37" name="Freeform: Shape 36">
          <a:extLst>
            <a:ext uri="{FF2B5EF4-FFF2-40B4-BE49-F238E27FC236}">
              <a16:creationId xmlns:a16="http://schemas.microsoft.com/office/drawing/2014/main" id="{63822E16-4AF9-47D2-A827-D8F7504B1865}"/>
            </a:ext>
          </a:extLst>
        </xdr:cNvPr>
        <xdr:cNvSpPr>
          <a:spLocks noChangeAspect="1"/>
        </xdr:cNvSpPr>
      </xdr:nvSpPr>
      <xdr:spPr>
        <a:xfrm>
          <a:off x="7761536" y="11788369"/>
          <a:ext cx="6589953" cy="1375819"/>
        </a:xfrm>
        <a:custGeom>
          <a:avLst/>
          <a:gdLst>
            <a:gd name="connsiteX0" fmla="*/ 0 w 6398649"/>
            <a:gd name="connsiteY0" fmla="*/ 0 h 1351936"/>
            <a:gd name="connsiteX1" fmla="*/ 69133 w 6398649"/>
            <a:gd name="connsiteY1" fmla="*/ 7682 h 1351936"/>
            <a:gd name="connsiteX2" fmla="*/ 92177 w 6398649"/>
            <a:gd name="connsiteY2" fmla="*/ 15363 h 1351936"/>
            <a:gd name="connsiteX3" fmla="*/ 637560 w 6398649"/>
            <a:gd name="connsiteY3" fmla="*/ 7682 h 1351936"/>
            <a:gd name="connsiteX4" fmla="*/ 952500 w 6398649"/>
            <a:gd name="connsiteY4" fmla="*/ 30726 h 1351936"/>
            <a:gd name="connsiteX5" fmla="*/ 967863 w 6398649"/>
            <a:gd name="connsiteY5" fmla="*/ 53770 h 1351936"/>
            <a:gd name="connsiteX6" fmla="*/ 990907 w 6398649"/>
            <a:gd name="connsiteY6" fmla="*/ 61452 h 1351936"/>
            <a:gd name="connsiteX7" fmla="*/ 1021633 w 6398649"/>
            <a:gd name="connsiteY7" fmla="*/ 84496 h 1351936"/>
            <a:gd name="connsiteX8" fmla="*/ 1052359 w 6398649"/>
            <a:gd name="connsiteY8" fmla="*/ 130585 h 1351936"/>
            <a:gd name="connsiteX9" fmla="*/ 1106129 w 6398649"/>
            <a:gd name="connsiteY9" fmla="*/ 176674 h 1351936"/>
            <a:gd name="connsiteX10" fmla="*/ 1136855 w 6398649"/>
            <a:gd name="connsiteY10" fmla="*/ 184355 h 1351936"/>
            <a:gd name="connsiteX11" fmla="*/ 1159899 w 6398649"/>
            <a:gd name="connsiteY11" fmla="*/ 192036 h 1351936"/>
            <a:gd name="connsiteX12" fmla="*/ 1190625 w 6398649"/>
            <a:gd name="connsiteY12" fmla="*/ 199718 h 1351936"/>
            <a:gd name="connsiteX13" fmla="*/ 1213669 w 6398649"/>
            <a:gd name="connsiteY13" fmla="*/ 207399 h 1351936"/>
            <a:gd name="connsiteX14" fmla="*/ 1313528 w 6398649"/>
            <a:gd name="connsiteY14" fmla="*/ 238125 h 1351936"/>
            <a:gd name="connsiteX15" fmla="*/ 1336572 w 6398649"/>
            <a:gd name="connsiteY15" fmla="*/ 253488 h 1351936"/>
            <a:gd name="connsiteX16" fmla="*/ 1382661 w 6398649"/>
            <a:gd name="connsiteY16" fmla="*/ 276532 h 1351936"/>
            <a:gd name="connsiteX17" fmla="*/ 1436431 w 6398649"/>
            <a:gd name="connsiteY17" fmla="*/ 337984 h 1351936"/>
            <a:gd name="connsiteX18" fmla="*/ 1482520 w 6398649"/>
            <a:gd name="connsiteY18" fmla="*/ 384073 h 1351936"/>
            <a:gd name="connsiteX19" fmla="*/ 1505564 w 6398649"/>
            <a:gd name="connsiteY19" fmla="*/ 407117 h 1351936"/>
            <a:gd name="connsiteX20" fmla="*/ 1536290 w 6398649"/>
            <a:gd name="connsiteY20" fmla="*/ 414799 h 1351936"/>
            <a:gd name="connsiteX21" fmla="*/ 1559335 w 6398649"/>
            <a:gd name="connsiteY21" fmla="*/ 430161 h 1351936"/>
            <a:gd name="connsiteX22" fmla="*/ 1689919 w 6398649"/>
            <a:gd name="connsiteY22" fmla="*/ 445524 h 1351936"/>
            <a:gd name="connsiteX23" fmla="*/ 1743689 w 6398649"/>
            <a:gd name="connsiteY23" fmla="*/ 430161 h 1351936"/>
            <a:gd name="connsiteX24" fmla="*/ 1759052 w 6398649"/>
            <a:gd name="connsiteY24" fmla="*/ 384073 h 1351936"/>
            <a:gd name="connsiteX25" fmla="*/ 1782097 w 6398649"/>
            <a:gd name="connsiteY25" fmla="*/ 337984 h 1351936"/>
            <a:gd name="connsiteX26" fmla="*/ 1812822 w 6398649"/>
            <a:gd name="connsiteY26" fmla="*/ 268851 h 1351936"/>
            <a:gd name="connsiteX27" fmla="*/ 1820504 w 6398649"/>
            <a:gd name="connsiteY27" fmla="*/ 199718 h 1351936"/>
            <a:gd name="connsiteX28" fmla="*/ 1828185 w 6398649"/>
            <a:gd name="connsiteY28" fmla="*/ 161311 h 1351936"/>
            <a:gd name="connsiteX29" fmla="*/ 1835867 w 6398649"/>
            <a:gd name="connsiteY29" fmla="*/ 53770 h 1351936"/>
            <a:gd name="connsiteX30" fmla="*/ 1843548 w 6398649"/>
            <a:gd name="connsiteY30" fmla="*/ 30726 h 1351936"/>
            <a:gd name="connsiteX31" fmla="*/ 1889637 w 6398649"/>
            <a:gd name="connsiteY31" fmla="*/ 7682 h 1351936"/>
            <a:gd name="connsiteX32" fmla="*/ 1928044 w 6398649"/>
            <a:gd name="connsiteY32" fmla="*/ 15363 h 1351936"/>
            <a:gd name="connsiteX33" fmla="*/ 1943407 w 6398649"/>
            <a:gd name="connsiteY33" fmla="*/ 46089 h 1351936"/>
            <a:gd name="connsiteX34" fmla="*/ 1966451 w 6398649"/>
            <a:gd name="connsiteY34" fmla="*/ 69133 h 1351936"/>
            <a:gd name="connsiteX35" fmla="*/ 1989496 w 6398649"/>
            <a:gd name="connsiteY35" fmla="*/ 122903 h 1351936"/>
            <a:gd name="connsiteX36" fmla="*/ 1997177 w 6398649"/>
            <a:gd name="connsiteY36" fmla="*/ 145948 h 1351936"/>
            <a:gd name="connsiteX37" fmla="*/ 2012540 w 6398649"/>
            <a:gd name="connsiteY37" fmla="*/ 168992 h 1351936"/>
            <a:gd name="connsiteX38" fmla="*/ 2043266 w 6398649"/>
            <a:gd name="connsiteY38" fmla="*/ 238125 h 1351936"/>
            <a:gd name="connsiteX39" fmla="*/ 2066310 w 6398649"/>
            <a:gd name="connsiteY39" fmla="*/ 253488 h 1351936"/>
            <a:gd name="connsiteX40" fmla="*/ 2112399 w 6398649"/>
            <a:gd name="connsiteY40" fmla="*/ 291895 h 1351936"/>
            <a:gd name="connsiteX41" fmla="*/ 2158488 w 6398649"/>
            <a:gd name="connsiteY41" fmla="*/ 322621 h 1351936"/>
            <a:gd name="connsiteX42" fmla="*/ 2219939 w 6398649"/>
            <a:gd name="connsiteY42" fmla="*/ 345666 h 1351936"/>
            <a:gd name="connsiteX43" fmla="*/ 2250665 w 6398649"/>
            <a:gd name="connsiteY43" fmla="*/ 361028 h 1351936"/>
            <a:gd name="connsiteX44" fmla="*/ 2281391 w 6398649"/>
            <a:gd name="connsiteY44" fmla="*/ 384073 h 1351936"/>
            <a:gd name="connsiteX45" fmla="*/ 2312117 w 6398649"/>
            <a:gd name="connsiteY45" fmla="*/ 391754 h 1351936"/>
            <a:gd name="connsiteX46" fmla="*/ 2335161 w 6398649"/>
            <a:gd name="connsiteY46" fmla="*/ 407117 h 1351936"/>
            <a:gd name="connsiteX47" fmla="*/ 2419657 w 6398649"/>
            <a:gd name="connsiteY47" fmla="*/ 430161 h 1351936"/>
            <a:gd name="connsiteX48" fmla="*/ 2534879 w 6398649"/>
            <a:gd name="connsiteY48" fmla="*/ 422480 h 1351936"/>
            <a:gd name="connsiteX49" fmla="*/ 2557923 w 6398649"/>
            <a:gd name="connsiteY49" fmla="*/ 376391 h 1351936"/>
            <a:gd name="connsiteX50" fmla="*/ 2580968 w 6398649"/>
            <a:gd name="connsiteY50" fmla="*/ 361028 h 1351936"/>
            <a:gd name="connsiteX51" fmla="*/ 2634738 w 6398649"/>
            <a:gd name="connsiteY51" fmla="*/ 322621 h 1351936"/>
            <a:gd name="connsiteX52" fmla="*/ 2696189 w 6398649"/>
            <a:gd name="connsiteY52" fmla="*/ 268851 h 1351936"/>
            <a:gd name="connsiteX53" fmla="*/ 2742278 w 6398649"/>
            <a:gd name="connsiteY53" fmla="*/ 253488 h 1351936"/>
            <a:gd name="connsiteX54" fmla="*/ 2788367 w 6398649"/>
            <a:gd name="connsiteY54" fmla="*/ 261170 h 1351936"/>
            <a:gd name="connsiteX55" fmla="*/ 2803730 w 6398649"/>
            <a:gd name="connsiteY55" fmla="*/ 291895 h 1351936"/>
            <a:gd name="connsiteX56" fmla="*/ 2826774 w 6398649"/>
            <a:gd name="connsiteY56" fmla="*/ 368710 h 1351936"/>
            <a:gd name="connsiteX57" fmla="*/ 2834456 w 6398649"/>
            <a:gd name="connsiteY57" fmla="*/ 391754 h 1351936"/>
            <a:gd name="connsiteX58" fmla="*/ 2849818 w 6398649"/>
            <a:gd name="connsiteY58" fmla="*/ 476250 h 1351936"/>
            <a:gd name="connsiteX59" fmla="*/ 2865181 w 6398649"/>
            <a:gd name="connsiteY59" fmla="*/ 537702 h 1351936"/>
            <a:gd name="connsiteX60" fmla="*/ 2872863 w 6398649"/>
            <a:gd name="connsiteY60" fmla="*/ 560746 h 1351936"/>
            <a:gd name="connsiteX61" fmla="*/ 2895907 w 6398649"/>
            <a:gd name="connsiteY61" fmla="*/ 568428 h 1351936"/>
            <a:gd name="connsiteX62" fmla="*/ 2941996 w 6398649"/>
            <a:gd name="connsiteY62" fmla="*/ 599153 h 1351936"/>
            <a:gd name="connsiteX63" fmla="*/ 2965040 w 6398649"/>
            <a:gd name="connsiteY63" fmla="*/ 622198 h 1351936"/>
            <a:gd name="connsiteX64" fmla="*/ 2988085 w 6398649"/>
            <a:gd name="connsiteY64" fmla="*/ 629879 h 1351936"/>
            <a:gd name="connsiteX65" fmla="*/ 3064899 w 6398649"/>
            <a:gd name="connsiteY65" fmla="*/ 645242 h 1351936"/>
            <a:gd name="connsiteX66" fmla="*/ 3126351 w 6398649"/>
            <a:gd name="connsiteY66" fmla="*/ 668286 h 1351936"/>
            <a:gd name="connsiteX67" fmla="*/ 3149395 w 6398649"/>
            <a:gd name="connsiteY67" fmla="*/ 675968 h 1351936"/>
            <a:gd name="connsiteX68" fmla="*/ 3226210 w 6398649"/>
            <a:gd name="connsiteY68" fmla="*/ 683649 h 1351936"/>
            <a:gd name="connsiteX69" fmla="*/ 3372157 w 6398649"/>
            <a:gd name="connsiteY69" fmla="*/ 668286 h 1351936"/>
            <a:gd name="connsiteX70" fmla="*/ 3387520 w 6398649"/>
            <a:gd name="connsiteY70" fmla="*/ 645242 h 1351936"/>
            <a:gd name="connsiteX71" fmla="*/ 3448972 w 6398649"/>
            <a:gd name="connsiteY71" fmla="*/ 614516 h 1351936"/>
            <a:gd name="connsiteX72" fmla="*/ 3464335 w 6398649"/>
            <a:gd name="connsiteY72" fmla="*/ 591472 h 1351936"/>
            <a:gd name="connsiteX73" fmla="*/ 3510423 w 6398649"/>
            <a:gd name="connsiteY73" fmla="*/ 576109 h 1351936"/>
            <a:gd name="connsiteX74" fmla="*/ 3748548 w 6398649"/>
            <a:gd name="connsiteY74" fmla="*/ 568428 h 1351936"/>
            <a:gd name="connsiteX75" fmla="*/ 3879133 w 6398649"/>
            <a:gd name="connsiteY75" fmla="*/ 576109 h 1351936"/>
            <a:gd name="connsiteX76" fmla="*/ 3909859 w 6398649"/>
            <a:gd name="connsiteY76" fmla="*/ 583791 h 1351936"/>
            <a:gd name="connsiteX77" fmla="*/ 3925222 w 6398649"/>
            <a:gd name="connsiteY77" fmla="*/ 614516 h 1351936"/>
            <a:gd name="connsiteX78" fmla="*/ 3948266 w 6398649"/>
            <a:gd name="connsiteY78" fmla="*/ 637561 h 1351936"/>
            <a:gd name="connsiteX79" fmla="*/ 3955947 w 6398649"/>
            <a:gd name="connsiteY79" fmla="*/ 660605 h 1351936"/>
            <a:gd name="connsiteX80" fmla="*/ 3978992 w 6398649"/>
            <a:gd name="connsiteY80" fmla="*/ 668286 h 1351936"/>
            <a:gd name="connsiteX81" fmla="*/ 4009718 w 6398649"/>
            <a:gd name="connsiteY81" fmla="*/ 683649 h 1351936"/>
            <a:gd name="connsiteX82" fmla="*/ 4032762 w 6398649"/>
            <a:gd name="connsiteY82" fmla="*/ 699012 h 1351936"/>
            <a:gd name="connsiteX83" fmla="*/ 4101895 w 6398649"/>
            <a:gd name="connsiteY83" fmla="*/ 760464 h 1351936"/>
            <a:gd name="connsiteX84" fmla="*/ 4147984 w 6398649"/>
            <a:gd name="connsiteY84" fmla="*/ 775827 h 1351936"/>
            <a:gd name="connsiteX85" fmla="*/ 4178710 w 6398649"/>
            <a:gd name="connsiteY85" fmla="*/ 806553 h 1351936"/>
            <a:gd name="connsiteX86" fmla="*/ 4240161 w 6398649"/>
            <a:gd name="connsiteY86" fmla="*/ 821916 h 1351936"/>
            <a:gd name="connsiteX87" fmla="*/ 4470605 w 6398649"/>
            <a:gd name="connsiteY87" fmla="*/ 814234 h 1351936"/>
            <a:gd name="connsiteX88" fmla="*/ 4493649 w 6398649"/>
            <a:gd name="connsiteY88" fmla="*/ 806553 h 1351936"/>
            <a:gd name="connsiteX89" fmla="*/ 4555101 w 6398649"/>
            <a:gd name="connsiteY89" fmla="*/ 798871 h 1351936"/>
            <a:gd name="connsiteX90" fmla="*/ 4608871 w 6398649"/>
            <a:gd name="connsiteY90" fmla="*/ 783508 h 1351936"/>
            <a:gd name="connsiteX91" fmla="*/ 4685685 w 6398649"/>
            <a:gd name="connsiteY91" fmla="*/ 768145 h 1351936"/>
            <a:gd name="connsiteX92" fmla="*/ 4731774 w 6398649"/>
            <a:gd name="connsiteY92" fmla="*/ 752782 h 1351936"/>
            <a:gd name="connsiteX93" fmla="*/ 4762500 w 6398649"/>
            <a:gd name="connsiteY93" fmla="*/ 737420 h 1351936"/>
            <a:gd name="connsiteX94" fmla="*/ 4808589 w 6398649"/>
            <a:gd name="connsiteY94" fmla="*/ 722057 h 1351936"/>
            <a:gd name="connsiteX95" fmla="*/ 4877722 w 6398649"/>
            <a:gd name="connsiteY95" fmla="*/ 691331 h 1351936"/>
            <a:gd name="connsiteX96" fmla="*/ 4900766 w 6398649"/>
            <a:gd name="connsiteY96" fmla="*/ 683649 h 1351936"/>
            <a:gd name="connsiteX97" fmla="*/ 4962218 w 6398649"/>
            <a:gd name="connsiteY97" fmla="*/ 675968 h 1351936"/>
            <a:gd name="connsiteX98" fmla="*/ 4992943 w 6398649"/>
            <a:gd name="connsiteY98" fmla="*/ 668286 h 1351936"/>
            <a:gd name="connsiteX99" fmla="*/ 5161935 w 6398649"/>
            <a:gd name="connsiteY99" fmla="*/ 683649 h 1351936"/>
            <a:gd name="connsiteX100" fmla="*/ 5184980 w 6398649"/>
            <a:gd name="connsiteY100" fmla="*/ 699012 h 1351936"/>
            <a:gd name="connsiteX101" fmla="*/ 5208024 w 6398649"/>
            <a:gd name="connsiteY101" fmla="*/ 729738 h 1351936"/>
            <a:gd name="connsiteX102" fmla="*/ 5238750 w 6398649"/>
            <a:gd name="connsiteY102" fmla="*/ 745101 h 1351936"/>
            <a:gd name="connsiteX103" fmla="*/ 5269476 w 6398649"/>
            <a:gd name="connsiteY103" fmla="*/ 791190 h 1351936"/>
            <a:gd name="connsiteX104" fmla="*/ 5307883 w 6398649"/>
            <a:gd name="connsiteY104" fmla="*/ 837278 h 1351936"/>
            <a:gd name="connsiteX105" fmla="*/ 5315564 w 6398649"/>
            <a:gd name="connsiteY105" fmla="*/ 860323 h 1351936"/>
            <a:gd name="connsiteX106" fmla="*/ 5338609 w 6398649"/>
            <a:gd name="connsiteY106" fmla="*/ 929456 h 1351936"/>
            <a:gd name="connsiteX107" fmla="*/ 5392379 w 6398649"/>
            <a:gd name="connsiteY107" fmla="*/ 960182 h 1351936"/>
            <a:gd name="connsiteX108" fmla="*/ 5438468 w 6398649"/>
            <a:gd name="connsiteY108" fmla="*/ 975545 h 1351936"/>
            <a:gd name="connsiteX109" fmla="*/ 5492238 w 6398649"/>
            <a:gd name="connsiteY109" fmla="*/ 990907 h 1351936"/>
            <a:gd name="connsiteX110" fmla="*/ 5522964 w 6398649"/>
            <a:gd name="connsiteY110" fmla="*/ 1006270 h 1351936"/>
            <a:gd name="connsiteX111" fmla="*/ 5546008 w 6398649"/>
            <a:gd name="connsiteY111" fmla="*/ 1021633 h 1351936"/>
            <a:gd name="connsiteX112" fmla="*/ 5569052 w 6398649"/>
            <a:gd name="connsiteY112" fmla="*/ 1029315 h 1351936"/>
            <a:gd name="connsiteX113" fmla="*/ 5615141 w 6398649"/>
            <a:gd name="connsiteY113" fmla="*/ 1060041 h 1351936"/>
            <a:gd name="connsiteX114" fmla="*/ 5668911 w 6398649"/>
            <a:gd name="connsiteY114" fmla="*/ 1067722 h 1351936"/>
            <a:gd name="connsiteX115" fmla="*/ 5745726 w 6398649"/>
            <a:gd name="connsiteY115" fmla="*/ 1098448 h 1351936"/>
            <a:gd name="connsiteX116" fmla="*/ 5784133 w 6398649"/>
            <a:gd name="connsiteY116" fmla="*/ 1113811 h 1351936"/>
            <a:gd name="connsiteX117" fmla="*/ 5837903 w 6398649"/>
            <a:gd name="connsiteY117" fmla="*/ 1121492 h 1351936"/>
            <a:gd name="connsiteX118" fmla="*/ 5868629 w 6398649"/>
            <a:gd name="connsiteY118" fmla="*/ 1129174 h 1351936"/>
            <a:gd name="connsiteX119" fmla="*/ 5937762 w 6398649"/>
            <a:gd name="connsiteY119" fmla="*/ 1136855 h 1351936"/>
            <a:gd name="connsiteX120" fmla="*/ 6037621 w 6398649"/>
            <a:gd name="connsiteY120" fmla="*/ 1159899 h 1351936"/>
            <a:gd name="connsiteX121" fmla="*/ 6068347 w 6398649"/>
            <a:gd name="connsiteY121" fmla="*/ 1167581 h 1351936"/>
            <a:gd name="connsiteX122" fmla="*/ 6145161 w 6398649"/>
            <a:gd name="connsiteY122" fmla="*/ 1182944 h 1351936"/>
            <a:gd name="connsiteX123" fmla="*/ 6168206 w 6398649"/>
            <a:gd name="connsiteY123" fmla="*/ 1198307 h 1351936"/>
            <a:gd name="connsiteX124" fmla="*/ 6183568 w 6398649"/>
            <a:gd name="connsiteY124" fmla="*/ 1221351 h 1351936"/>
            <a:gd name="connsiteX125" fmla="*/ 6214294 w 6398649"/>
            <a:gd name="connsiteY125" fmla="*/ 1252077 h 1351936"/>
            <a:gd name="connsiteX126" fmla="*/ 6237339 w 6398649"/>
            <a:gd name="connsiteY126" fmla="*/ 1298166 h 1351936"/>
            <a:gd name="connsiteX127" fmla="*/ 6291109 w 6398649"/>
            <a:gd name="connsiteY127" fmla="*/ 1321210 h 1351936"/>
            <a:gd name="connsiteX128" fmla="*/ 6398649 w 6398649"/>
            <a:gd name="connsiteY128" fmla="*/ 1336573 h 1351936"/>
            <a:gd name="connsiteX129" fmla="*/ 6367923 w 6398649"/>
            <a:gd name="connsiteY129" fmla="*/ 1351936 h 13519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</a:cxnLst>
          <a:rect l="l" t="t" r="r" b="b"/>
          <a:pathLst>
            <a:path w="6398649" h="1351936">
              <a:moveTo>
                <a:pt x="0" y="0"/>
              </a:moveTo>
              <a:cubicBezTo>
                <a:pt x="23044" y="2561"/>
                <a:pt x="46262" y="3870"/>
                <a:pt x="69133" y="7682"/>
              </a:cubicBezTo>
              <a:cubicBezTo>
                <a:pt x="77120" y="9013"/>
                <a:pt x="84080" y="15363"/>
                <a:pt x="92177" y="15363"/>
              </a:cubicBezTo>
              <a:cubicBezTo>
                <a:pt x="273989" y="15363"/>
                <a:pt x="455766" y="10242"/>
                <a:pt x="637560" y="7682"/>
              </a:cubicBezTo>
              <a:cubicBezTo>
                <a:pt x="698036" y="10706"/>
                <a:pt x="895107" y="18249"/>
                <a:pt x="952500" y="30726"/>
              </a:cubicBezTo>
              <a:cubicBezTo>
                <a:pt x="961521" y="32687"/>
                <a:pt x="960654" y="48003"/>
                <a:pt x="967863" y="53770"/>
              </a:cubicBezTo>
              <a:cubicBezTo>
                <a:pt x="974186" y="58828"/>
                <a:pt x="983226" y="58891"/>
                <a:pt x="990907" y="61452"/>
              </a:cubicBezTo>
              <a:cubicBezTo>
                <a:pt x="1001149" y="69133"/>
                <a:pt x="1013128" y="74927"/>
                <a:pt x="1021633" y="84496"/>
              </a:cubicBezTo>
              <a:cubicBezTo>
                <a:pt x="1033900" y="98296"/>
                <a:pt x="1039303" y="117529"/>
                <a:pt x="1052359" y="130585"/>
              </a:cubicBezTo>
              <a:cubicBezTo>
                <a:pt x="1067732" y="145958"/>
                <a:pt x="1086422" y="166821"/>
                <a:pt x="1106129" y="176674"/>
              </a:cubicBezTo>
              <a:cubicBezTo>
                <a:pt x="1115572" y="181395"/>
                <a:pt x="1126704" y="181455"/>
                <a:pt x="1136855" y="184355"/>
              </a:cubicBezTo>
              <a:cubicBezTo>
                <a:pt x="1144640" y="186579"/>
                <a:pt x="1152114" y="189812"/>
                <a:pt x="1159899" y="192036"/>
              </a:cubicBezTo>
              <a:cubicBezTo>
                <a:pt x="1170050" y="194936"/>
                <a:pt x="1180474" y="196818"/>
                <a:pt x="1190625" y="199718"/>
              </a:cubicBezTo>
              <a:cubicBezTo>
                <a:pt x="1198410" y="201942"/>
                <a:pt x="1205857" y="205269"/>
                <a:pt x="1213669" y="207399"/>
              </a:cubicBezTo>
              <a:cubicBezTo>
                <a:pt x="1256894" y="219187"/>
                <a:pt x="1276156" y="219439"/>
                <a:pt x="1313528" y="238125"/>
              </a:cubicBezTo>
              <a:cubicBezTo>
                <a:pt x="1321785" y="242254"/>
                <a:pt x="1328315" y="249359"/>
                <a:pt x="1336572" y="253488"/>
              </a:cubicBezTo>
              <a:cubicBezTo>
                <a:pt x="1400185" y="285295"/>
                <a:pt x="1316613" y="232502"/>
                <a:pt x="1382661" y="276532"/>
              </a:cubicBezTo>
              <a:cubicBezTo>
                <a:pt x="1449562" y="365731"/>
                <a:pt x="1356870" y="245161"/>
                <a:pt x="1436431" y="337984"/>
              </a:cubicBezTo>
              <a:cubicBezTo>
                <a:pt x="1492597" y="403511"/>
                <a:pt x="1397673" y="311346"/>
                <a:pt x="1482520" y="384073"/>
              </a:cubicBezTo>
              <a:cubicBezTo>
                <a:pt x="1490768" y="391143"/>
                <a:pt x="1496132" y="401727"/>
                <a:pt x="1505564" y="407117"/>
              </a:cubicBezTo>
              <a:cubicBezTo>
                <a:pt x="1514730" y="412355"/>
                <a:pt x="1526048" y="412238"/>
                <a:pt x="1536290" y="414799"/>
              </a:cubicBezTo>
              <a:cubicBezTo>
                <a:pt x="1543972" y="419920"/>
                <a:pt x="1550691" y="426920"/>
                <a:pt x="1559335" y="430161"/>
              </a:cubicBezTo>
              <a:cubicBezTo>
                <a:pt x="1586796" y="440459"/>
                <a:pt x="1681978" y="444862"/>
                <a:pt x="1689919" y="445524"/>
              </a:cubicBezTo>
              <a:cubicBezTo>
                <a:pt x="1707842" y="440403"/>
                <a:pt x="1729757" y="442545"/>
                <a:pt x="1743689" y="430161"/>
              </a:cubicBezTo>
              <a:cubicBezTo>
                <a:pt x="1755792" y="419403"/>
                <a:pt x="1753931" y="399436"/>
                <a:pt x="1759052" y="384073"/>
              </a:cubicBezTo>
              <a:cubicBezTo>
                <a:pt x="1769653" y="352270"/>
                <a:pt x="1762243" y="367765"/>
                <a:pt x="1782097" y="337984"/>
              </a:cubicBezTo>
              <a:cubicBezTo>
                <a:pt x="1800379" y="283137"/>
                <a:pt x="1788477" y="305369"/>
                <a:pt x="1812822" y="268851"/>
              </a:cubicBezTo>
              <a:cubicBezTo>
                <a:pt x="1815383" y="245807"/>
                <a:pt x="1817225" y="222671"/>
                <a:pt x="1820504" y="199718"/>
              </a:cubicBezTo>
              <a:cubicBezTo>
                <a:pt x="1822350" y="186793"/>
                <a:pt x="1826818" y="174295"/>
                <a:pt x="1828185" y="161311"/>
              </a:cubicBezTo>
              <a:cubicBezTo>
                <a:pt x="1831947" y="125570"/>
                <a:pt x="1831668" y="89462"/>
                <a:pt x="1835867" y="53770"/>
              </a:cubicBezTo>
              <a:cubicBezTo>
                <a:pt x="1836813" y="45729"/>
                <a:pt x="1838490" y="37049"/>
                <a:pt x="1843548" y="30726"/>
              </a:cubicBezTo>
              <a:cubicBezTo>
                <a:pt x="1854378" y="17189"/>
                <a:pt x="1874456" y="12742"/>
                <a:pt x="1889637" y="7682"/>
              </a:cubicBezTo>
              <a:cubicBezTo>
                <a:pt x="1902439" y="10242"/>
                <a:pt x="1917420" y="7774"/>
                <a:pt x="1928044" y="15363"/>
              </a:cubicBezTo>
              <a:cubicBezTo>
                <a:pt x="1937362" y="22019"/>
                <a:pt x="1936751" y="36771"/>
                <a:pt x="1943407" y="46089"/>
              </a:cubicBezTo>
              <a:cubicBezTo>
                <a:pt x="1949721" y="54929"/>
                <a:pt x="1958770" y="61452"/>
                <a:pt x="1966451" y="69133"/>
              </a:cubicBezTo>
              <a:cubicBezTo>
                <a:pt x="1984470" y="123187"/>
                <a:pt x="1961015" y="56446"/>
                <a:pt x="1989496" y="122903"/>
              </a:cubicBezTo>
              <a:cubicBezTo>
                <a:pt x="1992686" y="130345"/>
                <a:pt x="1993556" y="138706"/>
                <a:pt x="1997177" y="145948"/>
              </a:cubicBezTo>
              <a:cubicBezTo>
                <a:pt x="2001306" y="154205"/>
                <a:pt x="2008791" y="160556"/>
                <a:pt x="2012540" y="168992"/>
              </a:cubicBezTo>
              <a:cubicBezTo>
                <a:pt x="2024711" y="196376"/>
                <a:pt x="2022404" y="217263"/>
                <a:pt x="2043266" y="238125"/>
              </a:cubicBezTo>
              <a:cubicBezTo>
                <a:pt x="2049794" y="244653"/>
                <a:pt x="2058629" y="248367"/>
                <a:pt x="2066310" y="253488"/>
              </a:cubicBezTo>
              <a:cubicBezTo>
                <a:pt x="2091517" y="291298"/>
                <a:pt x="2069084" y="265906"/>
                <a:pt x="2112399" y="291895"/>
              </a:cubicBezTo>
              <a:cubicBezTo>
                <a:pt x="2128232" y="301395"/>
                <a:pt x="2140972" y="316782"/>
                <a:pt x="2158488" y="322621"/>
              </a:cubicBezTo>
              <a:cubicBezTo>
                <a:pt x="2183826" y="331068"/>
                <a:pt x="2192384" y="333420"/>
                <a:pt x="2219939" y="345666"/>
              </a:cubicBezTo>
              <a:cubicBezTo>
                <a:pt x="2230403" y="350316"/>
                <a:pt x="2240955" y="354959"/>
                <a:pt x="2250665" y="361028"/>
              </a:cubicBezTo>
              <a:cubicBezTo>
                <a:pt x="2261522" y="367813"/>
                <a:pt x="2269940" y="378348"/>
                <a:pt x="2281391" y="384073"/>
              </a:cubicBezTo>
              <a:cubicBezTo>
                <a:pt x="2290834" y="388794"/>
                <a:pt x="2301875" y="389194"/>
                <a:pt x="2312117" y="391754"/>
              </a:cubicBezTo>
              <a:cubicBezTo>
                <a:pt x="2319798" y="396875"/>
                <a:pt x="2326725" y="403368"/>
                <a:pt x="2335161" y="407117"/>
              </a:cubicBezTo>
              <a:cubicBezTo>
                <a:pt x="2367057" y="421293"/>
                <a:pt x="2386799" y="423590"/>
                <a:pt x="2419657" y="430161"/>
              </a:cubicBezTo>
              <a:cubicBezTo>
                <a:pt x="2458064" y="427601"/>
                <a:pt x="2497410" y="431296"/>
                <a:pt x="2534879" y="422480"/>
              </a:cubicBezTo>
              <a:cubicBezTo>
                <a:pt x="2550834" y="418726"/>
                <a:pt x="2550743" y="385366"/>
                <a:pt x="2557923" y="376391"/>
              </a:cubicBezTo>
              <a:cubicBezTo>
                <a:pt x="2563690" y="369182"/>
                <a:pt x="2573455" y="366394"/>
                <a:pt x="2580968" y="361028"/>
              </a:cubicBezTo>
              <a:cubicBezTo>
                <a:pt x="2647663" y="313389"/>
                <a:pt x="2580427" y="358827"/>
                <a:pt x="2634738" y="322621"/>
              </a:cubicBezTo>
              <a:cubicBezTo>
                <a:pt x="2652661" y="295737"/>
                <a:pt x="2657783" y="281653"/>
                <a:pt x="2696189" y="268851"/>
              </a:cubicBezTo>
              <a:lnTo>
                <a:pt x="2742278" y="253488"/>
              </a:lnTo>
              <a:cubicBezTo>
                <a:pt x="2757641" y="256049"/>
                <a:pt x="2775159" y="252915"/>
                <a:pt x="2788367" y="261170"/>
              </a:cubicBezTo>
              <a:cubicBezTo>
                <a:pt x="2798077" y="267239"/>
                <a:pt x="2799477" y="281263"/>
                <a:pt x="2803730" y="291895"/>
              </a:cubicBezTo>
              <a:cubicBezTo>
                <a:pt x="2821989" y="337541"/>
                <a:pt x="2815454" y="329092"/>
                <a:pt x="2826774" y="368710"/>
              </a:cubicBezTo>
              <a:cubicBezTo>
                <a:pt x="2828998" y="376495"/>
                <a:pt x="2832492" y="383899"/>
                <a:pt x="2834456" y="391754"/>
              </a:cubicBezTo>
              <a:cubicBezTo>
                <a:pt x="2845562" y="436178"/>
                <a:pt x="2839548" y="428324"/>
                <a:pt x="2849818" y="476250"/>
              </a:cubicBezTo>
              <a:cubicBezTo>
                <a:pt x="2854242" y="496896"/>
                <a:pt x="2858504" y="517671"/>
                <a:pt x="2865181" y="537702"/>
              </a:cubicBezTo>
              <a:cubicBezTo>
                <a:pt x="2867742" y="545383"/>
                <a:pt x="2867138" y="555021"/>
                <a:pt x="2872863" y="560746"/>
              </a:cubicBezTo>
              <a:cubicBezTo>
                <a:pt x="2878588" y="566471"/>
                <a:pt x="2888829" y="564496"/>
                <a:pt x="2895907" y="568428"/>
              </a:cubicBezTo>
              <a:cubicBezTo>
                <a:pt x="2912047" y="577395"/>
                <a:pt x="2928940" y="586097"/>
                <a:pt x="2941996" y="599153"/>
              </a:cubicBezTo>
              <a:cubicBezTo>
                <a:pt x="2949677" y="606835"/>
                <a:pt x="2956001" y="616172"/>
                <a:pt x="2965040" y="622198"/>
              </a:cubicBezTo>
              <a:cubicBezTo>
                <a:pt x="2971777" y="626689"/>
                <a:pt x="2980299" y="627655"/>
                <a:pt x="2988085" y="629879"/>
              </a:cubicBezTo>
              <a:cubicBezTo>
                <a:pt x="3020179" y="639049"/>
                <a:pt x="3028668" y="639204"/>
                <a:pt x="3064899" y="645242"/>
              </a:cubicBezTo>
              <a:cubicBezTo>
                <a:pt x="3112634" y="669110"/>
                <a:pt x="3077540" y="654340"/>
                <a:pt x="3126351" y="668286"/>
              </a:cubicBezTo>
              <a:cubicBezTo>
                <a:pt x="3134136" y="670510"/>
                <a:pt x="3141392" y="674737"/>
                <a:pt x="3149395" y="675968"/>
              </a:cubicBezTo>
              <a:cubicBezTo>
                <a:pt x="3174828" y="679881"/>
                <a:pt x="3200605" y="681089"/>
                <a:pt x="3226210" y="683649"/>
              </a:cubicBezTo>
              <a:cubicBezTo>
                <a:pt x="3274859" y="678528"/>
                <a:pt x="3324569" y="679616"/>
                <a:pt x="3372157" y="668286"/>
              </a:cubicBezTo>
              <a:cubicBezTo>
                <a:pt x="3381138" y="666148"/>
                <a:pt x="3380992" y="651770"/>
                <a:pt x="3387520" y="645242"/>
              </a:cubicBezTo>
              <a:cubicBezTo>
                <a:pt x="3402862" y="629900"/>
                <a:pt x="3430633" y="621852"/>
                <a:pt x="3448972" y="614516"/>
              </a:cubicBezTo>
              <a:cubicBezTo>
                <a:pt x="3454093" y="606835"/>
                <a:pt x="3456506" y="596365"/>
                <a:pt x="3464335" y="591472"/>
              </a:cubicBezTo>
              <a:cubicBezTo>
                <a:pt x="3478067" y="582889"/>
                <a:pt x="3494238" y="576631"/>
                <a:pt x="3510423" y="576109"/>
              </a:cubicBezTo>
              <a:lnTo>
                <a:pt x="3748548" y="568428"/>
              </a:lnTo>
              <a:cubicBezTo>
                <a:pt x="3792076" y="570988"/>
                <a:pt x="3835726" y="571975"/>
                <a:pt x="3879133" y="576109"/>
              </a:cubicBezTo>
              <a:cubicBezTo>
                <a:pt x="3889643" y="577110"/>
                <a:pt x="3901749" y="577032"/>
                <a:pt x="3909859" y="583791"/>
              </a:cubicBezTo>
              <a:cubicBezTo>
                <a:pt x="3918656" y="591121"/>
                <a:pt x="3918566" y="605198"/>
                <a:pt x="3925222" y="614516"/>
              </a:cubicBezTo>
              <a:cubicBezTo>
                <a:pt x="3931536" y="623356"/>
                <a:pt x="3940585" y="629879"/>
                <a:pt x="3948266" y="637561"/>
              </a:cubicBezTo>
              <a:cubicBezTo>
                <a:pt x="3950826" y="645242"/>
                <a:pt x="3950222" y="654880"/>
                <a:pt x="3955947" y="660605"/>
              </a:cubicBezTo>
              <a:cubicBezTo>
                <a:pt x="3961673" y="666330"/>
                <a:pt x="3971550" y="665096"/>
                <a:pt x="3978992" y="668286"/>
              </a:cubicBezTo>
              <a:cubicBezTo>
                <a:pt x="3989517" y="672797"/>
                <a:pt x="3999776" y="677968"/>
                <a:pt x="4009718" y="683649"/>
              </a:cubicBezTo>
              <a:cubicBezTo>
                <a:pt x="4017733" y="688229"/>
                <a:pt x="4025670" y="693102"/>
                <a:pt x="4032762" y="699012"/>
              </a:cubicBezTo>
              <a:cubicBezTo>
                <a:pt x="4065170" y="726019"/>
                <a:pt x="4056254" y="733840"/>
                <a:pt x="4101895" y="760464"/>
              </a:cubicBezTo>
              <a:cubicBezTo>
                <a:pt x="4115883" y="768624"/>
                <a:pt x="4132621" y="770706"/>
                <a:pt x="4147984" y="775827"/>
              </a:cubicBezTo>
              <a:cubicBezTo>
                <a:pt x="4158226" y="786069"/>
                <a:pt x="4166924" y="798134"/>
                <a:pt x="4178710" y="806553"/>
              </a:cubicBezTo>
              <a:cubicBezTo>
                <a:pt x="4187894" y="813113"/>
                <a:pt x="4236136" y="821111"/>
                <a:pt x="4240161" y="821916"/>
              </a:cubicBezTo>
              <a:cubicBezTo>
                <a:pt x="4316976" y="819355"/>
                <a:pt x="4393888" y="818884"/>
                <a:pt x="4470605" y="814234"/>
              </a:cubicBezTo>
              <a:cubicBezTo>
                <a:pt x="4478687" y="813744"/>
                <a:pt x="4485683" y="808001"/>
                <a:pt x="4493649" y="806553"/>
              </a:cubicBezTo>
              <a:cubicBezTo>
                <a:pt x="4513959" y="802860"/>
                <a:pt x="4534617" y="801432"/>
                <a:pt x="4555101" y="798871"/>
              </a:cubicBezTo>
              <a:cubicBezTo>
                <a:pt x="4577060" y="791552"/>
                <a:pt x="4584764" y="788329"/>
                <a:pt x="4608871" y="783508"/>
              </a:cubicBezTo>
              <a:cubicBezTo>
                <a:pt x="4650414" y="775199"/>
                <a:pt x="4649990" y="778854"/>
                <a:pt x="4685685" y="768145"/>
              </a:cubicBezTo>
              <a:cubicBezTo>
                <a:pt x="4701196" y="763492"/>
                <a:pt x="4717289" y="760024"/>
                <a:pt x="4731774" y="752782"/>
              </a:cubicBezTo>
              <a:cubicBezTo>
                <a:pt x="4742016" y="747661"/>
                <a:pt x="4751868" y="741673"/>
                <a:pt x="4762500" y="737420"/>
              </a:cubicBezTo>
              <a:cubicBezTo>
                <a:pt x="4777536" y="731406"/>
                <a:pt x="4794105" y="729299"/>
                <a:pt x="4808589" y="722057"/>
              </a:cubicBezTo>
              <a:cubicBezTo>
                <a:pt x="4843507" y="704597"/>
                <a:pt x="4838484" y="706045"/>
                <a:pt x="4877722" y="691331"/>
              </a:cubicBezTo>
              <a:cubicBezTo>
                <a:pt x="4885303" y="688488"/>
                <a:pt x="4892800" y="685097"/>
                <a:pt x="4900766" y="683649"/>
              </a:cubicBezTo>
              <a:cubicBezTo>
                <a:pt x="4921076" y="679956"/>
                <a:pt x="4941734" y="678528"/>
                <a:pt x="4962218" y="675968"/>
              </a:cubicBezTo>
              <a:cubicBezTo>
                <a:pt x="4972460" y="673407"/>
                <a:pt x="4982386" y="668286"/>
                <a:pt x="4992943" y="668286"/>
              </a:cubicBezTo>
              <a:cubicBezTo>
                <a:pt x="5108679" y="668286"/>
                <a:pt x="5093992" y="666664"/>
                <a:pt x="5161935" y="683649"/>
              </a:cubicBezTo>
              <a:cubicBezTo>
                <a:pt x="5169617" y="688770"/>
                <a:pt x="5178452" y="692484"/>
                <a:pt x="5184980" y="699012"/>
              </a:cubicBezTo>
              <a:cubicBezTo>
                <a:pt x="5194033" y="708065"/>
                <a:pt x="5198304" y="721406"/>
                <a:pt x="5208024" y="729738"/>
              </a:cubicBezTo>
              <a:cubicBezTo>
                <a:pt x="5216718" y="737190"/>
                <a:pt x="5228508" y="739980"/>
                <a:pt x="5238750" y="745101"/>
              </a:cubicBezTo>
              <a:cubicBezTo>
                <a:pt x="5248992" y="760464"/>
                <a:pt x="5256420" y="778134"/>
                <a:pt x="5269476" y="791190"/>
              </a:cubicBezTo>
              <a:cubicBezTo>
                <a:pt x="5299048" y="820762"/>
                <a:pt x="5286494" y="805195"/>
                <a:pt x="5307883" y="837278"/>
              </a:cubicBezTo>
              <a:cubicBezTo>
                <a:pt x="5310443" y="844960"/>
                <a:pt x="5313600" y="852468"/>
                <a:pt x="5315564" y="860323"/>
              </a:cubicBezTo>
              <a:cubicBezTo>
                <a:pt x="5322130" y="886585"/>
                <a:pt x="5320356" y="907552"/>
                <a:pt x="5338609" y="929456"/>
              </a:cubicBezTo>
              <a:cubicBezTo>
                <a:pt x="5345538" y="937771"/>
                <a:pt x="5385202" y="957311"/>
                <a:pt x="5392379" y="960182"/>
              </a:cubicBezTo>
              <a:cubicBezTo>
                <a:pt x="5407415" y="966196"/>
                <a:pt x="5423105" y="970424"/>
                <a:pt x="5438468" y="975545"/>
              </a:cubicBezTo>
              <a:cubicBezTo>
                <a:pt x="5471524" y="986563"/>
                <a:pt x="5453662" y="981264"/>
                <a:pt x="5492238" y="990907"/>
              </a:cubicBezTo>
              <a:cubicBezTo>
                <a:pt x="5502480" y="996028"/>
                <a:pt x="5513022" y="1000589"/>
                <a:pt x="5522964" y="1006270"/>
              </a:cubicBezTo>
              <a:cubicBezTo>
                <a:pt x="5530979" y="1010850"/>
                <a:pt x="5537751" y="1017504"/>
                <a:pt x="5546008" y="1021633"/>
              </a:cubicBezTo>
              <a:cubicBezTo>
                <a:pt x="5553250" y="1025254"/>
                <a:pt x="5561974" y="1025383"/>
                <a:pt x="5569052" y="1029315"/>
              </a:cubicBezTo>
              <a:cubicBezTo>
                <a:pt x="5585192" y="1038282"/>
                <a:pt x="5596863" y="1057430"/>
                <a:pt x="5615141" y="1060041"/>
              </a:cubicBezTo>
              <a:lnTo>
                <a:pt x="5668911" y="1067722"/>
              </a:lnTo>
              <a:cubicBezTo>
                <a:pt x="5711899" y="1096380"/>
                <a:pt x="5674129" y="1074582"/>
                <a:pt x="5745726" y="1098448"/>
              </a:cubicBezTo>
              <a:cubicBezTo>
                <a:pt x="5758807" y="1102808"/>
                <a:pt x="5770756" y="1110467"/>
                <a:pt x="5784133" y="1113811"/>
              </a:cubicBezTo>
              <a:cubicBezTo>
                <a:pt x="5801698" y="1118202"/>
                <a:pt x="5820090" y="1118253"/>
                <a:pt x="5837903" y="1121492"/>
              </a:cubicBezTo>
              <a:cubicBezTo>
                <a:pt x="5848290" y="1123381"/>
                <a:pt x="5858195" y="1127569"/>
                <a:pt x="5868629" y="1129174"/>
              </a:cubicBezTo>
              <a:cubicBezTo>
                <a:pt x="5891546" y="1132700"/>
                <a:pt x="5914718" y="1134295"/>
                <a:pt x="5937762" y="1136855"/>
              </a:cubicBezTo>
              <a:cubicBezTo>
                <a:pt x="6088404" y="1174515"/>
                <a:pt x="5931192" y="1136248"/>
                <a:pt x="6037621" y="1159899"/>
              </a:cubicBezTo>
              <a:cubicBezTo>
                <a:pt x="6047927" y="1162189"/>
                <a:pt x="6058024" y="1165369"/>
                <a:pt x="6068347" y="1167581"/>
              </a:cubicBezTo>
              <a:cubicBezTo>
                <a:pt x="6093879" y="1173052"/>
                <a:pt x="6145161" y="1182944"/>
                <a:pt x="6145161" y="1182944"/>
              </a:cubicBezTo>
              <a:cubicBezTo>
                <a:pt x="6152843" y="1188065"/>
                <a:pt x="6161678" y="1191779"/>
                <a:pt x="6168206" y="1198307"/>
              </a:cubicBezTo>
              <a:cubicBezTo>
                <a:pt x="6174734" y="1204835"/>
                <a:pt x="6177560" y="1214342"/>
                <a:pt x="6183568" y="1221351"/>
              </a:cubicBezTo>
              <a:cubicBezTo>
                <a:pt x="6192994" y="1232348"/>
                <a:pt x="6204052" y="1241835"/>
                <a:pt x="6214294" y="1252077"/>
              </a:cubicBezTo>
              <a:cubicBezTo>
                <a:pt x="6220542" y="1270818"/>
                <a:pt x="6222449" y="1283276"/>
                <a:pt x="6237339" y="1298166"/>
              </a:cubicBezTo>
              <a:cubicBezTo>
                <a:pt x="6253735" y="1314562"/>
                <a:pt x="6269075" y="1316803"/>
                <a:pt x="6291109" y="1321210"/>
              </a:cubicBezTo>
              <a:cubicBezTo>
                <a:pt x="6328015" y="1328591"/>
                <a:pt x="6360903" y="1331854"/>
                <a:pt x="6398649" y="1336573"/>
              </a:cubicBezTo>
              <a:lnTo>
                <a:pt x="6367923" y="1351936"/>
              </a:lnTo>
            </a:path>
          </a:pathLst>
        </a:custGeom>
        <a:noFill/>
        <a:ln w="1143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148442</xdr:colOff>
      <xdr:row>50</xdr:row>
      <xdr:rowOff>12371</xdr:rowOff>
    </xdr:from>
    <xdr:to>
      <xdr:col>26</xdr:col>
      <xdr:colOff>12371</xdr:colOff>
      <xdr:row>50</xdr:row>
      <xdr:rowOff>12371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394150D8-8E8F-4C12-A49C-C6D82EE9DA52}"/>
            </a:ext>
          </a:extLst>
        </xdr:cNvPr>
        <xdr:cNvCxnSpPr/>
      </xdr:nvCxnSpPr>
      <xdr:spPr>
        <a:xfrm flipH="1">
          <a:off x="1615292" y="9584996"/>
          <a:ext cx="3845379" cy="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160812</xdr:colOff>
      <xdr:row>22</xdr:row>
      <xdr:rowOff>123701</xdr:rowOff>
    </xdr:from>
    <xdr:ext cx="1724831" cy="718466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53D40E36-DC5E-4C8C-BD57-A0FBB4AE641B}"/>
            </a:ext>
          </a:extLst>
        </xdr:cNvPr>
        <xdr:cNvSpPr txBox="1"/>
      </xdr:nvSpPr>
      <xdr:spPr>
        <a:xfrm>
          <a:off x="3304062" y="4362326"/>
          <a:ext cx="172483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BLAINE</a:t>
          </a:r>
        </a:p>
      </xdr:txBody>
    </xdr:sp>
    <xdr:clientData/>
  </xdr:oneCellAnchor>
  <xdr:oneCellAnchor>
    <xdr:from>
      <xdr:col>39</xdr:col>
      <xdr:colOff>21113</xdr:colOff>
      <xdr:row>22</xdr:row>
      <xdr:rowOff>66551</xdr:rowOff>
    </xdr:from>
    <xdr:ext cx="2744021" cy="718466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EE6D998E-BF8E-4C68-A044-D121EE0AE9C6}"/>
            </a:ext>
          </a:extLst>
        </xdr:cNvPr>
        <xdr:cNvSpPr txBox="1"/>
      </xdr:nvSpPr>
      <xdr:spPr>
        <a:xfrm>
          <a:off x="8193563" y="4305176"/>
          <a:ext cx="274402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KINGFISHER</a:t>
          </a:r>
        </a:p>
      </xdr:txBody>
    </xdr:sp>
    <xdr:clientData/>
  </xdr:oneCellAnchor>
  <xdr:oneCellAnchor>
    <xdr:from>
      <xdr:col>38</xdr:col>
      <xdr:colOff>107827</xdr:colOff>
      <xdr:row>47</xdr:row>
      <xdr:rowOff>29379</xdr:rowOff>
    </xdr:from>
    <xdr:ext cx="2524665" cy="718466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4156A263-0817-43A9-BBEC-8F8F6D9BD7A9}"/>
            </a:ext>
          </a:extLst>
        </xdr:cNvPr>
        <xdr:cNvSpPr txBox="1"/>
      </xdr:nvSpPr>
      <xdr:spPr>
        <a:xfrm>
          <a:off x="8070727" y="9030504"/>
          <a:ext cx="2524665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CANADIAN</a:t>
          </a:r>
        </a:p>
      </xdr:txBody>
    </xdr:sp>
    <xdr:clientData/>
  </xdr:oneCellAnchor>
  <xdr:oneCellAnchor>
    <xdr:from>
      <xdr:col>12</xdr:col>
      <xdr:colOff>111332</xdr:colOff>
      <xdr:row>64</xdr:row>
      <xdr:rowOff>24740</xdr:rowOff>
    </xdr:from>
    <xdr:ext cx="1760610" cy="718466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F5B52F63-2ABB-4423-8028-956753260915}"/>
            </a:ext>
          </a:extLst>
        </xdr:cNvPr>
        <xdr:cNvSpPr txBox="1"/>
      </xdr:nvSpPr>
      <xdr:spPr>
        <a:xfrm>
          <a:off x="2625932" y="12264365"/>
          <a:ext cx="1760610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CADDO</a:t>
          </a:r>
        </a:p>
      </xdr:txBody>
    </xdr:sp>
    <xdr:clientData/>
  </xdr:oneCellAnchor>
  <xdr:oneCellAnchor>
    <xdr:from>
      <xdr:col>44</xdr:col>
      <xdr:colOff>119213</xdr:colOff>
      <xdr:row>76</xdr:row>
      <xdr:rowOff>113907</xdr:rowOff>
    </xdr:from>
    <xdr:ext cx="1701043" cy="718466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47FA8C2C-F730-4BC2-9953-BC422CB90C7D}"/>
            </a:ext>
          </a:extLst>
        </xdr:cNvPr>
        <xdr:cNvSpPr txBox="1"/>
      </xdr:nvSpPr>
      <xdr:spPr>
        <a:xfrm>
          <a:off x="9339413" y="14639532"/>
          <a:ext cx="1701043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GRADY</a:t>
          </a:r>
        </a:p>
      </xdr:txBody>
    </xdr:sp>
    <xdr:clientData/>
  </xdr:oneCellAnchor>
  <xdr:oneCellAnchor>
    <xdr:from>
      <xdr:col>2</xdr:col>
      <xdr:colOff>185552</xdr:colOff>
      <xdr:row>9</xdr:row>
      <xdr:rowOff>136071</xdr:rowOff>
    </xdr:from>
    <xdr:ext cx="784510" cy="280205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6989F99A-7CE7-4F09-BB67-3800D4288207}"/>
            </a:ext>
          </a:extLst>
        </xdr:cNvPr>
        <xdr:cNvSpPr txBox="1"/>
      </xdr:nvSpPr>
      <xdr:spPr>
        <a:xfrm>
          <a:off x="604652" y="189819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19N-14W</a:t>
          </a:r>
        </a:p>
      </xdr:txBody>
    </xdr:sp>
    <xdr:clientData/>
  </xdr:oneCellAnchor>
  <xdr:oneCellAnchor>
    <xdr:from>
      <xdr:col>9</xdr:col>
      <xdr:colOff>41068</xdr:colOff>
      <xdr:row>9</xdr:row>
      <xdr:rowOff>152399</xdr:rowOff>
    </xdr:from>
    <xdr:ext cx="784510" cy="280205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77C3CDF6-D556-4E57-99FE-5D5BFB410EB8}"/>
            </a:ext>
          </a:extLst>
        </xdr:cNvPr>
        <xdr:cNvSpPr txBox="1"/>
      </xdr:nvSpPr>
      <xdr:spPr>
        <a:xfrm>
          <a:off x="1927018" y="191452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19N-13W</a:t>
          </a:r>
        </a:p>
      </xdr:txBody>
    </xdr:sp>
    <xdr:clientData/>
  </xdr:oneCellAnchor>
  <xdr:oneCellAnchor>
    <xdr:from>
      <xdr:col>21</xdr:col>
      <xdr:colOff>45027</xdr:colOff>
      <xdr:row>9</xdr:row>
      <xdr:rowOff>168728</xdr:rowOff>
    </xdr:from>
    <xdr:ext cx="784510" cy="280205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333813FC-3C1A-4E0E-A678-5ED5D1325F65}"/>
            </a:ext>
          </a:extLst>
        </xdr:cNvPr>
        <xdr:cNvSpPr txBox="1"/>
      </xdr:nvSpPr>
      <xdr:spPr>
        <a:xfrm>
          <a:off x="4445577" y="19308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19N-11W</a:t>
          </a:r>
        </a:p>
      </xdr:txBody>
    </xdr:sp>
    <xdr:clientData/>
  </xdr:oneCellAnchor>
  <xdr:oneCellAnchor>
    <xdr:from>
      <xdr:col>27</xdr:col>
      <xdr:colOff>24245</xdr:colOff>
      <xdr:row>9</xdr:row>
      <xdr:rowOff>160316</xdr:rowOff>
    </xdr:from>
    <xdr:ext cx="784510" cy="280205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D40952FF-810E-4C5E-87DA-D9CB27593944}"/>
            </a:ext>
          </a:extLst>
        </xdr:cNvPr>
        <xdr:cNvSpPr txBox="1"/>
      </xdr:nvSpPr>
      <xdr:spPr>
        <a:xfrm>
          <a:off x="5682095" y="19224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19N-10W</a:t>
          </a:r>
        </a:p>
      </xdr:txBody>
    </xdr:sp>
    <xdr:clientData/>
  </xdr:oneCellAnchor>
  <xdr:oneCellAnchor>
    <xdr:from>
      <xdr:col>56</xdr:col>
      <xdr:colOff>151904</xdr:colOff>
      <xdr:row>9</xdr:row>
      <xdr:rowOff>176645</xdr:rowOff>
    </xdr:from>
    <xdr:ext cx="706540" cy="280205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8FE04424-3B2D-47A0-8830-3FB47AAB0BFE}"/>
            </a:ext>
          </a:extLst>
        </xdr:cNvPr>
        <xdr:cNvSpPr txBox="1"/>
      </xdr:nvSpPr>
      <xdr:spPr>
        <a:xfrm>
          <a:off x="11886704" y="193877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19N-5W</a:t>
          </a:r>
        </a:p>
      </xdr:txBody>
    </xdr:sp>
    <xdr:clientData/>
  </xdr:oneCellAnchor>
  <xdr:oneCellAnchor>
    <xdr:from>
      <xdr:col>2</xdr:col>
      <xdr:colOff>168234</xdr:colOff>
      <xdr:row>15</xdr:row>
      <xdr:rowOff>131124</xdr:rowOff>
    </xdr:from>
    <xdr:ext cx="784510" cy="468077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CF2AAD82-E584-46EB-AC57-771D131726B1}"/>
            </a:ext>
          </a:extLst>
        </xdr:cNvPr>
        <xdr:cNvSpPr txBox="1"/>
      </xdr:nvSpPr>
      <xdr:spPr>
        <a:xfrm>
          <a:off x="587334" y="3036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18N-14W</a:t>
          </a:r>
        </a:p>
        <a:p>
          <a:endParaRPr lang="en-US" sz="1200" b="1"/>
        </a:p>
      </xdr:txBody>
    </xdr:sp>
    <xdr:clientData/>
  </xdr:oneCellAnchor>
  <xdr:oneCellAnchor>
    <xdr:from>
      <xdr:col>33</xdr:col>
      <xdr:colOff>36120</xdr:colOff>
      <xdr:row>9</xdr:row>
      <xdr:rowOff>159822</xdr:rowOff>
    </xdr:from>
    <xdr:ext cx="706540" cy="280205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C26D2124-CCB1-42EA-9250-C1055A6D6DD1}"/>
            </a:ext>
          </a:extLst>
        </xdr:cNvPr>
        <xdr:cNvSpPr txBox="1"/>
      </xdr:nvSpPr>
      <xdr:spPr>
        <a:xfrm>
          <a:off x="6951270" y="192194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19N-9W</a:t>
          </a:r>
        </a:p>
      </xdr:txBody>
    </xdr:sp>
    <xdr:clientData/>
  </xdr:oneCellAnchor>
  <xdr:oneCellAnchor>
    <xdr:from>
      <xdr:col>50</xdr:col>
      <xdr:colOff>151410</xdr:colOff>
      <xdr:row>9</xdr:row>
      <xdr:rowOff>163780</xdr:rowOff>
    </xdr:from>
    <xdr:ext cx="706540" cy="280205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A5B39511-68E4-4112-9DFD-3517808EEF44}"/>
            </a:ext>
          </a:extLst>
        </xdr:cNvPr>
        <xdr:cNvSpPr txBox="1"/>
      </xdr:nvSpPr>
      <xdr:spPr>
        <a:xfrm>
          <a:off x="10628910" y="1925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19N-6W</a:t>
          </a:r>
        </a:p>
      </xdr:txBody>
    </xdr:sp>
    <xdr:clientData/>
  </xdr:oneCellAnchor>
  <xdr:oneCellAnchor>
    <xdr:from>
      <xdr:col>44</xdr:col>
      <xdr:colOff>204849</xdr:colOff>
      <xdr:row>10</xdr:row>
      <xdr:rowOff>6927</xdr:rowOff>
    </xdr:from>
    <xdr:ext cx="706540" cy="280205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741D34D0-BD03-479F-A8E1-57FC1AB8C70C}"/>
            </a:ext>
          </a:extLst>
        </xdr:cNvPr>
        <xdr:cNvSpPr txBox="1"/>
      </xdr:nvSpPr>
      <xdr:spPr>
        <a:xfrm>
          <a:off x="9425049" y="19595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19N-7W</a:t>
          </a:r>
        </a:p>
      </xdr:txBody>
    </xdr:sp>
    <xdr:clientData/>
  </xdr:oneCellAnchor>
  <xdr:oneCellAnchor>
    <xdr:from>
      <xdr:col>39</xdr:col>
      <xdr:colOff>23256</xdr:colOff>
      <xdr:row>9</xdr:row>
      <xdr:rowOff>159327</xdr:rowOff>
    </xdr:from>
    <xdr:ext cx="706540" cy="280205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D7C0853A-894E-4B68-A5D0-E1569BF803F8}"/>
            </a:ext>
          </a:extLst>
        </xdr:cNvPr>
        <xdr:cNvSpPr txBox="1"/>
      </xdr:nvSpPr>
      <xdr:spPr>
        <a:xfrm>
          <a:off x="8195706" y="19214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19N-8W</a:t>
          </a:r>
        </a:p>
      </xdr:txBody>
    </xdr:sp>
    <xdr:clientData/>
  </xdr:oneCellAnchor>
  <xdr:oneCellAnchor>
    <xdr:from>
      <xdr:col>15</xdr:col>
      <xdr:colOff>51955</xdr:colOff>
      <xdr:row>9</xdr:row>
      <xdr:rowOff>150915</xdr:rowOff>
    </xdr:from>
    <xdr:ext cx="784510" cy="280205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A25BF3E2-F2C8-43B2-A009-510A31549C48}"/>
            </a:ext>
          </a:extLst>
        </xdr:cNvPr>
        <xdr:cNvSpPr txBox="1"/>
      </xdr:nvSpPr>
      <xdr:spPr>
        <a:xfrm>
          <a:off x="3195205" y="191304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19N-12W</a:t>
          </a:r>
        </a:p>
      </xdr:txBody>
    </xdr:sp>
    <xdr:clientData/>
  </xdr:oneCellAnchor>
  <xdr:oneCellAnchor>
    <xdr:from>
      <xdr:col>32</xdr:col>
      <xdr:colOff>172192</xdr:colOff>
      <xdr:row>15</xdr:row>
      <xdr:rowOff>122712</xdr:rowOff>
    </xdr:from>
    <xdr:ext cx="706540" cy="468077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712F51EB-68E9-4010-BF60-F2B48ACF8700}"/>
            </a:ext>
          </a:extLst>
        </xdr:cNvPr>
        <xdr:cNvSpPr txBox="1"/>
      </xdr:nvSpPr>
      <xdr:spPr>
        <a:xfrm>
          <a:off x="6877792" y="302783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18N-9W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101930</xdr:colOff>
      <xdr:row>15</xdr:row>
      <xdr:rowOff>139040</xdr:rowOff>
    </xdr:from>
    <xdr:ext cx="784510" cy="468077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A103BFD8-A2F2-4F26-B828-811349EF9874}"/>
            </a:ext>
          </a:extLst>
        </xdr:cNvPr>
        <xdr:cNvSpPr txBox="1"/>
      </xdr:nvSpPr>
      <xdr:spPr>
        <a:xfrm>
          <a:off x="3035630" y="3044165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18N-12W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180109</xdr:colOff>
      <xdr:row>15</xdr:row>
      <xdr:rowOff>155369</xdr:rowOff>
    </xdr:from>
    <xdr:ext cx="706540" cy="468077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77E2CF10-ED3A-4C17-A948-E434BD6D007F}"/>
            </a:ext>
          </a:extLst>
        </xdr:cNvPr>
        <xdr:cNvSpPr txBox="1"/>
      </xdr:nvSpPr>
      <xdr:spPr>
        <a:xfrm>
          <a:off x="8143009" y="306049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18N-8W</a:t>
          </a:r>
        </a:p>
        <a:p>
          <a:endParaRPr lang="en-US" sz="1200" b="1"/>
        </a:p>
      </xdr:txBody>
    </xdr:sp>
    <xdr:clientData/>
  </xdr:oneCellAnchor>
  <xdr:oneCellAnchor>
    <xdr:from>
      <xdr:col>26</xdr:col>
      <xdr:colOff>122217</xdr:colOff>
      <xdr:row>15</xdr:row>
      <xdr:rowOff>134586</xdr:rowOff>
    </xdr:from>
    <xdr:ext cx="784510" cy="468077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3C3C9F14-2C61-43A8-AD09-14C53ED17DEE}"/>
            </a:ext>
          </a:extLst>
        </xdr:cNvPr>
        <xdr:cNvSpPr txBox="1"/>
      </xdr:nvSpPr>
      <xdr:spPr>
        <a:xfrm>
          <a:off x="5570517" y="303971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18N-10W</a:t>
          </a:r>
        </a:p>
        <a:p>
          <a:endParaRPr lang="en-US" sz="1200" b="1"/>
        </a:p>
      </xdr:txBody>
    </xdr:sp>
    <xdr:clientData/>
  </xdr:oneCellAnchor>
  <xdr:oneCellAnchor>
    <xdr:from>
      <xdr:col>45</xdr:col>
      <xdr:colOff>2474</xdr:colOff>
      <xdr:row>15</xdr:row>
      <xdr:rowOff>138545</xdr:rowOff>
    </xdr:from>
    <xdr:ext cx="706540" cy="468077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FB5E4D83-CA3D-46F9-A28B-B864988E4B2F}"/>
            </a:ext>
          </a:extLst>
        </xdr:cNvPr>
        <xdr:cNvSpPr txBox="1"/>
      </xdr:nvSpPr>
      <xdr:spPr>
        <a:xfrm>
          <a:off x="9432224" y="304367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18N-7W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167244</xdr:colOff>
      <xdr:row>15</xdr:row>
      <xdr:rowOff>142504</xdr:rowOff>
    </xdr:from>
    <xdr:ext cx="784510" cy="468077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C679FAC-64AB-4FAF-827B-6C97B91CB9B0}"/>
            </a:ext>
          </a:extLst>
        </xdr:cNvPr>
        <xdr:cNvSpPr txBox="1"/>
      </xdr:nvSpPr>
      <xdr:spPr>
        <a:xfrm>
          <a:off x="4358244" y="304762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18N-11W</a:t>
          </a:r>
        </a:p>
        <a:p>
          <a:endParaRPr lang="en-US" sz="1200" b="1"/>
        </a:p>
      </xdr:txBody>
    </xdr:sp>
    <xdr:clientData/>
  </xdr:oneCellAnchor>
  <xdr:oneCellAnchor>
    <xdr:from>
      <xdr:col>8</xdr:col>
      <xdr:colOff>146461</xdr:colOff>
      <xdr:row>15</xdr:row>
      <xdr:rowOff>121722</xdr:rowOff>
    </xdr:from>
    <xdr:ext cx="784510" cy="468077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355F46A2-0D64-4F0A-A075-13E4740FCF5E}"/>
            </a:ext>
          </a:extLst>
        </xdr:cNvPr>
        <xdr:cNvSpPr txBox="1"/>
      </xdr:nvSpPr>
      <xdr:spPr>
        <a:xfrm>
          <a:off x="1822861" y="3026847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18N-13W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204354</xdr:colOff>
      <xdr:row>15</xdr:row>
      <xdr:rowOff>142504</xdr:rowOff>
    </xdr:from>
    <xdr:ext cx="706540" cy="468077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2376FFFF-FBDE-420B-A4F6-BFE56BD7B42C}"/>
            </a:ext>
          </a:extLst>
        </xdr:cNvPr>
        <xdr:cNvSpPr txBox="1"/>
      </xdr:nvSpPr>
      <xdr:spPr>
        <a:xfrm>
          <a:off x="10681854" y="3047629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195941</xdr:colOff>
      <xdr:row>15</xdr:row>
      <xdr:rowOff>146462</xdr:rowOff>
    </xdr:from>
    <xdr:ext cx="706540" cy="468077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9653FC97-F2D6-4509-93F5-72D03F57D63D}"/>
            </a:ext>
          </a:extLst>
        </xdr:cNvPr>
        <xdr:cNvSpPr txBox="1"/>
      </xdr:nvSpPr>
      <xdr:spPr>
        <a:xfrm>
          <a:off x="11930741" y="305158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205344</xdr:colOff>
      <xdr:row>21</xdr:row>
      <xdr:rowOff>131124</xdr:rowOff>
    </xdr:from>
    <xdr:ext cx="784510" cy="468077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B4AF1A8D-6EB6-494B-A18B-B4FF200B458C}"/>
            </a:ext>
          </a:extLst>
        </xdr:cNvPr>
        <xdr:cNvSpPr txBox="1"/>
      </xdr:nvSpPr>
      <xdr:spPr>
        <a:xfrm>
          <a:off x="624444" y="4179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17N-14W</a:t>
          </a:r>
        </a:p>
        <a:p>
          <a:endParaRPr lang="en-US" sz="1200" b="1"/>
        </a:p>
      </xdr:txBody>
    </xdr:sp>
    <xdr:clientData/>
  </xdr:oneCellAnchor>
  <xdr:oneCellAnchor>
    <xdr:from>
      <xdr:col>32</xdr:col>
      <xdr:colOff>196932</xdr:colOff>
      <xdr:row>21</xdr:row>
      <xdr:rowOff>147452</xdr:rowOff>
    </xdr:from>
    <xdr:ext cx="706540" cy="468077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8D30206C-5050-496D-A4A2-E198AFD4D136}"/>
            </a:ext>
          </a:extLst>
        </xdr:cNvPr>
        <xdr:cNvSpPr txBox="1"/>
      </xdr:nvSpPr>
      <xdr:spPr>
        <a:xfrm>
          <a:off x="6902532" y="419557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17N-9W</a:t>
          </a:r>
        </a:p>
        <a:p>
          <a:endParaRPr lang="en-US" sz="1200" b="1"/>
        </a:p>
      </xdr:txBody>
    </xdr:sp>
    <xdr:clientData/>
  </xdr:oneCellAnchor>
  <xdr:oneCellAnchor>
    <xdr:from>
      <xdr:col>27</xdr:col>
      <xdr:colOff>2968</xdr:colOff>
      <xdr:row>21</xdr:row>
      <xdr:rowOff>151411</xdr:rowOff>
    </xdr:from>
    <xdr:ext cx="784510" cy="468077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34BB1455-E543-4388-BC57-956C5932B9E2}"/>
            </a:ext>
          </a:extLst>
        </xdr:cNvPr>
        <xdr:cNvSpPr txBox="1"/>
      </xdr:nvSpPr>
      <xdr:spPr>
        <a:xfrm>
          <a:off x="5660818" y="4199536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17N-10W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192479</xdr:colOff>
      <xdr:row>21</xdr:row>
      <xdr:rowOff>142999</xdr:rowOff>
    </xdr:from>
    <xdr:ext cx="784510" cy="468077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60F621F-30FB-4F6A-8404-63D7AD8894F4}"/>
            </a:ext>
          </a:extLst>
        </xdr:cNvPr>
        <xdr:cNvSpPr txBox="1"/>
      </xdr:nvSpPr>
      <xdr:spPr>
        <a:xfrm>
          <a:off x="4383479" y="4191124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17N-11W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171697</xdr:colOff>
      <xdr:row>21</xdr:row>
      <xdr:rowOff>146958</xdr:rowOff>
    </xdr:from>
    <xdr:ext cx="784510" cy="468077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FA05BD57-1749-4FCE-99CE-D70CCB415CCC}"/>
            </a:ext>
          </a:extLst>
        </xdr:cNvPr>
        <xdr:cNvSpPr txBox="1"/>
      </xdr:nvSpPr>
      <xdr:spPr>
        <a:xfrm>
          <a:off x="3105397" y="4195083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17N-12W</a:t>
          </a:r>
        </a:p>
        <a:p>
          <a:endParaRPr lang="en-US" sz="1200" b="1"/>
        </a:p>
      </xdr:txBody>
    </xdr:sp>
    <xdr:clientData/>
  </xdr:oneCellAnchor>
  <xdr:oneCellAnchor>
    <xdr:from>
      <xdr:col>9</xdr:col>
      <xdr:colOff>2473</xdr:colOff>
      <xdr:row>21</xdr:row>
      <xdr:rowOff>126176</xdr:rowOff>
    </xdr:from>
    <xdr:ext cx="784510" cy="468077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7C82E42E-D4BD-49C1-88FF-4C06201FE5D0}"/>
            </a:ext>
          </a:extLst>
        </xdr:cNvPr>
        <xdr:cNvSpPr txBox="1"/>
      </xdr:nvSpPr>
      <xdr:spPr>
        <a:xfrm>
          <a:off x="1888423" y="417430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17N-13W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200891</xdr:colOff>
      <xdr:row>21</xdr:row>
      <xdr:rowOff>139040</xdr:rowOff>
    </xdr:from>
    <xdr:ext cx="706540" cy="468077"/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E807C4D3-3732-4029-9E92-ABD53589DD1D}"/>
            </a:ext>
          </a:extLst>
        </xdr:cNvPr>
        <xdr:cNvSpPr txBox="1"/>
      </xdr:nvSpPr>
      <xdr:spPr>
        <a:xfrm>
          <a:off x="8163791" y="4187165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17N-8W</a:t>
          </a:r>
        </a:p>
        <a:p>
          <a:endParaRPr lang="en-US" sz="1200" b="1"/>
        </a:p>
      </xdr:txBody>
    </xdr:sp>
    <xdr:clientData/>
  </xdr:oneCellAnchor>
  <xdr:oneCellAnchor>
    <xdr:from>
      <xdr:col>44</xdr:col>
      <xdr:colOff>192480</xdr:colOff>
      <xdr:row>21</xdr:row>
      <xdr:rowOff>142999</xdr:rowOff>
    </xdr:from>
    <xdr:ext cx="706540" cy="468077"/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E9FD8259-43A6-4296-BE86-B6187CAA14CB}"/>
            </a:ext>
          </a:extLst>
        </xdr:cNvPr>
        <xdr:cNvSpPr txBox="1"/>
      </xdr:nvSpPr>
      <xdr:spPr>
        <a:xfrm>
          <a:off x="9412680" y="419112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17N-7W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158090</xdr:colOff>
      <xdr:row>21</xdr:row>
      <xdr:rowOff>119125</xdr:rowOff>
    </xdr:from>
    <xdr:ext cx="706540" cy="468077"/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C889E98F-D67B-4296-A467-E18380F9C93E}"/>
            </a:ext>
          </a:extLst>
        </xdr:cNvPr>
        <xdr:cNvSpPr txBox="1"/>
      </xdr:nvSpPr>
      <xdr:spPr>
        <a:xfrm>
          <a:off x="10635590" y="416725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197922</xdr:colOff>
      <xdr:row>21</xdr:row>
      <xdr:rowOff>148441</xdr:rowOff>
    </xdr:from>
    <xdr:ext cx="706540" cy="468077"/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5DA24BC-71C5-432F-8595-D67E76FB1587}"/>
            </a:ext>
          </a:extLst>
        </xdr:cNvPr>
        <xdr:cNvSpPr txBox="1"/>
      </xdr:nvSpPr>
      <xdr:spPr>
        <a:xfrm>
          <a:off x="11932722" y="4196566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168233</xdr:colOff>
      <xdr:row>27</xdr:row>
      <xdr:rowOff>143494</xdr:rowOff>
    </xdr:from>
    <xdr:ext cx="784510" cy="280205"/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11C5D429-C70E-43B0-9201-B9FF810BFAD9}"/>
            </a:ext>
          </a:extLst>
        </xdr:cNvPr>
        <xdr:cNvSpPr txBox="1"/>
      </xdr:nvSpPr>
      <xdr:spPr>
        <a:xfrm>
          <a:off x="587333" y="53346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16N-14W</a:t>
          </a:r>
        </a:p>
      </xdr:txBody>
    </xdr:sp>
    <xdr:clientData/>
  </xdr:oneCellAnchor>
  <xdr:oneCellAnchor>
    <xdr:from>
      <xdr:col>33</xdr:col>
      <xdr:colOff>60859</xdr:colOff>
      <xdr:row>27</xdr:row>
      <xdr:rowOff>122711</xdr:rowOff>
    </xdr:from>
    <xdr:ext cx="706540" cy="280205"/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512DAB8F-0836-4CA3-B41E-906680A9E351}"/>
            </a:ext>
          </a:extLst>
        </xdr:cNvPr>
        <xdr:cNvSpPr txBox="1"/>
      </xdr:nvSpPr>
      <xdr:spPr>
        <a:xfrm>
          <a:off x="6976009" y="531383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16N-9W</a:t>
          </a:r>
        </a:p>
      </xdr:txBody>
    </xdr:sp>
    <xdr:clientData/>
  </xdr:oneCellAnchor>
  <xdr:oneCellAnchor>
    <xdr:from>
      <xdr:col>27</xdr:col>
      <xdr:colOff>15337</xdr:colOff>
      <xdr:row>27</xdr:row>
      <xdr:rowOff>151411</xdr:rowOff>
    </xdr:from>
    <xdr:ext cx="784510" cy="280205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1F00F843-B5F6-4297-97A6-CEA650E58C84}"/>
            </a:ext>
          </a:extLst>
        </xdr:cNvPr>
        <xdr:cNvSpPr txBox="1"/>
      </xdr:nvSpPr>
      <xdr:spPr>
        <a:xfrm>
          <a:off x="5673187" y="534253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16N-10W</a:t>
          </a:r>
        </a:p>
      </xdr:txBody>
    </xdr:sp>
    <xdr:clientData/>
  </xdr:oneCellAnchor>
  <xdr:oneCellAnchor>
    <xdr:from>
      <xdr:col>21</xdr:col>
      <xdr:colOff>31666</xdr:colOff>
      <xdr:row>27</xdr:row>
      <xdr:rowOff>167739</xdr:rowOff>
    </xdr:from>
    <xdr:ext cx="784510" cy="280205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739EFD01-3B98-4C78-B633-723733C1E132}"/>
            </a:ext>
          </a:extLst>
        </xdr:cNvPr>
        <xdr:cNvSpPr txBox="1"/>
      </xdr:nvSpPr>
      <xdr:spPr>
        <a:xfrm>
          <a:off x="4432216" y="535886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16N-11W</a:t>
          </a:r>
        </a:p>
      </xdr:txBody>
    </xdr:sp>
    <xdr:clientData/>
  </xdr:oneCellAnchor>
  <xdr:oneCellAnchor>
    <xdr:from>
      <xdr:col>14</xdr:col>
      <xdr:colOff>196436</xdr:colOff>
      <xdr:row>27</xdr:row>
      <xdr:rowOff>159328</xdr:rowOff>
    </xdr:from>
    <xdr:ext cx="784510" cy="280205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745C5AC5-8B84-4431-93B0-F8F697CEE5BC}"/>
            </a:ext>
          </a:extLst>
        </xdr:cNvPr>
        <xdr:cNvSpPr txBox="1"/>
      </xdr:nvSpPr>
      <xdr:spPr>
        <a:xfrm>
          <a:off x="3130136" y="53504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16N-12W</a:t>
          </a:r>
        </a:p>
      </xdr:txBody>
    </xdr:sp>
    <xdr:clientData/>
  </xdr:oneCellAnchor>
  <xdr:oneCellAnchor>
    <xdr:from>
      <xdr:col>8</xdr:col>
      <xdr:colOff>188024</xdr:colOff>
      <xdr:row>27</xdr:row>
      <xdr:rowOff>150916</xdr:rowOff>
    </xdr:from>
    <xdr:ext cx="784510" cy="280205"/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F5508E57-AF0F-4905-BE67-20F538FD45E0}"/>
            </a:ext>
          </a:extLst>
        </xdr:cNvPr>
        <xdr:cNvSpPr txBox="1"/>
      </xdr:nvSpPr>
      <xdr:spPr>
        <a:xfrm>
          <a:off x="1864424" y="53420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16N-13W</a:t>
          </a:r>
        </a:p>
      </xdr:txBody>
    </xdr:sp>
    <xdr:clientData/>
  </xdr:oneCellAnchor>
  <xdr:oneCellAnchor>
    <xdr:from>
      <xdr:col>50</xdr:col>
      <xdr:colOff>176149</xdr:colOff>
      <xdr:row>27</xdr:row>
      <xdr:rowOff>163780</xdr:rowOff>
    </xdr:from>
    <xdr:ext cx="706540" cy="280205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6EABA1F-56DE-43A5-B643-BFF2C89CDD1F}"/>
            </a:ext>
          </a:extLst>
        </xdr:cNvPr>
        <xdr:cNvSpPr txBox="1"/>
      </xdr:nvSpPr>
      <xdr:spPr>
        <a:xfrm>
          <a:off x="10653649" y="5354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16N-6W</a:t>
          </a:r>
        </a:p>
      </xdr:txBody>
    </xdr:sp>
    <xdr:clientData/>
  </xdr:oneCellAnchor>
  <xdr:oneCellAnchor>
    <xdr:from>
      <xdr:col>44</xdr:col>
      <xdr:colOff>180108</xdr:colOff>
      <xdr:row>27</xdr:row>
      <xdr:rowOff>167738</xdr:rowOff>
    </xdr:from>
    <xdr:ext cx="706540" cy="280205"/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988D032E-0854-40FF-B8A3-EE39F1E37C72}"/>
            </a:ext>
          </a:extLst>
        </xdr:cNvPr>
        <xdr:cNvSpPr txBox="1"/>
      </xdr:nvSpPr>
      <xdr:spPr>
        <a:xfrm>
          <a:off x="9400308" y="535886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16N-7W</a:t>
          </a:r>
        </a:p>
      </xdr:txBody>
    </xdr:sp>
    <xdr:clientData/>
  </xdr:oneCellAnchor>
  <xdr:oneCellAnchor>
    <xdr:from>
      <xdr:col>56</xdr:col>
      <xdr:colOff>134585</xdr:colOff>
      <xdr:row>27</xdr:row>
      <xdr:rowOff>146957</xdr:rowOff>
    </xdr:from>
    <xdr:ext cx="706540" cy="280205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F316BD99-C726-4C3D-ACDD-225BCE552557}"/>
            </a:ext>
          </a:extLst>
        </xdr:cNvPr>
        <xdr:cNvSpPr txBox="1"/>
      </xdr:nvSpPr>
      <xdr:spPr>
        <a:xfrm>
          <a:off x="11869385" y="533808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16N-5W</a:t>
          </a:r>
        </a:p>
      </xdr:txBody>
    </xdr:sp>
    <xdr:clientData/>
  </xdr:oneCellAnchor>
  <xdr:oneCellAnchor>
    <xdr:from>
      <xdr:col>38</xdr:col>
      <xdr:colOff>113803</xdr:colOff>
      <xdr:row>27</xdr:row>
      <xdr:rowOff>175655</xdr:rowOff>
    </xdr:from>
    <xdr:ext cx="706540" cy="280205"/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72335DDF-22F6-4ECB-B985-BF4DA750A001}"/>
            </a:ext>
          </a:extLst>
        </xdr:cNvPr>
        <xdr:cNvSpPr txBox="1"/>
      </xdr:nvSpPr>
      <xdr:spPr>
        <a:xfrm>
          <a:off x="8076703" y="5366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16N-8W</a:t>
          </a:r>
        </a:p>
      </xdr:txBody>
    </xdr:sp>
    <xdr:clientData/>
  </xdr:oneCellAnchor>
  <xdr:oneCellAnchor>
    <xdr:from>
      <xdr:col>2</xdr:col>
      <xdr:colOff>131122</xdr:colOff>
      <xdr:row>33</xdr:row>
      <xdr:rowOff>155865</xdr:rowOff>
    </xdr:from>
    <xdr:ext cx="784510" cy="280205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D09EAB38-FB15-4DB1-AE50-6ACB45011928}"/>
            </a:ext>
          </a:extLst>
        </xdr:cNvPr>
        <xdr:cNvSpPr txBox="1"/>
      </xdr:nvSpPr>
      <xdr:spPr>
        <a:xfrm>
          <a:off x="550222" y="648999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15N-14W</a:t>
          </a:r>
        </a:p>
      </xdr:txBody>
    </xdr:sp>
    <xdr:clientData/>
  </xdr:oneCellAnchor>
  <xdr:oneCellAnchor>
    <xdr:from>
      <xdr:col>26</xdr:col>
      <xdr:colOff>135081</xdr:colOff>
      <xdr:row>33</xdr:row>
      <xdr:rowOff>147454</xdr:rowOff>
    </xdr:from>
    <xdr:ext cx="784510" cy="280205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803A7ADB-52CD-4DAF-8CF2-C909F3C8C569}"/>
            </a:ext>
          </a:extLst>
        </xdr:cNvPr>
        <xdr:cNvSpPr txBox="1"/>
      </xdr:nvSpPr>
      <xdr:spPr>
        <a:xfrm>
          <a:off x="5583381" y="648157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15N-10W</a:t>
          </a:r>
        </a:p>
      </xdr:txBody>
    </xdr:sp>
    <xdr:clientData/>
  </xdr:oneCellAnchor>
  <xdr:oneCellAnchor>
    <xdr:from>
      <xdr:col>21</xdr:col>
      <xdr:colOff>2967</xdr:colOff>
      <xdr:row>33</xdr:row>
      <xdr:rowOff>163782</xdr:rowOff>
    </xdr:from>
    <xdr:ext cx="784510" cy="280205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271D6BDD-707D-4428-B058-1D2402AF22AC}"/>
            </a:ext>
          </a:extLst>
        </xdr:cNvPr>
        <xdr:cNvSpPr txBox="1"/>
      </xdr:nvSpPr>
      <xdr:spPr>
        <a:xfrm>
          <a:off x="4403517" y="6497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8</xdr:col>
      <xdr:colOff>118257</xdr:colOff>
      <xdr:row>33</xdr:row>
      <xdr:rowOff>155370</xdr:rowOff>
    </xdr:from>
    <xdr:ext cx="784510" cy="280205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777725B8-72D7-4051-938A-07F5F30FE007}"/>
            </a:ext>
          </a:extLst>
        </xdr:cNvPr>
        <xdr:cNvSpPr txBox="1"/>
      </xdr:nvSpPr>
      <xdr:spPr>
        <a:xfrm>
          <a:off x="1794657" y="64894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15N-13W</a:t>
          </a:r>
        </a:p>
      </xdr:txBody>
    </xdr:sp>
    <xdr:clientData/>
  </xdr:oneCellAnchor>
  <xdr:oneCellAnchor>
    <xdr:from>
      <xdr:col>15</xdr:col>
      <xdr:colOff>10884</xdr:colOff>
      <xdr:row>33</xdr:row>
      <xdr:rowOff>159329</xdr:rowOff>
    </xdr:from>
    <xdr:ext cx="784510" cy="280205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144442E1-D3DF-49E5-A31E-51CC7A85A7E0}"/>
            </a:ext>
          </a:extLst>
        </xdr:cNvPr>
        <xdr:cNvSpPr txBox="1"/>
      </xdr:nvSpPr>
      <xdr:spPr>
        <a:xfrm>
          <a:off x="3154134" y="649345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15N-12W</a:t>
          </a:r>
        </a:p>
      </xdr:txBody>
    </xdr:sp>
    <xdr:clientData/>
  </xdr:oneCellAnchor>
  <xdr:oneCellAnchor>
    <xdr:from>
      <xdr:col>50</xdr:col>
      <xdr:colOff>163780</xdr:colOff>
      <xdr:row>33</xdr:row>
      <xdr:rowOff>139043</xdr:rowOff>
    </xdr:from>
    <xdr:ext cx="706540" cy="280205"/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B295CFE7-B739-40A3-AC8F-A494CD6ABA31}"/>
            </a:ext>
          </a:extLst>
        </xdr:cNvPr>
        <xdr:cNvSpPr txBox="1"/>
      </xdr:nvSpPr>
      <xdr:spPr>
        <a:xfrm>
          <a:off x="10641280" y="64731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15N-6W</a:t>
          </a:r>
        </a:p>
      </xdr:txBody>
    </xdr:sp>
    <xdr:clientData/>
  </xdr:oneCellAnchor>
  <xdr:oneCellAnchor>
    <xdr:from>
      <xdr:col>38</xdr:col>
      <xdr:colOff>167738</xdr:colOff>
      <xdr:row>33</xdr:row>
      <xdr:rowOff>143001</xdr:rowOff>
    </xdr:from>
    <xdr:ext cx="706540" cy="280205"/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E2D0A929-76CD-469B-9389-F423AEBF9FD6}"/>
            </a:ext>
          </a:extLst>
        </xdr:cNvPr>
        <xdr:cNvSpPr txBox="1"/>
      </xdr:nvSpPr>
      <xdr:spPr>
        <a:xfrm>
          <a:off x="8130638" y="647712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15N-8W</a:t>
          </a:r>
        </a:p>
      </xdr:txBody>
    </xdr:sp>
    <xdr:clientData/>
  </xdr:oneCellAnchor>
  <xdr:oneCellAnchor>
    <xdr:from>
      <xdr:col>56</xdr:col>
      <xdr:colOff>159325</xdr:colOff>
      <xdr:row>33</xdr:row>
      <xdr:rowOff>159329</xdr:rowOff>
    </xdr:from>
    <xdr:ext cx="706540" cy="280205"/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D0A07A5D-0D45-4F19-848A-0E09B96338D2}"/>
            </a:ext>
          </a:extLst>
        </xdr:cNvPr>
        <xdr:cNvSpPr txBox="1"/>
      </xdr:nvSpPr>
      <xdr:spPr>
        <a:xfrm>
          <a:off x="11894125" y="649345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15N-5W</a:t>
          </a:r>
        </a:p>
      </xdr:txBody>
    </xdr:sp>
    <xdr:clientData/>
  </xdr:oneCellAnchor>
  <xdr:oneCellAnchor>
    <xdr:from>
      <xdr:col>32</xdr:col>
      <xdr:colOff>200395</xdr:colOff>
      <xdr:row>33</xdr:row>
      <xdr:rowOff>175658</xdr:rowOff>
    </xdr:from>
    <xdr:ext cx="706540" cy="280205"/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7BA09F87-F68B-43B2-8DE4-077449C2E768}"/>
            </a:ext>
          </a:extLst>
        </xdr:cNvPr>
        <xdr:cNvSpPr txBox="1"/>
      </xdr:nvSpPr>
      <xdr:spPr>
        <a:xfrm>
          <a:off x="6905995" y="650978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15N-9W</a:t>
          </a:r>
        </a:p>
      </xdr:txBody>
    </xdr:sp>
    <xdr:clientData/>
  </xdr:oneCellAnchor>
  <xdr:oneCellAnchor>
    <xdr:from>
      <xdr:col>44</xdr:col>
      <xdr:colOff>154873</xdr:colOff>
      <xdr:row>33</xdr:row>
      <xdr:rowOff>179616</xdr:rowOff>
    </xdr:from>
    <xdr:ext cx="706540" cy="280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EEECD32A-1557-475B-90AD-9D0ED60D4EE8}"/>
            </a:ext>
          </a:extLst>
        </xdr:cNvPr>
        <xdr:cNvSpPr txBox="1"/>
      </xdr:nvSpPr>
      <xdr:spPr>
        <a:xfrm>
          <a:off x="9375073" y="651374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15N-7W</a:t>
          </a:r>
        </a:p>
      </xdr:txBody>
    </xdr:sp>
    <xdr:clientData/>
  </xdr:oneCellAnchor>
  <xdr:oneCellAnchor>
    <xdr:from>
      <xdr:col>2</xdr:col>
      <xdr:colOff>135080</xdr:colOff>
      <xdr:row>39</xdr:row>
      <xdr:rowOff>159823</xdr:rowOff>
    </xdr:from>
    <xdr:ext cx="784510" cy="280205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9910A78F-F321-4B4A-89C1-3D016B2DB743}"/>
            </a:ext>
          </a:extLst>
        </xdr:cNvPr>
        <xdr:cNvSpPr txBox="1"/>
      </xdr:nvSpPr>
      <xdr:spPr>
        <a:xfrm>
          <a:off x="554180" y="763694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14N-14W</a:t>
          </a:r>
        </a:p>
      </xdr:txBody>
    </xdr:sp>
    <xdr:clientData/>
  </xdr:oneCellAnchor>
  <xdr:oneCellAnchor>
    <xdr:from>
      <xdr:col>8</xdr:col>
      <xdr:colOff>139038</xdr:colOff>
      <xdr:row>39</xdr:row>
      <xdr:rowOff>163782</xdr:rowOff>
    </xdr:from>
    <xdr:ext cx="784510" cy="280205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29DB87B4-60F1-4742-9CB1-48658B989B39}"/>
            </a:ext>
          </a:extLst>
        </xdr:cNvPr>
        <xdr:cNvSpPr txBox="1"/>
      </xdr:nvSpPr>
      <xdr:spPr>
        <a:xfrm>
          <a:off x="1815438" y="7640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14N-13W</a:t>
          </a:r>
        </a:p>
      </xdr:txBody>
    </xdr:sp>
    <xdr:clientData/>
  </xdr:oneCellAnchor>
  <xdr:oneCellAnchor>
    <xdr:from>
      <xdr:col>14</xdr:col>
      <xdr:colOff>167737</xdr:colOff>
      <xdr:row>39</xdr:row>
      <xdr:rowOff>167740</xdr:rowOff>
    </xdr:from>
    <xdr:ext cx="784510" cy="280205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88552677-14B9-41AC-A648-64035B77BF0F}"/>
            </a:ext>
          </a:extLst>
        </xdr:cNvPr>
        <xdr:cNvSpPr txBox="1"/>
      </xdr:nvSpPr>
      <xdr:spPr>
        <a:xfrm>
          <a:off x="3101437" y="764486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14N-12W</a:t>
          </a:r>
        </a:p>
      </xdr:txBody>
    </xdr:sp>
    <xdr:clientData/>
  </xdr:oneCellAnchor>
  <xdr:oneCellAnchor>
    <xdr:from>
      <xdr:col>20</xdr:col>
      <xdr:colOff>146956</xdr:colOff>
      <xdr:row>39</xdr:row>
      <xdr:rowOff>171698</xdr:rowOff>
    </xdr:from>
    <xdr:ext cx="784510" cy="280205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62FA4976-C85F-4649-9E6C-4B0AC67285A1}"/>
            </a:ext>
          </a:extLst>
        </xdr:cNvPr>
        <xdr:cNvSpPr txBox="1"/>
      </xdr:nvSpPr>
      <xdr:spPr>
        <a:xfrm>
          <a:off x="4337956" y="764882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14N-11W</a:t>
          </a:r>
        </a:p>
      </xdr:txBody>
    </xdr:sp>
    <xdr:clientData/>
  </xdr:oneCellAnchor>
  <xdr:oneCellAnchor>
    <xdr:from>
      <xdr:col>27</xdr:col>
      <xdr:colOff>37110</xdr:colOff>
      <xdr:row>39</xdr:row>
      <xdr:rowOff>160812</xdr:rowOff>
    </xdr:from>
    <xdr:ext cx="784510" cy="280205"/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61F43464-3D85-4BE6-B368-CA3B859F6C34}"/>
            </a:ext>
          </a:extLst>
        </xdr:cNvPr>
        <xdr:cNvSpPr txBox="1"/>
      </xdr:nvSpPr>
      <xdr:spPr>
        <a:xfrm>
          <a:off x="5694960" y="763793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14N-10W</a:t>
          </a:r>
        </a:p>
      </xdr:txBody>
    </xdr:sp>
    <xdr:clientData/>
  </xdr:oneCellAnchor>
  <xdr:oneCellAnchor>
    <xdr:from>
      <xdr:col>32</xdr:col>
      <xdr:colOff>201880</xdr:colOff>
      <xdr:row>39</xdr:row>
      <xdr:rowOff>152400</xdr:rowOff>
    </xdr:from>
    <xdr:ext cx="706540" cy="280205"/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0AEDC99E-ABFE-4956-89D4-D3BC90404211}"/>
            </a:ext>
          </a:extLst>
        </xdr:cNvPr>
        <xdr:cNvSpPr txBox="1"/>
      </xdr:nvSpPr>
      <xdr:spPr>
        <a:xfrm>
          <a:off x="6907480" y="7629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14N-9W</a:t>
          </a:r>
        </a:p>
      </xdr:txBody>
    </xdr:sp>
    <xdr:clientData/>
  </xdr:oneCellAnchor>
  <xdr:oneCellAnchor>
    <xdr:from>
      <xdr:col>38</xdr:col>
      <xdr:colOff>160811</xdr:colOff>
      <xdr:row>39</xdr:row>
      <xdr:rowOff>136071</xdr:rowOff>
    </xdr:from>
    <xdr:ext cx="706540" cy="280205"/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BA4BB19A-3530-41D2-83C6-89FC4511AAE4}"/>
            </a:ext>
          </a:extLst>
        </xdr:cNvPr>
        <xdr:cNvSpPr txBox="1"/>
      </xdr:nvSpPr>
      <xdr:spPr>
        <a:xfrm>
          <a:off x="8123711" y="761319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14N-8W</a:t>
          </a:r>
        </a:p>
      </xdr:txBody>
    </xdr:sp>
    <xdr:clientData/>
  </xdr:oneCellAnchor>
  <xdr:oneCellAnchor>
    <xdr:from>
      <xdr:col>44</xdr:col>
      <xdr:colOff>160812</xdr:colOff>
      <xdr:row>39</xdr:row>
      <xdr:rowOff>148442</xdr:rowOff>
    </xdr:from>
    <xdr:ext cx="706540" cy="280205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17723FAE-2309-4FEC-B1BD-2DE5ED5A4CB7}"/>
            </a:ext>
          </a:extLst>
        </xdr:cNvPr>
        <xdr:cNvSpPr txBox="1"/>
      </xdr:nvSpPr>
      <xdr:spPr>
        <a:xfrm>
          <a:off x="9381012" y="762556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14N-7W</a:t>
          </a:r>
        </a:p>
      </xdr:txBody>
    </xdr:sp>
    <xdr:clientData/>
  </xdr:oneCellAnchor>
  <xdr:oneCellAnchor>
    <xdr:from>
      <xdr:col>50</xdr:col>
      <xdr:colOff>197923</xdr:colOff>
      <xdr:row>39</xdr:row>
      <xdr:rowOff>160812</xdr:rowOff>
    </xdr:from>
    <xdr:ext cx="706540" cy="280205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EF53A79-0D9C-433B-8245-4B4FB6E90636}"/>
            </a:ext>
          </a:extLst>
        </xdr:cNvPr>
        <xdr:cNvSpPr txBox="1"/>
      </xdr:nvSpPr>
      <xdr:spPr>
        <a:xfrm>
          <a:off x="10675423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14N-6W</a:t>
          </a:r>
        </a:p>
      </xdr:txBody>
    </xdr:sp>
    <xdr:clientData/>
  </xdr:oneCellAnchor>
  <xdr:oneCellAnchor>
    <xdr:from>
      <xdr:col>56</xdr:col>
      <xdr:colOff>173182</xdr:colOff>
      <xdr:row>39</xdr:row>
      <xdr:rowOff>160812</xdr:rowOff>
    </xdr:from>
    <xdr:ext cx="706540" cy="280205"/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8549B4FB-C750-4256-A657-A790967F9E18}"/>
            </a:ext>
          </a:extLst>
        </xdr:cNvPr>
        <xdr:cNvSpPr txBox="1"/>
      </xdr:nvSpPr>
      <xdr:spPr>
        <a:xfrm>
          <a:off x="11907982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14N-5W</a:t>
          </a:r>
        </a:p>
      </xdr:txBody>
    </xdr:sp>
    <xdr:clientData/>
  </xdr:oneCellAnchor>
  <xdr:oneCellAnchor>
    <xdr:from>
      <xdr:col>2</xdr:col>
      <xdr:colOff>126668</xdr:colOff>
      <xdr:row>45</xdr:row>
      <xdr:rowOff>139041</xdr:rowOff>
    </xdr:from>
    <xdr:ext cx="784510" cy="280205"/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2EB5368E-4E74-4034-A29F-DEF1FB400EA5}"/>
            </a:ext>
          </a:extLst>
        </xdr:cNvPr>
        <xdr:cNvSpPr txBox="1"/>
      </xdr:nvSpPr>
      <xdr:spPr>
        <a:xfrm>
          <a:off x="545768" y="875916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13N-14W</a:t>
          </a:r>
        </a:p>
      </xdr:txBody>
    </xdr:sp>
    <xdr:clientData/>
  </xdr:oneCellAnchor>
  <xdr:oneCellAnchor>
    <xdr:from>
      <xdr:col>45</xdr:col>
      <xdr:colOff>6925</xdr:colOff>
      <xdr:row>45</xdr:row>
      <xdr:rowOff>142999</xdr:rowOff>
    </xdr:from>
    <xdr:ext cx="706540" cy="280205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14817D9D-489F-4A51-8082-E7E3732D75E8}"/>
            </a:ext>
          </a:extLst>
        </xdr:cNvPr>
        <xdr:cNvSpPr txBox="1"/>
      </xdr:nvSpPr>
      <xdr:spPr>
        <a:xfrm>
          <a:off x="9436675" y="876312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13N-7W</a:t>
          </a:r>
        </a:p>
      </xdr:txBody>
    </xdr:sp>
    <xdr:clientData/>
  </xdr:oneCellAnchor>
  <xdr:oneCellAnchor>
    <xdr:from>
      <xdr:col>14</xdr:col>
      <xdr:colOff>146955</xdr:colOff>
      <xdr:row>45</xdr:row>
      <xdr:rowOff>134588</xdr:rowOff>
    </xdr:from>
    <xdr:ext cx="784510" cy="280205"/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26A2FA81-3522-494B-B225-D66FF2FFB530}"/>
            </a:ext>
          </a:extLst>
        </xdr:cNvPr>
        <xdr:cNvSpPr txBox="1"/>
      </xdr:nvSpPr>
      <xdr:spPr>
        <a:xfrm>
          <a:off x="3080655" y="875471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13N-12W</a:t>
          </a:r>
        </a:p>
      </xdr:txBody>
    </xdr:sp>
    <xdr:clientData/>
  </xdr:oneCellAnchor>
  <xdr:oneCellAnchor>
    <xdr:from>
      <xdr:col>8</xdr:col>
      <xdr:colOff>188023</xdr:colOff>
      <xdr:row>45</xdr:row>
      <xdr:rowOff>163286</xdr:rowOff>
    </xdr:from>
    <xdr:ext cx="784510" cy="280205"/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FF1D846E-8867-478D-A13F-FDCDDA49C9F7}"/>
            </a:ext>
          </a:extLst>
        </xdr:cNvPr>
        <xdr:cNvSpPr txBox="1"/>
      </xdr:nvSpPr>
      <xdr:spPr>
        <a:xfrm>
          <a:off x="1864423" y="878341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13N-13W</a:t>
          </a:r>
        </a:p>
      </xdr:txBody>
    </xdr:sp>
    <xdr:clientData/>
  </xdr:oneCellAnchor>
  <xdr:oneCellAnchor>
    <xdr:from>
      <xdr:col>20</xdr:col>
      <xdr:colOff>179612</xdr:colOff>
      <xdr:row>45</xdr:row>
      <xdr:rowOff>154875</xdr:rowOff>
    </xdr:from>
    <xdr:ext cx="784510" cy="280205"/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0703BA02-F355-4450-8906-7602E41CB06F}"/>
            </a:ext>
          </a:extLst>
        </xdr:cNvPr>
        <xdr:cNvSpPr txBox="1"/>
      </xdr:nvSpPr>
      <xdr:spPr>
        <a:xfrm>
          <a:off x="4370612" y="877500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13N-11W</a:t>
          </a:r>
        </a:p>
      </xdr:txBody>
    </xdr:sp>
    <xdr:clientData/>
  </xdr:oneCellAnchor>
  <xdr:oneCellAnchor>
    <xdr:from>
      <xdr:col>32</xdr:col>
      <xdr:colOff>208310</xdr:colOff>
      <xdr:row>45</xdr:row>
      <xdr:rowOff>134093</xdr:rowOff>
    </xdr:from>
    <xdr:ext cx="706540" cy="280205"/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EB247608-66FD-466A-80D9-2C1E2182D763}"/>
            </a:ext>
          </a:extLst>
        </xdr:cNvPr>
        <xdr:cNvSpPr txBox="1"/>
      </xdr:nvSpPr>
      <xdr:spPr>
        <a:xfrm>
          <a:off x="6913910" y="87542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13N-9W</a:t>
          </a:r>
        </a:p>
      </xdr:txBody>
    </xdr:sp>
    <xdr:clientData/>
  </xdr:oneCellAnchor>
  <xdr:oneCellAnchor>
    <xdr:from>
      <xdr:col>27</xdr:col>
      <xdr:colOff>14346</xdr:colOff>
      <xdr:row>45</xdr:row>
      <xdr:rowOff>138051</xdr:rowOff>
    </xdr:from>
    <xdr:ext cx="784510" cy="280205"/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3F88BE08-CA29-435A-BC3C-F06CB8803C48}"/>
            </a:ext>
          </a:extLst>
        </xdr:cNvPr>
        <xdr:cNvSpPr txBox="1"/>
      </xdr:nvSpPr>
      <xdr:spPr>
        <a:xfrm>
          <a:off x="5672196" y="875817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13N-10W</a:t>
          </a:r>
        </a:p>
      </xdr:txBody>
    </xdr:sp>
    <xdr:clientData/>
  </xdr:oneCellAnchor>
  <xdr:oneCellAnchor>
    <xdr:from>
      <xdr:col>38</xdr:col>
      <xdr:colOff>166747</xdr:colOff>
      <xdr:row>45</xdr:row>
      <xdr:rowOff>154379</xdr:rowOff>
    </xdr:from>
    <xdr:ext cx="706540" cy="280205"/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459F0D03-8712-4B5F-9869-1D2EEA08A6D9}"/>
            </a:ext>
          </a:extLst>
        </xdr:cNvPr>
        <xdr:cNvSpPr txBox="1"/>
      </xdr:nvSpPr>
      <xdr:spPr>
        <a:xfrm>
          <a:off x="8129647" y="877450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13N-8W</a:t>
          </a:r>
        </a:p>
      </xdr:txBody>
    </xdr:sp>
    <xdr:clientData/>
  </xdr:oneCellAnchor>
  <xdr:oneCellAnchor>
    <xdr:from>
      <xdr:col>50</xdr:col>
      <xdr:colOff>197923</xdr:colOff>
      <xdr:row>45</xdr:row>
      <xdr:rowOff>136072</xdr:rowOff>
    </xdr:from>
    <xdr:ext cx="706540" cy="280205"/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675EF6C7-901F-48DF-A8E7-B92874D6661B}"/>
            </a:ext>
          </a:extLst>
        </xdr:cNvPr>
        <xdr:cNvSpPr txBox="1"/>
      </xdr:nvSpPr>
      <xdr:spPr>
        <a:xfrm>
          <a:off x="10675423" y="87561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13N-6W</a:t>
          </a:r>
        </a:p>
      </xdr:txBody>
    </xdr:sp>
    <xdr:clientData/>
  </xdr:oneCellAnchor>
  <xdr:oneCellAnchor>
    <xdr:from>
      <xdr:col>56</xdr:col>
      <xdr:colOff>177141</xdr:colOff>
      <xdr:row>45</xdr:row>
      <xdr:rowOff>140030</xdr:rowOff>
    </xdr:from>
    <xdr:ext cx="706540" cy="280205"/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2A3D25B4-4401-41AA-A0BF-9EFE84499B12}"/>
            </a:ext>
          </a:extLst>
        </xdr:cNvPr>
        <xdr:cNvSpPr txBox="1"/>
      </xdr:nvSpPr>
      <xdr:spPr>
        <a:xfrm>
          <a:off x="11911941" y="876015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13N-5W</a:t>
          </a:r>
        </a:p>
      </xdr:txBody>
    </xdr:sp>
    <xdr:clientData/>
  </xdr:oneCellAnchor>
  <xdr:oneCellAnchor>
    <xdr:from>
      <xdr:col>2</xdr:col>
      <xdr:colOff>71438</xdr:colOff>
      <xdr:row>51</xdr:row>
      <xdr:rowOff>155760</xdr:rowOff>
    </xdr:from>
    <xdr:ext cx="784510" cy="280205"/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69F53AF8-C92F-4DE8-B3D7-906FD5E4F00A}"/>
            </a:ext>
          </a:extLst>
        </xdr:cNvPr>
        <xdr:cNvSpPr txBox="1"/>
      </xdr:nvSpPr>
      <xdr:spPr>
        <a:xfrm>
          <a:off x="490538" y="9918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12N-14W</a:t>
          </a:r>
        </a:p>
      </xdr:txBody>
    </xdr:sp>
    <xdr:clientData/>
  </xdr:oneCellAnchor>
  <xdr:oneCellAnchor>
    <xdr:from>
      <xdr:col>44</xdr:col>
      <xdr:colOff>94570</xdr:colOff>
      <xdr:row>51</xdr:row>
      <xdr:rowOff>167655</xdr:rowOff>
    </xdr:from>
    <xdr:ext cx="706540" cy="280205"/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F7A7BC46-F89F-4D1F-919C-E4BCB05390FD}"/>
            </a:ext>
          </a:extLst>
        </xdr:cNvPr>
        <xdr:cNvSpPr txBox="1"/>
      </xdr:nvSpPr>
      <xdr:spPr>
        <a:xfrm>
          <a:off x="9314770" y="9930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12N-7W</a:t>
          </a:r>
        </a:p>
      </xdr:txBody>
    </xdr:sp>
    <xdr:clientData/>
  </xdr:oneCellAnchor>
  <xdr:oneCellAnchor>
    <xdr:from>
      <xdr:col>14</xdr:col>
      <xdr:colOff>91725</xdr:colOff>
      <xdr:row>51</xdr:row>
      <xdr:rowOff>151307</xdr:rowOff>
    </xdr:from>
    <xdr:ext cx="784510" cy="280205"/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CCB5B3A9-9698-42D9-9003-3E1CC30162EE}"/>
            </a:ext>
          </a:extLst>
        </xdr:cNvPr>
        <xdr:cNvSpPr txBox="1"/>
      </xdr:nvSpPr>
      <xdr:spPr>
        <a:xfrm>
          <a:off x="3025425" y="9914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12N-12W</a:t>
          </a:r>
        </a:p>
      </xdr:txBody>
    </xdr:sp>
    <xdr:clientData/>
  </xdr:oneCellAnchor>
  <xdr:oneCellAnchor>
    <xdr:from>
      <xdr:col>8</xdr:col>
      <xdr:colOff>132793</xdr:colOff>
      <xdr:row>51</xdr:row>
      <xdr:rowOff>180005</xdr:rowOff>
    </xdr:from>
    <xdr:ext cx="784510" cy="280205"/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B19F0DF7-9CCA-45AD-9FA1-D3BFE19B8EAE}"/>
            </a:ext>
          </a:extLst>
        </xdr:cNvPr>
        <xdr:cNvSpPr txBox="1"/>
      </xdr:nvSpPr>
      <xdr:spPr>
        <a:xfrm>
          <a:off x="1809193" y="9943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12N-13W</a:t>
          </a:r>
        </a:p>
      </xdr:txBody>
    </xdr:sp>
    <xdr:clientData/>
  </xdr:oneCellAnchor>
  <xdr:oneCellAnchor>
    <xdr:from>
      <xdr:col>20</xdr:col>
      <xdr:colOff>124382</xdr:colOff>
      <xdr:row>51</xdr:row>
      <xdr:rowOff>171594</xdr:rowOff>
    </xdr:from>
    <xdr:ext cx="784510" cy="280205"/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45876860-04E0-4471-B27F-360EB081EB90}"/>
            </a:ext>
          </a:extLst>
        </xdr:cNvPr>
        <xdr:cNvSpPr txBox="1"/>
      </xdr:nvSpPr>
      <xdr:spPr>
        <a:xfrm>
          <a:off x="4315382" y="9934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12N-11W</a:t>
          </a:r>
        </a:p>
      </xdr:txBody>
    </xdr:sp>
    <xdr:clientData/>
  </xdr:oneCellAnchor>
  <xdr:oneCellAnchor>
    <xdr:from>
      <xdr:col>32</xdr:col>
      <xdr:colOff>153080</xdr:colOff>
      <xdr:row>51</xdr:row>
      <xdr:rowOff>150812</xdr:rowOff>
    </xdr:from>
    <xdr:ext cx="706540" cy="280205"/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A10DB9E7-3152-47D5-A56E-C267B5F6FBB6}"/>
            </a:ext>
          </a:extLst>
        </xdr:cNvPr>
        <xdr:cNvSpPr txBox="1"/>
      </xdr:nvSpPr>
      <xdr:spPr>
        <a:xfrm>
          <a:off x="6858680" y="9913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12N-9W</a:t>
          </a:r>
        </a:p>
      </xdr:txBody>
    </xdr:sp>
    <xdr:clientData/>
  </xdr:oneCellAnchor>
  <xdr:oneCellAnchor>
    <xdr:from>
      <xdr:col>26</xdr:col>
      <xdr:colOff>165491</xdr:colOff>
      <xdr:row>51</xdr:row>
      <xdr:rowOff>154770</xdr:rowOff>
    </xdr:from>
    <xdr:ext cx="784510" cy="280205"/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28A51DFE-6CA9-4652-B4AB-D2B2D06FBBF0}"/>
            </a:ext>
          </a:extLst>
        </xdr:cNvPr>
        <xdr:cNvSpPr txBox="1"/>
      </xdr:nvSpPr>
      <xdr:spPr>
        <a:xfrm>
          <a:off x="5613791" y="9917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12N-10W</a:t>
          </a:r>
        </a:p>
      </xdr:txBody>
    </xdr:sp>
    <xdr:clientData/>
  </xdr:oneCellAnchor>
  <xdr:oneCellAnchor>
    <xdr:from>
      <xdr:col>38</xdr:col>
      <xdr:colOff>111517</xdr:colOff>
      <xdr:row>51</xdr:row>
      <xdr:rowOff>171098</xdr:rowOff>
    </xdr:from>
    <xdr:ext cx="706540" cy="280205"/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10148B13-23D4-4D68-A1F5-1DED9AE94797}"/>
            </a:ext>
          </a:extLst>
        </xdr:cNvPr>
        <xdr:cNvSpPr txBox="1"/>
      </xdr:nvSpPr>
      <xdr:spPr>
        <a:xfrm>
          <a:off x="8074417" y="9934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12N-8W</a:t>
          </a:r>
        </a:p>
      </xdr:txBody>
    </xdr:sp>
    <xdr:clientData/>
  </xdr:oneCellAnchor>
  <xdr:oneCellAnchor>
    <xdr:from>
      <xdr:col>50</xdr:col>
      <xdr:colOff>142693</xdr:colOff>
      <xdr:row>51</xdr:row>
      <xdr:rowOff>152791</xdr:rowOff>
    </xdr:from>
    <xdr:ext cx="706540" cy="280205"/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6DA17C2B-1A26-43C6-AF93-DBAC3CA54B86}"/>
            </a:ext>
          </a:extLst>
        </xdr:cNvPr>
        <xdr:cNvSpPr txBox="1"/>
      </xdr:nvSpPr>
      <xdr:spPr>
        <a:xfrm>
          <a:off x="10620193" y="991591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12N-6W</a:t>
          </a:r>
        </a:p>
      </xdr:txBody>
    </xdr:sp>
    <xdr:clientData/>
  </xdr:oneCellAnchor>
  <xdr:oneCellAnchor>
    <xdr:from>
      <xdr:col>56</xdr:col>
      <xdr:colOff>121911</xdr:colOff>
      <xdr:row>51</xdr:row>
      <xdr:rowOff>156749</xdr:rowOff>
    </xdr:from>
    <xdr:ext cx="706540" cy="280205"/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230E6892-00A1-4E07-B74B-19C516462F42}"/>
            </a:ext>
          </a:extLst>
        </xdr:cNvPr>
        <xdr:cNvSpPr txBox="1"/>
      </xdr:nvSpPr>
      <xdr:spPr>
        <a:xfrm>
          <a:off x="11856711" y="9919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12N-5W</a:t>
          </a:r>
        </a:p>
      </xdr:txBody>
    </xdr:sp>
    <xdr:clientData/>
  </xdr:oneCellAnchor>
  <xdr:oneCellAnchor>
    <xdr:from>
      <xdr:col>2</xdr:col>
      <xdr:colOff>58412</xdr:colOff>
      <xdr:row>57</xdr:row>
      <xdr:rowOff>169635</xdr:rowOff>
    </xdr:from>
    <xdr:ext cx="784510" cy="280205"/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CD480DFD-5767-4822-9BE9-372820E99A9E}"/>
            </a:ext>
          </a:extLst>
        </xdr:cNvPr>
        <xdr:cNvSpPr txBox="1"/>
      </xdr:nvSpPr>
      <xdr:spPr>
        <a:xfrm>
          <a:off x="477512" y="1107576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11N-14W</a:t>
          </a:r>
        </a:p>
      </xdr:txBody>
    </xdr:sp>
    <xdr:clientData/>
  </xdr:oneCellAnchor>
  <xdr:oneCellAnchor>
    <xdr:from>
      <xdr:col>44</xdr:col>
      <xdr:colOff>145044</xdr:colOff>
      <xdr:row>57</xdr:row>
      <xdr:rowOff>173593</xdr:rowOff>
    </xdr:from>
    <xdr:ext cx="706540" cy="280205"/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48926D86-B1E1-439B-8772-93FBCECD6386}"/>
            </a:ext>
          </a:extLst>
        </xdr:cNvPr>
        <xdr:cNvSpPr txBox="1"/>
      </xdr:nvSpPr>
      <xdr:spPr>
        <a:xfrm>
          <a:off x="9365244" y="110797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11N-7W</a:t>
          </a:r>
        </a:p>
      </xdr:txBody>
    </xdr:sp>
    <xdr:clientData/>
  </xdr:oneCellAnchor>
  <xdr:oneCellAnchor>
    <xdr:from>
      <xdr:col>14</xdr:col>
      <xdr:colOff>78699</xdr:colOff>
      <xdr:row>57</xdr:row>
      <xdr:rowOff>165182</xdr:rowOff>
    </xdr:from>
    <xdr:ext cx="784510" cy="280205"/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C9908F22-3FE1-48F0-818E-ED49CFD90FC5}"/>
            </a:ext>
          </a:extLst>
        </xdr:cNvPr>
        <xdr:cNvSpPr txBox="1"/>
      </xdr:nvSpPr>
      <xdr:spPr>
        <a:xfrm>
          <a:off x="3012399" y="110713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11N-12W</a:t>
          </a:r>
        </a:p>
      </xdr:txBody>
    </xdr:sp>
    <xdr:clientData/>
  </xdr:oneCellAnchor>
  <xdr:oneCellAnchor>
    <xdr:from>
      <xdr:col>8</xdr:col>
      <xdr:colOff>119767</xdr:colOff>
      <xdr:row>58</xdr:row>
      <xdr:rowOff>3380</xdr:rowOff>
    </xdr:from>
    <xdr:ext cx="784510" cy="280205"/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F479F92A-05B4-4C2A-9BC6-BBF27EB7B6E6}"/>
            </a:ext>
          </a:extLst>
        </xdr:cNvPr>
        <xdr:cNvSpPr txBox="1"/>
      </xdr:nvSpPr>
      <xdr:spPr>
        <a:xfrm>
          <a:off x="1796167" y="1110000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11N-13W</a:t>
          </a:r>
        </a:p>
      </xdr:txBody>
    </xdr:sp>
    <xdr:clientData/>
  </xdr:oneCellAnchor>
  <xdr:oneCellAnchor>
    <xdr:from>
      <xdr:col>20</xdr:col>
      <xdr:colOff>111356</xdr:colOff>
      <xdr:row>57</xdr:row>
      <xdr:rowOff>185469</xdr:rowOff>
    </xdr:from>
    <xdr:ext cx="784510" cy="280205"/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84F831DF-6F64-47F4-99F3-254D602DF6E1}"/>
            </a:ext>
          </a:extLst>
        </xdr:cNvPr>
        <xdr:cNvSpPr txBox="1"/>
      </xdr:nvSpPr>
      <xdr:spPr>
        <a:xfrm>
          <a:off x="4302356" y="1109159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11N-11W</a:t>
          </a:r>
        </a:p>
      </xdr:txBody>
    </xdr:sp>
    <xdr:clientData/>
  </xdr:oneCellAnchor>
  <xdr:oneCellAnchor>
    <xdr:from>
      <xdr:col>32</xdr:col>
      <xdr:colOff>140054</xdr:colOff>
      <xdr:row>57</xdr:row>
      <xdr:rowOff>164687</xdr:rowOff>
    </xdr:from>
    <xdr:ext cx="706540" cy="280205"/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1219F0D3-3943-4081-A32C-64EB58FEC5DA}"/>
            </a:ext>
          </a:extLst>
        </xdr:cNvPr>
        <xdr:cNvSpPr txBox="1"/>
      </xdr:nvSpPr>
      <xdr:spPr>
        <a:xfrm>
          <a:off x="6845654" y="110708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11N-9W</a:t>
          </a:r>
        </a:p>
      </xdr:txBody>
    </xdr:sp>
    <xdr:clientData/>
  </xdr:oneCellAnchor>
  <xdr:oneCellAnchor>
    <xdr:from>
      <xdr:col>26</xdr:col>
      <xdr:colOff>152465</xdr:colOff>
      <xdr:row>57</xdr:row>
      <xdr:rowOff>168645</xdr:rowOff>
    </xdr:from>
    <xdr:ext cx="784510" cy="280205"/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id="{A4376DED-6856-4765-8D30-4F161C6BC7E3}"/>
            </a:ext>
          </a:extLst>
        </xdr:cNvPr>
        <xdr:cNvSpPr txBox="1"/>
      </xdr:nvSpPr>
      <xdr:spPr>
        <a:xfrm>
          <a:off x="5600765" y="110747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11N-10W</a:t>
          </a:r>
        </a:p>
      </xdr:txBody>
    </xdr:sp>
    <xdr:clientData/>
  </xdr:oneCellAnchor>
  <xdr:oneCellAnchor>
    <xdr:from>
      <xdr:col>38</xdr:col>
      <xdr:colOff>98491</xdr:colOff>
      <xdr:row>57</xdr:row>
      <xdr:rowOff>184973</xdr:rowOff>
    </xdr:from>
    <xdr:ext cx="706540" cy="280205"/>
    <xdr:sp macro="" textlink="">
      <xdr:nvSpPr>
        <xdr:cNvPr id="131" name="TextBox 130">
          <a:extLst>
            <a:ext uri="{FF2B5EF4-FFF2-40B4-BE49-F238E27FC236}">
              <a16:creationId xmlns:a16="http://schemas.microsoft.com/office/drawing/2014/main" id="{D01701E8-A49E-46EA-B2BB-69B29543DBEC}"/>
            </a:ext>
          </a:extLst>
        </xdr:cNvPr>
        <xdr:cNvSpPr txBox="1"/>
      </xdr:nvSpPr>
      <xdr:spPr>
        <a:xfrm>
          <a:off x="8061391" y="1109109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11N-8W</a:t>
          </a:r>
        </a:p>
      </xdr:txBody>
    </xdr:sp>
    <xdr:clientData/>
  </xdr:oneCellAnchor>
  <xdr:oneCellAnchor>
    <xdr:from>
      <xdr:col>50</xdr:col>
      <xdr:colOff>129667</xdr:colOff>
      <xdr:row>57</xdr:row>
      <xdr:rowOff>166666</xdr:rowOff>
    </xdr:from>
    <xdr:ext cx="706540" cy="280205"/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F8A39548-1B59-4706-8C35-C07FE7C342A9}"/>
            </a:ext>
          </a:extLst>
        </xdr:cNvPr>
        <xdr:cNvSpPr txBox="1"/>
      </xdr:nvSpPr>
      <xdr:spPr>
        <a:xfrm>
          <a:off x="10607167" y="1107279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11N-6W</a:t>
          </a:r>
        </a:p>
      </xdr:txBody>
    </xdr:sp>
    <xdr:clientData/>
  </xdr:oneCellAnchor>
  <xdr:oneCellAnchor>
    <xdr:from>
      <xdr:col>56</xdr:col>
      <xdr:colOff>108885</xdr:colOff>
      <xdr:row>57</xdr:row>
      <xdr:rowOff>170624</xdr:rowOff>
    </xdr:from>
    <xdr:ext cx="706540" cy="280205"/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id="{713DEC65-7B75-4BDB-8184-258EC523129F}"/>
            </a:ext>
          </a:extLst>
        </xdr:cNvPr>
        <xdr:cNvSpPr txBox="1"/>
      </xdr:nvSpPr>
      <xdr:spPr>
        <a:xfrm>
          <a:off x="11843685" y="110767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11N-5W</a:t>
          </a:r>
        </a:p>
      </xdr:txBody>
    </xdr:sp>
    <xdr:clientData/>
  </xdr:oneCellAnchor>
  <xdr:oneCellAnchor>
    <xdr:from>
      <xdr:col>2</xdr:col>
      <xdr:colOff>71437</xdr:colOff>
      <xdr:row>63</xdr:row>
      <xdr:rowOff>155760</xdr:rowOff>
    </xdr:from>
    <xdr:ext cx="784510" cy="280205"/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3614B2DF-8C65-46C8-93EE-B3228F2F27FC}"/>
            </a:ext>
          </a:extLst>
        </xdr:cNvPr>
        <xdr:cNvSpPr txBox="1"/>
      </xdr:nvSpPr>
      <xdr:spPr>
        <a:xfrm>
          <a:off x="490537" y="12204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10N-14W</a:t>
          </a:r>
        </a:p>
      </xdr:txBody>
    </xdr:sp>
    <xdr:clientData/>
  </xdr:oneCellAnchor>
  <xdr:oneCellAnchor>
    <xdr:from>
      <xdr:col>44</xdr:col>
      <xdr:colOff>158069</xdr:colOff>
      <xdr:row>63</xdr:row>
      <xdr:rowOff>159718</xdr:rowOff>
    </xdr:from>
    <xdr:ext cx="706540" cy="280205"/>
    <xdr:sp macro="" textlink="">
      <xdr:nvSpPr>
        <xdr:cNvPr id="135" name="TextBox 134">
          <a:extLst>
            <a:ext uri="{FF2B5EF4-FFF2-40B4-BE49-F238E27FC236}">
              <a16:creationId xmlns:a16="http://schemas.microsoft.com/office/drawing/2014/main" id="{D117CF90-EAD5-4C64-B9D6-259B72AFDDEF}"/>
            </a:ext>
          </a:extLst>
        </xdr:cNvPr>
        <xdr:cNvSpPr txBox="1"/>
      </xdr:nvSpPr>
      <xdr:spPr>
        <a:xfrm>
          <a:off x="9378269" y="1220884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10N-7W</a:t>
          </a:r>
        </a:p>
      </xdr:txBody>
    </xdr:sp>
    <xdr:clientData/>
  </xdr:oneCellAnchor>
  <xdr:oneCellAnchor>
    <xdr:from>
      <xdr:col>14</xdr:col>
      <xdr:colOff>91724</xdr:colOff>
      <xdr:row>63</xdr:row>
      <xdr:rowOff>151307</xdr:rowOff>
    </xdr:from>
    <xdr:ext cx="784510" cy="280205"/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EDED862B-98E8-45BB-88FE-1E34A061AC75}"/>
            </a:ext>
          </a:extLst>
        </xdr:cNvPr>
        <xdr:cNvSpPr txBox="1"/>
      </xdr:nvSpPr>
      <xdr:spPr>
        <a:xfrm>
          <a:off x="3025424" y="12200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10N-12W</a:t>
          </a:r>
        </a:p>
      </xdr:txBody>
    </xdr:sp>
    <xdr:clientData/>
  </xdr:oneCellAnchor>
  <xdr:oneCellAnchor>
    <xdr:from>
      <xdr:col>8</xdr:col>
      <xdr:colOff>132792</xdr:colOff>
      <xdr:row>63</xdr:row>
      <xdr:rowOff>180005</xdr:rowOff>
    </xdr:from>
    <xdr:ext cx="784510" cy="280205"/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B9AB199E-817E-4CD4-A10A-DA3EC92AD37D}"/>
            </a:ext>
          </a:extLst>
        </xdr:cNvPr>
        <xdr:cNvSpPr txBox="1"/>
      </xdr:nvSpPr>
      <xdr:spPr>
        <a:xfrm>
          <a:off x="1809192" y="12229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10N-13W</a:t>
          </a:r>
        </a:p>
      </xdr:txBody>
    </xdr:sp>
    <xdr:clientData/>
  </xdr:oneCellAnchor>
  <xdr:oneCellAnchor>
    <xdr:from>
      <xdr:col>20</xdr:col>
      <xdr:colOff>124381</xdr:colOff>
      <xdr:row>63</xdr:row>
      <xdr:rowOff>171594</xdr:rowOff>
    </xdr:from>
    <xdr:ext cx="784510" cy="280205"/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2F10A76A-8B41-48A5-82C9-F9B7E86300DA}"/>
            </a:ext>
          </a:extLst>
        </xdr:cNvPr>
        <xdr:cNvSpPr txBox="1"/>
      </xdr:nvSpPr>
      <xdr:spPr>
        <a:xfrm>
          <a:off x="4315381" y="12220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10N-11W</a:t>
          </a:r>
        </a:p>
      </xdr:txBody>
    </xdr:sp>
    <xdr:clientData/>
  </xdr:oneCellAnchor>
  <xdr:oneCellAnchor>
    <xdr:from>
      <xdr:col>32</xdr:col>
      <xdr:colOff>153079</xdr:colOff>
      <xdr:row>63</xdr:row>
      <xdr:rowOff>150812</xdr:rowOff>
    </xdr:from>
    <xdr:ext cx="706540" cy="280205"/>
    <xdr:sp macro="" textlink="">
      <xdr:nvSpPr>
        <xdr:cNvPr id="139" name="TextBox 138">
          <a:extLst>
            <a:ext uri="{FF2B5EF4-FFF2-40B4-BE49-F238E27FC236}">
              <a16:creationId xmlns:a16="http://schemas.microsoft.com/office/drawing/2014/main" id="{1FD74909-4156-4DCB-9230-8D84C1F72214}"/>
            </a:ext>
          </a:extLst>
        </xdr:cNvPr>
        <xdr:cNvSpPr txBox="1"/>
      </xdr:nvSpPr>
      <xdr:spPr>
        <a:xfrm>
          <a:off x="6858679" y="12199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10N-9W</a:t>
          </a:r>
        </a:p>
      </xdr:txBody>
    </xdr:sp>
    <xdr:clientData/>
  </xdr:oneCellAnchor>
  <xdr:oneCellAnchor>
    <xdr:from>
      <xdr:col>26</xdr:col>
      <xdr:colOff>165490</xdr:colOff>
      <xdr:row>63</xdr:row>
      <xdr:rowOff>154770</xdr:rowOff>
    </xdr:from>
    <xdr:ext cx="784510" cy="280205"/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81A4EC7C-2AAA-4FE2-973B-00EA1800986C}"/>
            </a:ext>
          </a:extLst>
        </xdr:cNvPr>
        <xdr:cNvSpPr txBox="1"/>
      </xdr:nvSpPr>
      <xdr:spPr>
        <a:xfrm>
          <a:off x="5613790" y="12203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10N-10W</a:t>
          </a:r>
        </a:p>
      </xdr:txBody>
    </xdr:sp>
    <xdr:clientData/>
  </xdr:oneCellAnchor>
  <xdr:oneCellAnchor>
    <xdr:from>
      <xdr:col>38</xdr:col>
      <xdr:colOff>111516</xdr:colOff>
      <xdr:row>63</xdr:row>
      <xdr:rowOff>171098</xdr:rowOff>
    </xdr:from>
    <xdr:ext cx="706540" cy="280205"/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id="{0526ACC1-7645-4A78-8A72-BE81946D5207}"/>
            </a:ext>
          </a:extLst>
        </xdr:cNvPr>
        <xdr:cNvSpPr txBox="1"/>
      </xdr:nvSpPr>
      <xdr:spPr>
        <a:xfrm>
          <a:off x="8074416" y="12220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10N-8W</a:t>
          </a:r>
        </a:p>
      </xdr:txBody>
    </xdr:sp>
    <xdr:clientData/>
  </xdr:oneCellAnchor>
  <xdr:oneCellAnchor>
    <xdr:from>
      <xdr:col>51</xdr:col>
      <xdr:colOff>110942</xdr:colOff>
      <xdr:row>62</xdr:row>
      <xdr:rowOff>176604</xdr:rowOff>
    </xdr:from>
    <xdr:ext cx="706540" cy="280205"/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B7CB456F-E2A9-4227-9CCA-4F54993BA266}"/>
            </a:ext>
          </a:extLst>
        </xdr:cNvPr>
        <xdr:cNvSpPr txBox="1"/>
      </xdr:nvSpPr>
      <xdr:spPr>
        <a:xfrm>
          <a:off x="10797992" y="1203522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10N-6W</a:t>
          </a:r>
        </a:p>
      </xdr:txBody>
    </xdr:sp>
    <xdr:clientData/>
  </xdr:oneCellAnchor>
  <xdr:oneCellAnchor>
    <xdr:from>
      <xdr:col>56</xdr:col>
      <xdr:colOff>121910</xdr:colOff>
      <xdr:row>63</xdr:row>
      <xdr:rowOff>156749</xdr:rowOff>
    </xdr:from>
    <xdr:ext cx="706540" cy="280205"/>
    <xdr:sp macro="" textlink="">
      <xdr:nvSpPr>
        <xdr:cNvPr id="143" name="TextBox 142">
          <a:extLst>
            <a:ext uri="{FF2B5EF4-FFF2-40B4-BE49-F238E27FC236}">
              <a16:creationId xmlns:a16="http://schemas.microsoft.com/office/drawing/2014/main" id="{D6C08F73-C09F-429E-B8BA-16894CFD20FD}"/>
            </a:ext>
          </a:extLst>
        </xdr:cNvPr>
        <xdr:cNvSpPr txBox="1"/>
      </xdr:nvSpPr>
      <xdr:spPr>
        <a:xfrm>
          <a:off x="11856710" y="12205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10N-5W</a:t>
          </a:r>
        </a:p>
      </xdr:txBody>
    </xdr:sp>
    <xdr:clientData/>
  </xdr:oneCellAnchor>
  <xdr:oneCellAnchor>
    <xdr:from>
      <xdr:col>2</xdr:col>
      <xdr:colOff>55713</xdr:colOff>
      <xdr:row>69</xdr:row>
      <xdr:rowOff>166480</xdr:rowOff>
    </xdr:from>
    <xdr:ext cx="706540" cy="280205"/>
    <xdr:sp macro="" textlink="">
      <xdr:nvSpPr>
        <xdr:cNvPr id="144" name="TextBox 143">
          <a:extLst>
            <a:ext uri="{FF2B5EF4-FFF2-40B4-BE49-F238E27FC236}">
              <a16:creationId xmlns:a16="http://schemas.microsoft.com/office/drawing/2014/main" id="{AE448D43-D96A-4F11-B566-C39C37DD73BE}"/>
            </a:ext>
          </a:extLst>
        </xdr:cNvPr>
        <xdr:cNvSpPr txBox="1"/>
      </xdr:nvSpPr>
      <xdr:spPr>
        <a:xfrm>
          <a:off x="474813" y="133586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9N-14W</a:t>
          </a:r>
        </a:p>
      </xdr:txBody>
    </xdr:sp>
    <xdr:clientData/>
  </xdr:oneCellAnchor>
  <xdr:oneCellAnchor>
    <xdr:from>
      <xdr:col>44</xdr:col>
      <xdr:colOff>142345</xdr:colOff>
      <xdr:row>69</xdr:row>
      <xdr:rowOff>170438</xdr:rowOff>
    </xdr:from>
    <xdr:ext cx="628570" cy="280205"/>
    <xdr:sp macro="" textlink="">
      <xdr:nvSpPr>
        <xdr:cNvPr id="145" name="TextBox 144">
          <a:extLst>
            <a:ext uri="{FF2B5EF4-FFF2-40B4-BE49-F238E27FC236}">
              <a16:creationId xmlns:a16="http://schemas.microsoft.com/office/drawing/2014/main" id="{F21529EE-BD2E-42AE-8C42-72E20A1DF068}"/>
            </a:ext>
          </a:extLst>
        </xdr:cNvPr>
        <xdr:cNvSpPr txBox="1"/>
      </xdr:nvSpPr>
      <xdr:spPr>
        <a:xfrm>
          <a:off x="9362545" y="13362563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9N-7W</a:t>
          </a:r>
        </a:p>
      </xdr:txBody>
    </xdr:sp>
    <xdr:clientData/>
  </xdr:oneCellAnchor>
  <xdr:oneCellAnchor>
    <xdr:from>
      <xdr:col>14</xdr:col>
      <xdr:colOff>76000</xdr:colOff>
      <xdr:row>69</xdr:row>
      <xdr:rowOff>162027</xdr:rowOff>
    </xdr:from>
    <xdr:ext cx="706540" cy="280205"/>
    <xdr:sp macro="" textlink="">
      <xdr:nvSpPr>
        <xdr:cNvPr id="146" name="TextBox 145">
          <a:extLst>
            <a:ext uri="{FF2B5EF4-FFF2-40B4-BE49-F238E27FC236}">
              <a16:creationId xmlns:a16="http://schemas.microsoft.com/office/drawing/2014/main" id="{EA903B33-5A08-43C8-B3BA-EDA0FB8E5524}"/>
            </a:ext>
          </a:extLst>
        </xdr:cNvPr>
        <xdr:cNvSpPr txBox="1"/>
      </xdr:nvSpPr>
      <xdr:spPr>
        <a:xfrm>
          <a:off x="3009700" y="133541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9N-12W</a:t>
          </a:r>
        </a:p>
      </xdr:txBody>
    </xdr:sp>
    <xdr:clientData/>
  </xdr:oneCellAnchor>
  <xdr:oneCellAnchor>
    <xdr:from>
      <xdr:col>8</xdr:col>
      <xdr:colOff>117068</xdr:colOff>
      <xdr:row>69</xdr:row>
      <xdr:rowOff>151037</xdr:rowOff>
    </xdr:from>
    <xdr:ext cx="706540" cy="280205"/>
    <xdr:sp macro="" textlink="">
      <xdr:nvSpPr>
        <xdr:cNvPr id="147" name="TextBox 146">
          <a:extLst>
            <a:ext uri="{FF2B5EF4-FFF2-40B4-BE49-F238E27FC236}">
              <a16:creationId xmlns:a16="http://schemas.microsoft.com/office/drawing/2014/main" id="{37322D68-87E4-4F7F-A716-08D62FE6235C}"/>
            </a:ext>
          </a:extLst>
        </xdr:cNvPr>
        <xdr:cNvSpPr txBox="1"/>
      </xdr:nvSpPr>
      <xdr:spPr>
        <a:xfrm>
          <a:off x="1793468" y="1334316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9N-13W</a:t>
          </a:r>
        </a:p>
      </xdr:txBody>
    </xdr:sp>
    <xdr:clientData/>
  </xdr:oneCellAnchor>
  <xdr:oneCellAnchor>
    <xdr:from>
      <xdr:col>20</xdr:col>
      <xdr:colOff>132470</xdr:colOff>
      <xdr:row>69</xdr:row>
      <xdr:rowOff>166439</xdr:rowOff>
    </xdr:from>
    <xdr:ext cx="706540" cy="280205"/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86C7D89E-726F-417F-B74D-5D77CCB8CD67}"/>
            </a:ext>
          </a:extLst>
        </xdr:cNvPr>
        <xdr:cNvSpPr txBox="1"/>
      </xdr:nvSpPr>
      <xdr:spPr>
        <a:xfrm>
          <a:off x="4323470" y="1335856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9N-11W</a:t>
          </a:r>
        </a:p>
      </xdr:txBody>
    </xdr:sp>
    <xdr:clientData/>
  </xdr:oneCellAnchor>
  <xdr:oneCellAnchor>
    <xdr:from>
      <xdr:col>32</xdr:col>
      <xdr:colOff>137355</xdr:colOff>
      <xdr:row>69</xdr:row>
      <xdr:rowOff>161532</xdr:rowOff>
    </xdr:from>
    <xdr:ext cx="628570" cy="280205"/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C2420365-FEC2-4751-B26B-37CFC524BE39}"/>
            </a:ext>
          </a:extLst>
        </xdr:cNvPr>
        <xdr:cNvSpPr txBox="1"/>
      </xdr:nvSpPr>
      <xdr:spPr>
        <a:xfrm>
          <a:off x="6842955" y="133536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9N-9W</a:t>
          </a:r>
        </a:p>
      </xdr:txBody>
    </xdr:sp>
    <xdr:clientData/>
  </xdr:oneCellAnchor>
  <xdr:oneCellAnchor>
    <xdr:from>
      <xdr:col>26</xdr:col>
      <xdr:colOff>149766</xdr:colOff>
      <xdr:row>69</xdr:row>
      <xdr:rowOff>165490</xdr:rowOff>
    </xdr:from>
    <xdr:ext cx="706540" cy="280205"/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714DAE86-5C2F-4323-9A1D-F4636E25A980}"/>
            </a:ext>
          </a:extLst>
        </xdr:cNvPr>
        <xdr:cNvSpPr txBox="1"/>
      </xdr:nvSpPr>
      <xdr:spPr>
        <a:xfrm>
          <a:off x="5598066" y="133576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9N-10W</a:t>
          </a:r>
        </a:p>
      </xdr:txBody>
    </xdr:sp>
    <xdr:clientData/>
  </xdr:oneCellAnchor>
  <xdr:oneCellAnchor>
    <xdr:from>
      <xdr:col>38</xdr:col>
      <xdr:colOff>135479</xdr:colOff>
      <xdr:row>69</xdr:row>
      <xdr:rowOff>173880</xdr:rowOff>
    </xdr:from>
    <xdr:ext cx="628570" cy="280205"/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B8CA1B29-A12C-47B5-8961-175E911E09AB}"/>
            </a:ext>
          </a:extLst>
        </xdr:cNvPr>
        <xdr:cNvSpPr txBox="1"/>
      </xdr:nvSpPr>
      <xdr:spPr>
        <a:xfrm>
          <a:off x="8098379" y="1336600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9N-8W</a:t>
          </a:r>
        </a:p>
      </xdr:txBody>
    </xdr:sp>
    <xdr:clientData/>
  </xdr:oneCellAnchor>
  <xdr:oneCellAnchor>
    <xdr:from>
      <xdr:col>50</xdr:col>
      <xdr:colOff>126968</xdr:colOff>
      <xdr:row>69</xdr:row>
      <xdr:rowOff>163511</xdr:rowOff>
    </xdr:from>
    <xdr:ext cx="628570" cy="280205"/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7889B426-4F92-4312-9D5C-63DC76BB25F4}"/>
            </a:ext>
          </a:extLst>
        </xdr:cNvPr>
        <xdr:cNvSpPr txBox="1"/>
      </xdr:nvSpPr>
      <xdr:spPr>
        <a:xfrm>
          <a:off x="10604468" y="1335563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9N-6W</a:t>
          </a:r>
        </a:p>
      </xdr:txBody>
    </xdr:sp>
    <xdr:clientData/>
  </xdr:oneCellAnchor>
  <xdr:oneCellAnchor>
    <xdr:from>
      <xdr:col>56</xdr:col>
      <xdr:colOff>106186</xdr:colOff>
      <xdr:row>69</xdr:row>
      <xdr:rowOff>167469</xdr:rowOff>
    </xdr:from>
    <xdr:ext cx="628570" cy="280205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BC9F85F1-818B-4634-B658-AA9CA989E0E8}"/>
            </a:ext>
          </a:extLst>
        </xdr:cNvPr>
        <xdr:cNvSpPr txBox="1"/>
      </xdr:nvSpPr>
      <xdr:spPr>
        <a:xfrm>
          <a:off x="11840986" y="1335959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9N-5W</a:t>
          </a:r>
        </a:p>
      </xdr:txBody>
    </xdr:sp>
    <xdr:clientData/>
  </xdr:oneCellAnchor>
  <xdr:oneCellAnchor>
    <xdr:from>
      <xdr:col>2</xdr:col>
      <xdr:colOff>104926</xdr:colOff>
      <xdr:row>75</xdr:row>
      <xdr:rowOff>152193</xdr:rowOff>
    </xdr:from>
    <xdr:ext cx="706540" cy="280205"/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7BF7A243-BEAD-4D83-BBD4-75634B09458B}"/>
            </a:ext>
          </a:extLst>
        </xdr:cNvPr>
        <xdr:cNvSpPr txBox="1"/>
      </xdr:nvSpPr>
      <xdr:spPr>
        <a:xfrm>
          <a:off x="524026" y="144873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8N-14W</a:t>
          </a:r>
        </a:p>
      </xdr:txBody>
    </xdr:sp>
    <xdr:clientData/>
  </xdr:oneCellAnchor>
  <xdr:oneCellAnchor>
    <xdr:from>
      <xdr:col>44</xdr:col>
      <xdr:colOff>191558</xdr:colOff>
      <xdr:row>75</xdr:row>
      <xdr:rowOff>156151</xdr:rowOff>
    </xdr:from>
    <xdr:ext cx="628570" cy="280205"/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id="{07BDC70C-454E-49B2-B09C-BDF7ED1326BF}"/>
            </a:ext>
          </a:extLst>
        </xdr:cNvPr>
        <xdr:cNvSpPr txBox="1"/>
      </xdr:nvSpPr>
      <xdr:spPr>
        <a:xfrm>
          <a:off x="9411758" y="1449127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8N-7W</a:t>
          </a:r>
        </a:p>
      </xdr:txBody>
    </xdr:sp>
    <xdr:clientData/>
  </xdr:oneCellAnchor>
  <xdr:oneCellAnchor>
    <xdr:from>
      <xdr:col>14</xdr:col>
      <xdr:colOff>125213</xdr:colOff>
      <xdr:row>75</xdr:row>
      <xdr:rowOff>147740</xdr:rowOff>
    </xdr:from>
    <xdr:ext cx="706540" cy="280205"/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419162C3-9087-4883-9F67-3A618110DC92}"/>
            </a:ext>
          </a:extLst>
        </xdr:cNvPr>
        <xdr:cNvSpPr txBox="1"/>
      </xdr:nvSpPr>
      <xdr:spPr>
        <a:xfrm>
          <a:off x="3058913" y="1448286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8N-12W</a:t>
          </a:r>
        </a:p>
      </xdr:txBody>
    </xdr:sp>
    <xdr:clientData/>
  </xdr:oneCellAnchor>
  <xdr:oneCellAnchor>
    <xdr:from>
      <xdr:col>8</xdr:col>
      <xdr:colOff>166281</xdr:colOff>
      <xdr:row>75</xdr:row>
      <xdr:rowOff>136750</xdr:rowOff>
    </xdr:from>
    <xdr:ext cx="706540" cy="280205"/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id="{F69F6D36-C573-4770-84B1-793457701A97}"/>
            </a:ext>
          </a:extLst>
        </xdr:cNvPr>
        <xdr:cNvSpPr txBox="1"/>
      </xdr:nvSpPr>
      <xdr:spPr>
        <a:xfrm>
          <a:off x="1842681" y="1447187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8N-13W</a:t>
          </a:r>
        </a:p>
      </xdr:txBody>
    </xdr:sp>
    <xdr:clientData/>
  </xdr:oneCellAnchor>
  <xdr:oneCellAnchor>
    <xdr:from>
      <xdr:col>20</xdr:col>
      <xdr:colOff>181683</xdr:colOff>
      <xdr:row>75</xdr:row>
      <xdr:rowOff>152152</xdr:rowOff>
    </xdr:from>
    <xdr:ext cx="706540" cy="280205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544195D5-C76E-43CC-B1CD-94FCADD31677}"/>
            </a:ext>
          </a:extLst>
        </xdr:cNvPr>
        <xdr:cNvSpPr txBox="1"/>
      </xdr:nvSpPr>
      <xdr:spPr>
        <a:xfrm>
          <a:off x="4372683" y="1448727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8N-11W</a:t>
          </a:r>
        </a:p>
      </xdr:txBody>
    </xdr:sp>
    <xdr:clientData/>
  </xdr:oneCellAnchor>
  <xdr:oneCellAnchor>
    <xdr:from>
      <xdr:col>32</xdr:col>
      <xdr:colOff>186568</xdr:colOff>
      <xdr:row>75</xdr:row>
      <xdr:rowOff>147245</xdr:rowOff>
    </xdr:from>
    <xdr:ext cx="628570" cy="280205"/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ACA862DC-0782-4815-B242-36869EED6E3B}"/>
            </a:ext>
          </a:extLst>
        </xdr:cNvPr>
        <xdr:cNvSpPr txBox="1"/>
      </xdr:nvSpPr>
      <xdr:spPr>
        <a:xfrm>
          <a:off x="6892168" y="1448237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8N-9W</a:t>
          </a:r>
        </a:p>
      </xdr:txBody>
    </xdr:sp>
    <xdr:clientData/>
  </xdr:oneCellAnchor>
  <xdr:oneCellAnchor>
    <xdr:from>
      <xdr:col>26</xdr:col>
      <xdr:colOff>198979</xdr:colOff>
      <xdr:row>75</xdr:row>
      <xdr:rowOff>151203</xdr:rowOff>
    </xdr:from>
    <xdr:ext cx="706540" cy="280205"/>
    <xdr:sp macro="" textlink="">
      <xdr:nvSpPr>
        <xdr:cNvPr id="160" name="TextBox 159">
          <a:extLst>
            <a:ext uri="{FF2B5EF4-FFF2-40B4-BE49-F238E27FC236}">
              <a16:creationId xmlns:a16="http://schemas.microsoft.com/office/drawing/2014/main" id="{0D7C882F-F2DC-4393-AAA9-D3AA23E6D748}"/>
            </a:ext>
          </a:extLst>
        </xdr:cNvPr>
        <xdr:cNvSpPr txBox="1"/>
      </xdr:nvSpPr>
      <xdr:spPr>
        <a:xfrm>
          <a:off x="5647279" y="1448632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8N-10W</a:t>
          </a:r>
        </a:p>
      </xdr:txBody>
    </xdr:sp>
    <xdr:clientData/>
  </xdr:oneCellAnchor>
  <xdr:oneCellAnchor>
    <xdr:from>
      <xdr:col>38</xdr:col>
      <xdr:colOff>184692</xdr:colOff>
      <xdr:row>75</xdr:row>
      <xdr:rowOff>159593</xdr:rowOff>
    </xdr:from>
    <xdr:ext cx="628570" cy="280205"/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id="{BF730044-25A7-4F0B-9C47-2DC4704A813D}"/>
            </a:ext>
          </a:extLst>
        </xdr:cNvPr>
        <xdr:cNvSpPr txBox="1"/>
      </xdr:nvSpPr>
      <xdr:spPr>
        <a:xfrm>
          <a:off x="8147592" y="1449471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8N-8W</a:t>
          </a:r>
        </a:p>
      </xdr:txBody>
    </xdr:sp>
    <xdr:clientData/>
  </xdr:oneCellAnchor>
  <xdr:oneCellAnchor>
    <xdr:from>
      <xdr:col>50</xdr:col>
      <xdr:colOff>176181</xdr:colOff>
      <xdr:row>75</xdr:row>
      <xdr:rowOff>149224</xdr:rowOff>
    </xdr:from>
    <xdr:ext cx="628570" cy="280205"/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id="{5B1FFB60-471D-4200-A8A2-EDAD49E2F25B}"/>
            </a:ext>
          </a:extLst>
        </xdr:cNvPr>
        <xdr:cNvSpPr txBox="1"/>
      </xdr:nvSpPr>
      <xdr:spPr>
        <a:xfrm>
          <a:off x="10653681" y="1448434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8N-6W</a:t>
          </a:r>
        </a:p>
      </xdr:txBody>
    </xdr:sp>
    <xdr:clientData/>
  </xdr:oneCellAnchor>
  <xdr:oneCellAnchor>
    <xdr:from>
      <xdr:col>56</xdr:col>
      <xdr:colOff>155399</xdr:colOff>
      <xdr:row>75</xdr:row>
      <xdr:rowOff>153182</xdr:rowOff>
    </xdr:from>
    <xdr:ext cx="628570" cy="280205"/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D1CC41C8-4F31-4E64-BAFE-7CA83BC847FB}"/>
            </a:ext>
          </a:extLst>
        </xdr:cNvPr>
        <xdr:cNvSpPr txBox="1"/>
      </xdr:nvSpPr>
      <xdr:spPr>
        <a:xfrm>
          <a:off x="11890199" y="1448830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8N-5W</a:t>
          </a:r>
        </a:p>
      </xdr:txBody>
    </xdr:sp>
    <xdr:clientData/>
  </xdr:oneCellAnchor>
  <xdr:oneCellAnchor>
    <xdr:from>
      <xdr:col>2</xdr:col>
      <xdr:colOff>98576</xdr:colOff>
      <xdr:row>81</xdr:row>
      <xdr:rowOff>145843</xdr:rowOff>
    </xdr:from>
    <xdr:ext cx="706540" cy="280205"/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614A21C0-B67E-4F7C-9E72-2742C7FBF353}"/>
            </a:ext>
          </a:extLst>
        </xdr:cNvPr>
        <xdr:cNvSpPr txBox="1"/>
      </xdr:nvSpPr>
      <xdr:spPr>
        <a:xfrm>
          <a:off x="517676" y="15623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7N-14W</a:t>
          </a:r>
        </a:p>
      </xdr:txBody>
    </xdr:sp>
    <xdr:clientData/>
  </xdr:oneCellAnchor>
  <xdr:oneCellAnchor>
    <xdr:from>
      <xdr:col>44</xdr:col>
      <xdr:colOff>185208</xdr:colOff>
      <xdr:row>81</xdr:row>
      <xdr:rowOff>149801</xdr:rowOff>
    </xdr:from>
    <xdr:ext cx="628570" cy="280205"/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949672D3-B521-420F-BC0E-BAC8F0763292}"/>
            </a:ext>
          </a:extLst>
        </xdr:cNvPr>
        <xdr:cNvSpPr txBox="1"/>
      </xdr:nvSpPr>
      <xdr:spPr>
        <a:xfrm>
          <a:off x="9405408" y="15627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7N-7W</a:t>
          </a:r>
        </a:p>
      </xdr:txBody>
    </xdr:sp>
    <xdr:clientData/>
  </xdr:oneCellAnchor>
  <xdr:oneCellAnchor>
    <xdr:from>
      <xdr:col>14</xdr:col>
      <xdr:colOff>118863</xdr:colOff>
      <xdr:row>81</xdr:row>
      <xdr:rowOff>141390</xdr:rowOff>
    </xdr:from>
    <xdr:ext cx="706540" cy="280205"/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E65069F4-50C6-47EE-8EF3-B95AC31F07EF}"/>
            </a:ext>
          </a:extLst>
        </xdr:cNvPr>
        <xdr:cNvSpPr txBox="1"/>
      </xdr:nvSpPr>
      <xdr:spPr>
        <a:xfrm>
          <a:off x="3052563" y="15619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7N-12W</a:t>
          </a:r>
        </a:p>
      </xdr:txBody>
    </xdr:sp>
    <xdr:clientData/>
  </xdr:oneCellAnchor>
  <xdr:oneCellAnchor>
    <xdr:from>
      <xdr:col>8</xdr:col>
      <xdr:colOff>159931</xdr:colOff>
      <xdr:row>81</xdr:row>
      <xdr:rowOff>130400</xdr:rowOff>
    </xdr:from>
    <xdr:ext cx="706540" cy="280205"/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240D1581-AE9B-4695-B2F9-03D9810EF62D}"/>
            </a:ext>
          </a:extLst>
        </xdr:cNvPr>
        <xdr:cNvSpPr txBox="1"/>
      </xdr:nvSpPr>
      <xdr:spPr>
        <a:xfrm>
          <a:off x="1836331" y="15608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7N-13W</a:t>
          </a:r>
        </a:p>
      </xdr:txBody>
    </xdr:sp>
    <xdr:clientData/>
  </xdr:oneCellAnchor>
  <xdr:oneCellAnchor>
    <xdr:from>
      <xdr:col>20</xdr:col>
      <xdr:colOff>175333</xdr:colOff>
      <xdr:row>81</xdr:row>
      <xdr:rowOff>145802</xdr:rowOff>
    </xdr:from>
    <xdr:ext cx="706540" cy="280205"/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FED22668-D14F-4029-BF40-7CEEE614536F}"/>
            </a:ext>
          </a:extLst>
        </xdr:cNvPr>
        <xdr:cNvSpPr txBox="1"/>
      </xdr:nvSpPr>
      <xdr:spPr>
        <a:xfrm>
          <a:off x="4366333" y="15623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7N-11W</a:t>
          </a:r>
        </a:p>
      </xdr:txBody>
    </xdr:sp>
    <xdr:clientData/>
  </xdr:oneCellAnchor>
  <xdr:oneCellAnchor>
    <xdr:from>
      <xdr:col>32</xdr:col>
      <xdr:colOff>180218</xdr:colOff>
      <xdr:row>81</xdr:row>
      <xdr:rowOff>140895</xdr:rowOff>
    </xdr:from>
    <xdr:ext cx="628570" cy="280205"/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26A73977-76A1-4D87-A02A-8CED4F22CF0B}"/>
            </a:ext>
          </a:extLst>
        </xdr:cNvPr>
        <xdr:cNvSpPr txBox="1"/>
      </xdr:nvSpPr>
      <xdr:spPr>
        <a:xfrm>
          <a:off x="6885818" y="15619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7N-9W</a:t>
          </a:r>
        </a:p>
      </xdr:txBody>
    </xdr:sp>
    <xdr:clientData/>
  </xdr:oneCellAnchor>
  <xdr:oneCellAnchor>
    <xdr:from>
      <xdr:col>26</xdr:col>
      <xdr:colOff>192629</xdr:colOff>
      <xdr:row>81</xdr:row>
      <xdr:rowOff>144853</xdr:rowOff>
    </xdr:from>
    <xdr:ext cx="706540" cy="280205"/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E3DB1DB5-AA62-42D5-A1FA-9D70B3CDC637}"/>
            </a:ext>
          </a:extLst>
        </xdr:cNvPr>
        <xdr:cNvSpPr txBox="1"/>
      </xdr:nvSpPr>
      <xdr:spPr>
        <a:xfrm>
          <a:off x="5640929" y="15622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7N-10W</a:t>
          </a:r>
        </a:p>
      </xdr:txBody>
    </xdr:sp>
    <xdr:clientData/>
  </xdr:oneCellAnchor>
  <xdr:oneCellAnchor>
    <xdr:from>
      <xdr:col>38</xdr:col>
      <xdr:colOff>178342</xdr:colOff>
      <xdr:row>81</xdr:row>
      <xdr:rowOff>153243</xdr:rowOff>
    </xdr:from>
    <xdr:ext cx="628570" cy="28020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B9F46015-EE47-43BF-B0E8-405C2FDC3A46}"/>
            </a:ext>
          </a:extLst>
        </xdr:cNvPr>
        <xdr:cNvSpPr txBox="1"/>
      </xdr:nvSpPr>
      <xdr:spPr>
        <a:xfrm>
          <a:off x="8141242" y="15631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7N-8W</a:t>
          </a:r>
        </a:p>
      </xdr:txBody>
    </xdr:sp>
    <xdr:clientData/>
  </xdr:oneCellAnchor>
  <xdr:oneCellAnchor>
    <xdr:from>
      <xdr:col>50</xdr:col>
      <xdr:colOff>169831</xdr:colOff>
      <xdr:row>81</xdr:row>
      <xdr:rowOff>142874</xdr:rowOff>
    </xdr:from>
    <xdr:ext cx="628570" cy="280205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2126C44-8541-4143-BC16-165F735BD07F}"/>
            </a:ext>
          </a:extLst>
        </xdr:cNvPr>
        <xdr:cNvSpPr txBox="1"/>
      </xdr:nvSpPr>
      <xdr:spPr>
        <a:xfrm>
          <a:off x="10647331" y="15620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7N-6W</a:t>
          </a:r>
        </a:p>
      </xdr:txBody>
    </xdr:sp>
    <xdr:clientData/>
  </xdr:oneCellAnchor>
  <xdr:oneCellAnchor>
    <xdr:from>
      <xdr:col>56</xdr:col>
      <xdr:colOff>149049</xdr:colOff>
      <xdr:row>81</xdr:row>
      <xdr:rowOff>146832</xdr:rowOff>
    </xdr:from>
    <xdr:ext cx="628570" cy="280205"/>
    <xdr:sp macro="" textlink="">
      <xdr:nvSpPr>
        <xdr:cNvPr id="173" name="TextBox 172">
          <a:extLst>
            <a:ext uri="{FF2B5EF4-FFF2-40B4-BE49-F238E27FC236}">
              <a16:creationId xmlns:a16="http://schemas.microsoft.com/office/drawing/2014/main" id="{8138FFBD-5EBD-4D1A-8D72-3808697C927B}"/>
            </a:ext>
          </a:extLst>
        </xdr:cNvPr>
        <xdr:cNvSpPr txBox="1"/>
      </xdr:nvSpPr>
      <xdr:spPr>
        <a:xfrm>
          <a:off x="11883849" y="15624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7N-5W</a:t>
          </a:r>
        </a:p>
      </xdr:txBody>
    </xdr:sp>
    <xdr:clientData/>
  </xdr:oneCellAnchor>
  <xdr:twoCellAnchor>
    <xdr:from>
      <xdr:col>26</xdr:col>
      <xdr:colOff>9525</xdr:colOff>
      <xdr:row>1</xdr:row>
      <xdr:rowOff>57150</xdr:rowOff>
    </xdr:from>
    <xdr:to>
      <xdr:col>26</xdr:col>
      <xdr:colOff>19050</xdr:colOff>
      <xdr:row>104</xdr:row>
      <xdr:rowOff>104775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C12DE42-B514-4619-A87B-25363C2ADAD1}"/>
            </a:ext>
          </a:extLst>
        </xdr:cNvPr>
        <xdr:cNvCxnSpPr/>
      </xdr:nvCxnSpPr>
      <xdr:spPr>
        <a:xfrm>
          <a:off x="5457825" y="247650"/>
          <a:ext cx="9525" cy="197167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200025</xdr:colOff>
      <xdr:row>1</xdr:row>
      <xdr:rowOff>171450</xdr:rowOff>
    </xdr:from>
    <xdr:to>
      <xdr:col>32</xdr:col>
      <xdr:colOff>19050</xdr:colOff>
      <xdr:row>104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D5A64932-911A-4FD4-9B1D-DD00A24FCBB3}"/>
            </a:ext>
          </a:extLst>
        </xdr:cNvPr>
        <xdr:cNvCxnSpPr/>
      </xdr:nvCxnSpPr>
      <xdr:spPr>
        <a:xfrm>
          <a:off x="6619047" y="364711"/>
          <a:ext cx="26090" cy="1988681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</xdr:colOff>
      <xdr:row>1</xdr:row>
      <xdr:rowOff>114300</xdr:rowOff>
    </xdr:from>
    <xdr:to>
      <xdr:col>20</xdr:col>
      <xdr:colOff>19050</xdr:colOff>
      <xdr:row>104</xdr:row>
      <xdr:rowOff>38100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47D4D255-5E8F-4F69-966B-DB9B7E7DEEC4}"/>
            </a:ext>
          </a:extLst>
        </xdr:cNvPr>
        <xdr:cNvCxnSpPr/>
      </xdr:nvCxnSpPr>
      <xdr:spPr>
        <a:xfrm>
          <a:off x="4200525" y="304800"/>
          <a:ext cx="9525" cy="195929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200025</xdr:colOff>
      <xdr:row>0</xdr:row>
      <xdr:rowOff>152400</xdr:rowOff>
    </xdr:from>
    <xdr:to>
      <xdr:col>14</xdr:col>
      <xdr:colOff>9526</xdr:colOff>
      <xdr:row>104</xdr:row>
      <xdr:rowOff>47625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994DD751-A392-470F-AEF5-292477CF7530}"/>
            </a:ext>
          </a:extLst>
        </xdr:cNvPr>
        <xdr:cNvCxnSpPr/>
      </xdr:nvCxnSpPr>
      <xdr:spPr>
        <a:xfrm flipH="1">
          <a:off x="2924175" y="152400"/>
          <a:ext cx="19051" cy="197548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</xdr:colOff>
      <xdr:row>1</xdr:row>
      <xdr:rowOff>19050</xdr:rowOff>
    </xdr:from>
    <xdr:to>
      <xdr:col>8</xdr:col>
      <xdr:colOff>19050</xdr:colOff>
      <xdr:row>104</xdr:row>
      <xdr:rowOff>76200</xdr:rowOff>
    </xdr:to>
    <xdr:cxnSp macro="">
      <xdr:nvCxnSpPr>
        <xdr:cNvPr id="178" name="Straight Connector 177">
          <a:extLst>
            <a:ext uri="{FF2B5EF4-FFF2-40B4-BE49-F238E27FC236}">
              <a16:creationId xmlns:a16="http://schemas.microsoft.com/office/drawing/2014/main" id="{62168389-A364-4AF1-9658-D98C7123EFCE}"/>
            </a:ext>
          </a:extLst>
        </xdr:cNvPr>
        <xdr:cNvCxnSpPr/>
      </xdr:nvCxnSpPr>
      <xdr:spPr>
        <a:xfrm>
          <a:off x="1676401" y="209550"/>
          <a:ext cx="19049" cy="197262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</xdr:colOff>
      <xdr:row>0</xdr:row>
      <xdr:rowOff>180975</xdr:rowOff>
    </xdr:from>
    <xdr:to>
      <xdr:col>44</xdr:col>
      <xdr:colOff>9526</xdr:colOff>
      <xdr:row>104</xdr:row>
      <xdr:rowOff>85725</xdr:rowOff>
    </xdr:to>
    <xdr:cxnSp macro="">
      <xdr:nvCxnSpPr>
        <xdr:cNvPr id="179" name="Straight Connector 178">
          <a:extLst>
            <a:ext uri="{FF2B5EF4-FFF2-40B4-BE49-F238E27FC236}">
              <a16:creationId xmlns:a16="http://schemas.microsoft.com/office/drawing/2014/main" id="{C015F606-9F6C-4A27-ABEA-B0D0E47F7FDA}"/>
            </a:ext>
          </a:extLst>
        </xdr:cNvPr>
        <xdr:cNvCxnSpPr/>
      </xdr:nvCxnSpPr>
      <xdr:spPr>
        <a:xfrm flipH="1">
          <a:off x="9229725" y="180975"/>
          <a:ext cx="1" cy="197643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0</xdr:colOff>
      <xdr:row>1</xdr:row>
      <xdr:rowOff>28575</xdr:rowOff>
    </xdr:from>
    <xdr:to>
      <xdr:col>50</xdr:col>
      <xdr:colOff>9525</xdr:colOff>
      <xdr:row>104</xdr:row>
      <xdr:rowOff>123825</xdr:rowOff>
    </xdr:to>
    <xdr:cxnSp macro="">
      <xdr:nvCxnSpPr>
        <xdr:cNvPr id="180" name="Straight Connector 179">
          <a:extLst>
            <a:ext uri="{FF2B5EF4-FFF2-40B4-BE49-F238E27FC236}">
              <a16:creationId xmlns:a16="http://schemas.microsoft.com/office/drawing/2014/main" id="{39E05D00-1602-4E81-AC41-96825AC4DE34}"/>
            </a:ext>
          </a:extLst>
        </xdr:cNvPr>
        <xdr:cNvCxnSpPr/>
      </xdr:nvCxnSpPr>
      <xdr:spPr>
        <a:xfrm flipH="1">
          <a:off x="10477500" y="219075"/>
          <a:ext cx="9525" cy="1976437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0</xdr:row>
      <xdr:rowOff>66675</xdr:rowOff>
    </xdr:from>
    <xdr:to>
      <xdr:col>56</xdr:col>
      <xdr:colOff>9525</xdr:colOff>
      <xdr:row>104</xdr:row>
      <xdr:rowOff>38100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CDAF1E6E-EAD7-446B-B63D-2B54ECAE2CD4}"/>
            </a:ext>
          </a:extLst>
        </xdr:cNvPr>
        <xdr:cNvCxnSpPr/>
      </xdr:nvCxnSpPr>
      <xdr:spPr>
        <a:xfrm>
          <a:off x="11734800" y="66675"/>
          <a:ext cx="9525" cy="19831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19050</xdr:colOff>
      <xdr:row>0</xdr:row>
      <xdr:rowOff>171450</xdr:rowOff>
    </xdr:from>
    <xdr:to>
      <xdr:col>62</xdr:col>
      <xdr:colOff>19050</xdr:colOff>
      <xdr:row>104</xdr:row>
      <xdr:rowOff>9525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D31A1FA1-613E-4995-B7B4-46526481F2E1}"/>
            </a:ext>
          </a:extLst>
        </xdr:cNvPr>
        <xdr:cNvCxnSpPr/>
      </xdr:nvCxnSpPr>
      <xdr:spPr>
        <a:xfrm>
          <a:off x="13011150" y="171450"/>
          <a:ext cx="0" cy="1969770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12369</xdr:colOff>
      <xdr:row>1</xdr:row>
      <xdr:rowOff>174295</xdr:rowOff>
    </xdr:from>
    <xdr:to>
      <xdr:col>68</xdr:col>
      <xdr:colOff>19050</xdr:colOff>
      <xdr:row>104</xdr:row>
      <xdr:rowOff>38100</xdr:rowOff>
    </xdr:to>
    <xdr:cxnSp macro="">
      <xdr:nvCxnSpPr>
        <xdr:cNvPr id="183" name="Straight Connector 182">
          <a:extLst>
            <a:ext uri="{FF2B5EF4-FFF2-40B4-BE49-F238E27FC236}">
              <a16:creationId xmlns:a16="http://schemas.microsoft.com/office/drawing/2014/main" id="{59C3C046-0C34-4113-AAAD-DDA5BD13D4F8}"/>
            </a:ext>
          </a:extLst>
        </xdr:cNvPr>
        <xdr:cNvCxnSpPr/>
      </xdr:nvCxnSpPr>
      <xdr:spPr>
        <a:xfrm>
          <a:off x="14261769" y="364795"/>
          <a:ext cx="6681" cy="19532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74</xdr:col>
      <xdr:colOff>0</xdr:colOff>
      <xdr:row>8</xdr:row>
      <xdr:rowOff>0</xdr:rowOff>
    </xdr:to>
    <xdr:cxnSp macro="">
      <xdr:nvCxnSpPr>
        <xdr:cNvPr id="184" name="Straight Connector 183">
          <a:extLst>
            <a:ext uri="{FF2B5EF4-FFF2-40B4-BE49-F238E27FC236}">
              <a16:creationId xmlns:a16="http://schemas.microsoft.com/office/drawing/2014/main" id="{EA507BB7-873B-4B17-AD30-19D4255163BE}"/>
            </a:ext>
          </a:extLst>
        </xdr:cNvPr>
        <xdr:cNvCxnSpPr/>
      </xdr:nvCxnSpPr>
      <xdr:spPr>
        <a:xfrm>
          <a:off x="0" y="1571625"/>
          <a:ext cx="155067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38</xdr:row>
      <xdr:rowOff>0</xdr:rowOff>
    </xdr:from>
    <xdr:to>
      <xdr:col>74</xdr:col>
      <xdr:colOff>37111</xdr:colOff>
      <xdr:row>38</xdr:row>
      <xdr:rowOff>9525</xdr:rowOff>
    </xdr:to>
    <xdr:cxnSp macro="">
      <xdr:nvCxnSpPr>
        <xdr:cNvPr id="185" name="Straight Connector 184">
          <a:extLst>
            <a:ext uri="{FF2B5EF4-FFF2-40B4-BE49-F238E27FC236}">
              <a16:creationId xmlns:a16="http://schemas.microsoft.com/office/drawing/2014/main" id="{1D43732A-150D-48E0-AE5C-3A670A804B3F}"/>
            </a:ext>
          </a:extLst>
        </xdr:cNvPr>
        <xdr:cNvCxnSpPr/>
      </xdr:nvCxnSpPr>
      <xdr:spPr>
        <a:xfrm flipV="1">
          <a:off x="342900" y="7286625"/>
          <a:ext cx="1520091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44</xdr:row>
      <xdr:rowOff>9525</xdr:rowOff>
    </xdr:from>
    <xdr:to>
      <xdr:col>74</xdr:col>
      <xdr:colOff>37111</xdr:colOff>
      <xdr:row>44</xdr:row>
      <xdr:rowOff>12370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3F7B8785-E68A-48D3-BDB7-59069E2E4CA4}"/>
            </a:ext>
          </a:extLst>
        </xdr:cNvPr>
        <xdr:cNvCxnSpPr/>
      </xdr:nvCxnSpPr>
      <xdr:spPr>
        <a:xfrm>
          <a:off x="38100" y="8439150"/>
          <a:ext cx="15505711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50</xdr:row>
      <xdr:rowOff>12371</xdr:rowOff>
    </xdr:from>
    <xdr:to>
      <xdr:col>74</xdr:col>
      <xdr:colOff>37111</xdr:colOff>
      <xdr:row>50</xdr:row>
      <xdr:rowOff>19050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BC63D071-DD19-4099-9098-51E66D493FAD}"/>
            </a:ext>
          </a:extLst>
        </xdr:cNvPr>
        <xdr:cNvCxnSpPr/>
      </xdr:nvCxnSpPr>
      <xdr:spPr>
        <a:xfrm flipV="1">
          <a:off x="247650" y="9584996"/>
          <a:ext cx="15296161" cy="667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74</xdr:col>
      <xdr:colOff>24741</xdr:colOff>
      <xdr:row>32</xdr:row>
      <xdr:rowOff>9525</xdr:rowOff>
    </xdr:to>
    <xdr:cxnSp macro="">
      <xdr:nvCxnSpPr>
        <xdr:cNvPr id="188" name="Straight Connector 187">
          <a:extLst>
            <a:ext uri="{FF2B5EF4-FFF2-40B4-BE49-F238E27FC236}">
              <a16:creationId xmlns:a16="http://schemas.microsoft.com/office/drawing/2014/main" id="{C897BF0A-CF24-4EEA-B1EF-ED8DF6C13B2C}"/>
            </a:ext>
          </a:extLst>
        </xdr:cNvPr>
        <xdr:cNvCxnSpPr/>
      </xdr:nvCxnSpPr>
      <xdr:spPr>
        <a:xfrm flipV="1">
          <a:off x="0" y="6143625"/>
          <a:ext cx="1553144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25</xdr:row>
      <xdr:rowOff>180975</xdr:rowOff>
    </xdr:from>
    <xdr:to>
      <xdr:col>74</xdr:col>
      <xdr:colOff>9525</xdr:colOff>
      <xdr:row>26</xdr:row>
      <xdr:rowOff>12370</xdr:rowOff>
    </xdr:to>
    <xdr:cxnSp macro="">
      <xdr:nvCxnSpPr>
        <xdr:cNvPr id="189" name="Straight Connector 188">
          <a:extLst>
            <a:ext uri="{FF2B5EF4-FFF2-40B4-BE49-F238E27FC236}">
              <a16:creationId xmlns:a16="http://schemas.microsoft.com/office/drawing/2014/main" id="{BDA8858F-375D-45E3-A974-29E18DF6AAA5}"/>
            </a:ext>
          </a:extLst>
        </xdr:cNvPr>
        <xdr:cNvCxnSpPr/>
      </xdr:nvCxnSpPr>
      <xdr:spPr>
        <a:xfrm>
          <a:off x="342900" y="4943475"/>
          <a:ext cx="15173325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19</xdr:row>
      <xdr:rowOff>180975</xdr:rowOff>
    </xdr:from>
    <xdr:to>
      <xdr:col>74</xdr:col>
      <xdr:colOff>0</xdr:colOff>
      <xdr:row>20</xdr:row>
      <xdr:rowOff>12370</xdr:rowOff>
    </xdr:to>
    <xdr:cxnSp macro="">
      <xdr:nvCxnSpPr>
        <xdr:cNvPr id="190" name="Straight Connector 189">
          <a:extLst>
            <a:ext uri="{FF2B5EF4-FFF2-40B4-BE49-F238E27FC236}">
              <a16:creationId xmlns:a16="http://schemas.microsoft.com/office/drawing/2014/main" id="{2745DEB8-C4AA-4B5D-9A5F-149B4C4310BD}"/>
            </a:ext>
          </a:extLst>
        </xdr:cNvPr>
        <xdr:cNvCxnSpPr/>
      </xdr:nvCxnSpPr>
      <xdr:spPr>
        <a:xfrm>
          <a:off x="340415" y="3852932"/>
          <a:ext cx="14996215" cy="2465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</xdr:row>
      <xdr:rowOff>173182</xdr:rowOff>
    </xdr:from>
    <xdr:to>
      <xdr:col>74</xdr:col>
      <xdr:colOff>12371</xdr:colOff>
      <xdr:row>14</xdr:row>
      <xdr:rowOff>24741</xdr:rowOff>
    </xdr:to>
    <xdr:cxnSp macro="">
      <xdr:nvCxnSpPr>
        <xdr:cNvPr id="191" name="Straight Connector 190">
          <a:extLst>
            <a:ext uri="{FF2B5EF4-FFF2-40B4-BE49-F238E27FC236}">
              <a16:creationId xmlns:a16="http://schemas.microsoft.com/office/drawing/2014/main" id="{11C06CC6-A227-4F60-9539-7F782EB25C99}"/>
            </a:ext>
          </a:extLst>
        </xdr:cNvPr>
        <xdr:cNvCxnSpPr/>
      </xdr:nvCxnSpPr>
      <xdr:spPr>
        <a:xfrm>
          <a:off x="419100" y="2697307"/>
          <a:ext cx="15099971" cy="4205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70037</xdr:colOff>
      <xdr:row>55</xdr:row>
      <xdr:rowOff>182095</xdr:rowOff>
    </xdr:from>
    <xdr:to>
      <xdr:col>74</xdr:col>
      <xdr:colOff>24741</xdr:colOff>
      <xdr:row>56</xdr:row>
      <xdr:rowOff>0</xdr:rowOff>
    </xdr:to>
    <xdr:cxnSp macro="">
      <xdr:nvCxnSpPr>
        <xdr:cNvPr id="192" name="Straight Connector 191">
          <a:extLst>
            <a:ext uri="{FF2B5EF4-FFF2-40B4-BE49-F238E27FC236}">
              <a16:creationId xmlns:a16="http://schemas.microsoft.com/office/drawing/2014/main" id="{8FCCD9AA-ED22-4C7B-A748-68AD025DFDE1}"/>
            </a:ext>
          </a:extLst>
        </xdr:cNvPr>
        <xdr:cNvCxnSpPr/>
      </xdr:nvCxnSpPr>
      <xdr:spPr>
        <a:xfrm>
          <a:off x="280147" y="10967757"/>
          <a:ext cx="15306763" cy="14008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190500</xdr:colOff>
      <xdr:row>62</xdr:row>
      <xdr:rowOff>0</xdr:rowOff>
    </xdr:from>
    <xdr:to>
      <xdr:col>74</xdr:col>
      <xdr:colOff>12371</xdr:colOff>
      <xdr:row>62</xdr:row>
      <xdr:rowOff>9525</xdr:rowOff>
    </xdr:to>
    <xdr:cxnSp macro="">
      <xdr:nvCxnSpPr>
        <xdr:cNvPr id="193" name="Straight Connector 192">
          <a:extLst>
            <a:ext uri="{FF2B5EF4-FFF2-40B4-BE49-F238E27FC236}">
              <a16:creationId xmlns:a16="http://schemas.microsoft.com/office/drawing/2014/main" id="{845A80AB-0064-4C35-835C-190D8672EB75}"/>
            </a:ext>
          </a:extLst>
        </xdr:cNvPr>
        <xdr:cNvCxnSpPr/>
      </xdr:nvCxnSpPr>
      <xdr:spPr>
        <a:xfrm flipV="1">
          <a:off x="190500" y="11858625"/>
          <a:ext cx="15328571" cy="952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68</xdr:row>
      <xdr:rowOff>0</xdr:rowOff>
    </xdr:from>
    <xdr:to>
      <xdr:col>74</xdr:col>
      <xdr:colOff>61851</xdr:colOff>
      <xdr:row>68</xdr:row>
      <xdr:rowOff>19050</xdr:rowOff>
    </xdr:to>
    <xdr:cxnSp macro="">
      <xdr:nvCxnSpPr>
        <xdr:cNvPr id="194" name="Straight Connector 193">
          <a:extLst>
            <a:ext uri="{FF2B5EF4-FFF2-40B4-BE49-F238E27FC236}">
              <a16:creationId xmlns:a16="http://schemas.microsoft.com/office/drawing/2014/main" id="{B3804A94-99A6-43B5-9519-E0C082BA3E9B}"/>
            </a:ext>
          </a:extLst>
        </xdr:cNvPr>
        <xdr:cNvCxnSpPr/>
      </xdr:nvCxnSpPr>
      <xdr:spPr>
        <a:xfrm flipV="1">
          <a:off x="342900" y="13001625"/>
          <a:ext cx="15225651" cy="1905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73</xdr:row>
      <xdr:rowOff>180975</xdr:rowOff>
    </xdr:from>
    <xdr:to>
      <xdr:col>74</xdr:col>
      <xdr:colOff>61851</xdr:colOff>
      <xdr:row>74</xdr:row>
      <xdr:rowOff>12370</xdr:rowOff>
    </xdr:to>
    <xdr:cxnSp macro="">
      <xdr:nvCxnSpPr>
        <xdr:cNvPr id="195" name="Straight Connector 194">
          <a:extLst>
            <a:ext uri="{FF2B5EF4-FFF2-40B4-BE49-F238E27FC236}">
              <a16:creationId xmlns:a16="http://schemas.microsoft.com/office/drawing/2014/main" id="{863787C8-4D35-4C10-A223-62DD7479B2B1}"/>
            </a:ext>
          </a:extLst>
        </xdr:cNvPr>
        <xdr:cNvCxnSpPr/>
      </xdr:nvCxnSpPr>
      <xdr:spPr>
        <a:xfrm>
          <a:off x="247650" y="14135100"/>
          <a:ext cx="15320901" cy="2189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80</xdr:row>
      <xdr:rowOff>9525</xdr:rowOff>
    </xdr:from>
    <xdr:to>
      <xdr:col>74</xdr:col>
      <xdr:colOff>61851</xdr:colOff>
      <xdr:row>80</xdr:row>
      <xdr:rowOff>12370</xdr:rowOff>
    </xdr:to>
    <xdr:cxnSp macro="">
      <xdr:nvCxnSpPr>
        <xdr:cNvPr id="196" name="Straight Connector 195">
          <a:extLst>
            <a:ext uri="{FF2B5EF4-FFF2-40B4-BE49-F238E27FC236}">
              <a16:creationId xmlns:a16="http://schemas.microsoft.com/office/drawing/2014/main" id="{B0F5C4A3-4480-4127-A519-4A14FE832A67}"/>
            </a:ext>
          </a:extLst>
        </xdr:cNvPr>
        <xdr:cNvCxnSpPr/>
      </xdr:nvCxnSpPr>
      <xdr:spPr>
        <a:xfrm>
          <a:off x="9525" y="15297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203948</xdr:colOff>
      <xdr:row>1</xdr:row>
      <xdr:rowOff>160812</xdr:rowOff>
    </xdr:from>
    <xdr:to>
      <xdr:col>56</xdr:col>
      <xdr:colOff>24740</xdr:colOff>
      <xdr:row>86</xdr:row>
      <xdr:rowOff>179854</xdr:rowOff>
    </xdr:to>
    <xdr:cxnSp macro="">
      <xdr:nvCxnSpPr>
        <xdr:cNvPr id="197" name="Straight Connector 196">
          <a:extLst>
            <a:ext uri="{FF2B5EF4-FFF2-40B4-BE49-F238E27FC236}">
              <a16:creationId xmlns:a16="http://schemas.microsoft.com/office/drawing/2014/main" id="{CB873A5C-550F-42BB-84AB-2057B6DE8996}"/>
            </a:ext>
          </a:extLst>
        </xdr:cNvPr>
        <xdr:cNvCxnSpPr/>
      </xdr:nvCxnSpPr>
      <xdr:spPr>
        <a:xfrm flipH="1">
          <a:off x="11592535" y="354073"/>
          <a:ext cx="27857" cy="16446216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123702</xdr:colOff>
      <xdr:row>7</xdr:row>
      <xdr:rowOff>175657</xdr:rowOff>
    </xdr:from>
    <xdr:to>
      <xdr:col>62</xdr:col>
      <xdr:colOff>12370</xdr:colOff>
      <xdr:row>8</xdr:row>
      <xdr:rowOff>0</xdr:rowOff>
    </xdr:to>
    <xdr:cxnSp macro="">
      <xdr:nvCxnSpPr>
        <xdr:cNvPr id="198" name="Straight Connector 197">
          <a:extLst>
            <a:ext uri="{FF2B5EF4-FFF2-40B4-BE49-F238E27FC236}">
              <a16:creationId xmlns:a16="http://schemas.microsoft.com/office/drawing/2014/main" id="{EA369239-750B-4A94-991E-D07752765074}"/>
            </a:ext>
          </a:extLst>
        </xdr:cNvPr>
        <xdr:cNvCxnSpPr/>
      </xdr:nvCxnSpPr>
      <xdr:spPr>
        <a:xfrm>
          <a:off x="1590552" y="1556782"/>
          <a:ext cx="11413918" cy="1484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12369</xdr:colOff>
      <xdr:row>7</xdr:row>
      <xdr:rowOff>111331</xdr:rowOff>
    </xdr:from>
    <xdr:to>
      <xdr:col>62</xdr:col>
      <xdr:colOff>19050</xdr:colOff>
      <xdr:row>97</xdr:row>
      <xdr:rowOff>171450</xdr:rowOff>
    </xdr:to>
    <xdr:cxnSp macro="">
      <xdr:nvCxnSpPr>
        <xdr:cNvPr id="199" name="Straight Connector 198">
          <a:extLst>
            <a:ext uri="{FF2B5EF4-FFF2-40B4-BE49-F238E27FC236}">
              <a16:creationId xmlns:a16="http://schemas.microsoft.com/office/drawing/2014/main" id="{C9B948DE-FDC3-43FF-9A5F-8F9DF8E4665D}"/>
            </a:ext>
          </a:extLst>
        </xdr:cNvPr>
        <xdr:cNvCxnSpPr/>
      </xdr:nvCxnSpPr>
      <xdr:spPr>
        <a:xfrm>
          <a:off x="13004469" y="1492456"/>
          <a:ext cx="6681" cy="1720511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62</xdr:row>
      <xdr:rowOff>12370</xdr:rowOff>
    </xdr:from>
    <xdr:to>
      <xdr:col>38</xdr:col>
      <xdr:colOff>24741</xdr:colOff>
      <xdr:row>98</xdr:row>
      <xdr:rowOff>19050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F8740879-3757-4386-882F-6217D26ED8B5}"/>
            </a:ext>
          </a:extLst>
        </xdr:cNvPr>
        <xdr:cNvCxnSpPr/>
      </xdr:nvCxnSpPr>
      <xdr:spPr>
        <a:xfrm flipH="1">
          <a:off x="7962900" y="11870995"/>
          <a:ext cx="24741" cy="686468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190007</xdr:colOff>
      <xdr:row>7</xdr:row>
      <xdr:rowOff>193260</xdr:rowOff>
    </xdr:from>
    <xdr:to>
      <xdr:col>32</xdr:col>
      <xdr:colOff>24740</xdr:colOff>
      <xdr:row>37</xdr:row>
      <xdr:rowOff>148442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5B098316-300E-4611-8731-C635A9FAF8CA}"/>
            </a:ext>
          </a:extLst>
        </xdr:cNvPr>
        <xdr:cNvCxnSpPr/>
      </xdr:nvCxnSpPr>
      <xdr:spPr>
        <a:xfrm>
          <a:off x="6609029" y="1546086"/>
          <a:ext cx="41798" cy="575300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181099</xdr:rowOff>
    </xdr:from>
    <xdr:to>
      <xdr:col>10</xdr:col>
      <xdr:colOff>37111</xdr:colOff>
      <xdr:row>8</xdr:row>
      <xdr:rowOff>0</xdr:rowOff>
    </xdr:to>
    <xdr:cxnSp macro="">
      <xdr:nvCxnSpPr>
        <xdr:cNvPr id="203" name="Straight Connector 202">
          <a:extLst>
            <a:ext uri="{FF2B5EF4-FFF2-40B4-BE49-F238E27FC236}">
              <a16:creationId xmlns:a16="http://schemas.microsoft.com/office/drawing/2014/main" id="{DD084A78-1EBA-4DE0-8E83-B7E4FC916CED}"/>
            </a:ext>
          </a:extLst>
        </xdr:cNvPr>
        <xdr:cNvCxnSpPr/>
      </xdr:nvCxnSpPr>
      <xdr:spPr>
        <a:xfrm flipH="1" flipV="1">
          <a:off x="0" y="1562224"/>
          <a:ext cx="2132611" cy="940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</xdr:colOff>
      <xdr:row>31</xdr:row>
      <xdr:rowOff>173182</xdr:rowOff>
    </xdr:from>
    <xdr:to>
      <xdr:col>8</xdr:col>
      <xdr:colOff>24740</xdr:colOff>
      <xdr:row>31</xdr:row>
      <xdr:rowOff>173183</xdr:rowOff>
    </xdr:to>
    <xdr:cxnSp macro="">
      <xdr:nvCxnSpPr>
        <xdr:cNvPr id="204" name="Straight Connector 203">
          <a:extLst>
            <a:ext uri="{FF2B5EF4-FFF2-40B4-BE49-F238E27FC236}">
              <a16:creationId xmlns:a16="http://schemas.microsoft.com/office/drawing/2014/main" id="{314BB6B5-DA34-4509-8402-65ADF4591F1A}"/>
            </a:ext>
          </a:extLst>
        </xdr:cNvPr>
        <xdr:cNvCxnSpPr/>
      </xdr:nvCxnSpPr>
      <xdr:spPr>
        <a:xfrm flipH="1">
          <a:off x="1" y="6126307"/>
          <a:ext cx="1701139" cy="1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197923</xdr:colOff>
      <xdr:row>37</xdr:row>
      <xdr:rowOff>173182</xdr:rowOff>
    </xdr:from>
    <xdr:to>
      <xdr:col>62</xdr:col>
      <xdr:colOff>49480</xdr:colOff>
      <xdr:row>38</xdr:row>
      <xdr:rowOff>0</xdr:rowOff>
    </xdr:to>
    <xdr:cxnSp macro="">
      <xdr:nvCxnSpPr>
        <xdr:cNvPr id="205" name="Straight Connector 204">
          <a:extLst>
            <a:ext uri="{FF2B5EF4-FFF2-40B4-BE49-F238E27FC236}">
              <a16:creationId xmlns:a16="http://schemas.microsoft.com/office/drawing/2014/main" id="{2F03F73B-840A-41F1-9913-BD686EC02FC3}"/>
            </a:ext>
          </a:extLst>
        </xdr:cNvPr>
        <xdr:cNvCxnSpPr/>
      </xdr:nvCxnSpPr>
      <xdr:spPr>
        <a:xfrm flipH="1">
          <a:off x="5436673" y="7269307"/>
          <a:ext cx="7604907" cy="1731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12371</xdr:colOff>
      <xdr:row>37</xdr:row>
      <xdr:rowOff>145597</xdr:rowOff>
    </xdr:from>
    <xdr:to>
      <xdr:col>26</xdr:col>
      <xdr:colOff>13360</xdr:colOff>
      <xdr:row>62</xdr:row>
      <xdr:rowOff>0</xdr:rowOff>
    </xdr:to>
    <xdr:cxnSp macro="">
      <xdr:nvCxnSpPr>
        <xdr:cNvPr id="206" name="Straight Connector 205">
          <a:extLst>
            <a:ext uri="{FF2B5EF4-FFF2-40B4-BE49-F238E27FC236}">
              <a16:creationId xmlns:a16="http://schemas.microsoft.com/office/drawing/2014/main" id="{A402D719-BBB3-4CB5-90C1-6DCAAB8DE411}"/>
            </a:ext>
          </a:extLst>
        </xdr:cNvPr>
        <xdr:cNvCxnSpPr/>
      </xdr:nvCxnSpPr>
      <xdr:spPr>
        <a:xfrm flipH="1">
          <a:off x="5460671" y="7241722"/>
          <a:ext cx="989" cy="4616903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173183</xdr:colOff>
      <xdr:row>61</xdr:row>
      <xdr:rowOff>173181</xdr:rowOff>
    </xdr:from>
    <xdr:to>
      <xdr:col>38</xdr:col>
      <xdr:colOff>74221</xdr:colOff>
      <xdr:row>62</xdr:row>
      <xdr:rowOff>0</xdr:rowOff>
    </xdr:to>
    <xdr:cxnSp macro="">
      <xdr:nvCxnSpPr>
        <xdr:cNvPr id="207" name="Straight Connector 206">
          <a:extLst>
            <a:ext uri="{FF2B5EF4-FFF2-40B4-BE49-F238E27FC236}">
              <a16:creationId xmlns:a16="http://schemas.microsoft.com/office/drawing/2014/main" id="{6BCA71CE-3460-49D1-9189-E22D5DA766B0}"/>
            </a:ext>
          </a:extLst>
        </xdr:cNvPr>
        <xdr:cNvCxnSpPr/>
      </xdr:nvCxnSpPr>
      <xdr:spPr>
        <a:xfrm flipH="1" flipV="1">
          <a:off x="5411933" y="11841306"/>
          <a:ext cx="2625188" cy="17319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8186</xdr:colOff>
      <xdr:row>61</xdr:row>
      <xdr:rowOff>120244</xdr:rowOff>
    </xdr:from>
    <xdr:to>
      <xdr:col>68</xdr:col>
      <xdr:colOff>102089</xdr:colOff>
      <xdr:row>68</xdr:row>
      <xdr:rowOff>162563</xdr:rowOff>
    </xdr:to>
    <xdr:sp macro="" textlink="">
      <xdr:nvSpPr>
        <xdr:cNvPr id="208" name="Freeform: Shape 207">
          <a:extLst>
            <a:ext uri="{FF2B5EF4-FFF2-40B4-BE49-F238E27FC236}">
              <a16:creationId xmlns:a16="http://schemas.microsoft.com/office/drawing/2014/main" id="{0195E47C-61D7-4EF3-ACAB-435B8FC1E6A1}"/>
            </a:ext>
          </a:extLst>
        </xdr:cNvPr>
        <xdr:cNvSpPr>
          <a:spLocks noChangeAspect="1"/>
        </xdr:cNvSpPr>
      </xdr:nvSpPr>
      <xdr:spPr>
        <a:xfrm>
          <a:off x="7761536" y="11788369"/>
          <a:ext cx="6589953" cy="1375819"/>
        </a:xfrm>
        <a:custGeom>
          <a:avLst/>
          <a:gdLst>
            <a:gd name="connsiteX0" fmla="*/ 0 w 6398649"/>
            <a:gd name="connsiteY0" fmla="*/ 0 h 1351936"/>
            <a:gd name="connsiteX1" fmla="*/ 69133 w 6398649"/>
            <a:gd name="connsiteY1" fmla="*/ 7682 h 1351936"/>
            <a:gd name="connsiteX2" fmla="*/ 92177 w 6398649"/>
            <a:gd name="connsiteY2" fmla="*/ 15363 h 1351936"/>
            <a:gd name="connsiteX3" fmla="*/ 637560 w 6398649"/>
            <a:gd name="connsiteY3" fmla="*/ 7682 h 1351936"/>
            <a:gd name="connsiteX4" fmla="*/ 952500 w 6398649"/>
            <a:gd name="connsiteY4" fmla="*/ 30726 h 1351936"/>
            <a:gd name="connsiteX5" fmla="*/ 967863 w 6398649"/>
            <a:gd name="connsiteY5" fmla="*/ 53770 h 1351936"/>
            <a:gd name="connsiteX6" fmla="*/ 990907 w 6398649"/>
            <a:gd name="connsiteY6" fmla="*/ 61452 h 1351936"/>
            <a:gd name="connsiteX7" fmla="*/ 1021633 w 6398649"/>
            <a:gd name="connsiteY7" fmla="*/ 84496 h 1351936"/>
            <a:gd name="connsiteX8" fmla="*/ 1052359 w 6398649"/>
            <a:gd name="connsiteY8" fmla="*/ 130585 h 1351936"/>
            <a:gd name="connsiteX9" fmla="*/ 1106129 w 6398649"/>
            <a:gd name="connsiteY9" fmla="*/ 176674 h 1351936"/>
            <a:gd name="connsiteX10" fmla="*/ 1136855 w 6398649"/>
            <a:gd name="connsiteY10" fmla="*/ 184355 h 1351936"/>
            <a:gd name="connsiteX11" fmla="*/ 1159899 w 6398649"/>
            <a:gd name="connsiteY11" fmla="*/ 192036 h 1351936"/>
            <a:gd name="connsiteX12" fmla="*/ 1190625 w 6398649"/>
            <a:gd name="connsiteY12" fmla="*/ 199718 h 1351936"/>
            <a:gd name="connsiteX13" fmla="*/ 1213669 w 6398649"/>
            <a:gd name="connsiteY13" fmla="*/ 207399 h 1351936"/>
            <a:gd name="connsiteX14" fmla="*/ 1313528 w 6398649"/>
            <a:gd name="connsiteY14" fmla="*/ 238125 h 1351936"/>
            <a:gd name="connsiteX15" fmla="*/ 1336572 w 6398649"/>
            <a:gd name="connsiteY15" fmla="*/ 253488 h 1351936"/>
            <a:gd name="connsiteX16" fmla="*/ 1382661 w 6398649"/>
            <a:gd name="connsiteY16" fmla="*/ 276532 h 1351936"/>
            <a:gd name="connsiteX17" fmla="*/ 1436431 w 6398649"/>
            <a:gd name="connsiteY17" fmla="*/ 337984 h 1351936"/>
            <a:gd name="connsiteX18" fmla="*/ 1482520 w 6398649"/>
            <a:gd name="connsiteY18" fmla="*/ 384073 h 1351936"/>
            <a:gd name="connsiteX19" fmla="*/ 1505564 w 6398649"/>
            <a:gd name="connsiteY19" fmla="*/ 407117 h 1351936"/>
            <a:gd name="connsiteX20" fmla="*/ 1536290 w 6398649"/>
            <a:gd name="connsiteY20" fmla="*/ 414799 h 1351936"/>
            <a:gd name="connsiteX21" fmla="*/ 1559335 w 6398649"/>
            <a:gd name="connsiteY21" fmla="*/ 430161 h 1351936"/>
            <a:gd name="connsiteX22" fmla="*/ 1689919 w 6398649"/>
            <a:gd name="connsiteY22" fmla="*/ 445524 h 1351936"/>
            <a:gd name="connsiteX23" fmla="*/ 1743689 w 6398649"/>
            <a:gd name="connsiteY23" fmla="*/ 430161 h 1351936"/>
            <a:gd name="connsiteX24" fmla="*/ 1759052 w 6398649"/>
            <a:gd name="connsiteY24" fmla="*/ 384073 h 1351936"/>
            <a:gd name="connsiteX25" fmla="*/ 1782097 w 6398649"/>
            <a:gd name="connsiteY25" fmla="*/ 337984 h 1351936"/>
            <a:gd name="connsiteX26" fmla="*/ 1812822 w 6398649"/>
            <a:gd name="connsiteY26" fmla="*/ 268851 h 1351936"/>
            <a:gd name="connsiteX27" fmla="*/ 1820504 w 6398649"/>
            <a:gd name="connsiteY27" fmla="*/ 199718 h 1351936"/>
            <a:gd name="connsiteX28" fmla="*/ 1828185 w 6398649"/>
            <a:gd name="connsiteY28" fmla="*/ 161311 h 1351936"/>
            <a:gd name="connsiteX29" fmla="*/ 1835867 w 6398649"/>
            <a:gd name="connsiteY29" fmla="*/ 53770 h 1351936"/>
            <a:gd name="connsiteX30" fmla="*/ 1843548 w 6398649"/>
            <a:gd name="connsiteY30" fmla="*/ 30726 h 1351936"/>
            <a:gd name="connsiteX31" fmla="*/ 1889637 w 6398649"/>
            <a:gd name="connsiteY31" fmla="*/ 7682 h 1351936"/>
            <a:gd name="connsiteX32" fmla="*/ 1928044 w 6398649"/>
            <a:gd name="connsiteY32" fmla="*/ 15363 h 1351936"/>
            <a:gd name="connsiteX33" fmla="*/ 1943407 w 6398649"/>
            <a:gd name="connsiteY33" fmla="*/ 46089 h 1351936"/>
            <a:gd name="connsiteX34" fmla="*/ 1966451 w 6398649"/>
            <a:gd name="connsiteY34" fmla="*/ 69133 h 1351936"/>
            <a:gd name="connsiteX35" fmla="*/ 1989496 w 6398649"/>
            <a:gd name="connsiteY35" fmla="*/ 122903 h 1351936"/>
            <a:gd name="connsiteX36" fmla="*/ 1997177 w 6398649"/>
            <a:gd name="connsiteY36" fmla="*/ 145948 h 1351936"/>
            <a:gd name="connsiteX37" fmla="*/ 2012540 w 6398649"/>
            <a:gd name="connsiteY37" fmla="*/ 168992 h 1351936"/>
            <a:gd name="connsiteX38" fmla="*/ 2043266 w 6398649"/>
            <a:gd name="connsiteY38" fmla="*/ 238125 h 1351936"/>
            <a:gd name="connsiteX39" fmla="*/ 2066310 w 6398649"/>
            <a:gd name="connsiteY39" fmla="*/ 253488 h 1351936"/>
            <a:gd name="connsiteX40" fmla="*/ 2112399 w 6398649"/>
            <a:gd name="connsiteY40" fmla="*/ 291895 h 1351936"/>
            <a:gd name="connsiteX41" fmla="*/ 2158488 w 6398649"/>
            <a:gd name="connsiteY41" fmla="*/ 322621 h 1351936"/>
            <a:gd name="connsiteX42" fmla="*/ 2219939 w 6398649"/>
            <a:gd name="connsiteY42" fmla="*/ 345666 h 1351936"/>
            <a:gd name="connsiteX43" fmla="*/ 2250665 w 6398649"/>
            <a:gd name="connsiteY43" fmla="*/ 361028 h 1351936"/>
            <a:gd name="connsiteX44" fmla="*/ 2281391 w 6398649"/>
            <a:gd name="connsiteY44" fmla="*/ 384073 h 1351936"/>
            <a:gd name="connsiteX45" fmla="*/ 2312117 w 6398649"/>
            <a:gd name="connsiteY45" fmla="*/ 391754 h 1351936"/>
            <a:gd name="connsiteX46" fmla="*/ 2335161 w 6398649"/>
            <a:gd name="connsiteY46" fmla="*/ 407117 h 1351936"/>
            <a:gd name="connsiteX47" fmla="*/ 2419657 w 6398649"/>
            <a:gd name="connsiteY47" fmla="*/ 430161 h 1351936"/>
            <a:gd name="connsiteX48" fmla="*/ 2534879 w 6398649"/>
            <a:gd name="connsiteY48" fmla="*/ 422480 h 1351936"/>
            <a:gd name="connsiteX49" fmla="*/ 2557923 w 6398649"/>
            <a:gd name="connsiteY49" fmla="*/ 376391 h 1351936"/>
            <a:gd name="connsiteX50" fmla="*/ 2580968 w 6398649"/>
            <a:gd name="connsiteY50" fmla="*/ 361028 h 1351936"/>
            <a:gd name="connsiteX51" fmla="*/ 2634738 w 6398649"/>
            <a:gd name="connsiteY51" fmla="*/ 322621 h 1351936"/>
            <a:gd name="connsiteX52" fmla="*/ 2696189 w 6398649"/>
            <a:gd name="connsiteY52" fmla="*/ 268851 h 1351936"/>
            <a:gd name="connsiteX53" fmla="*/ 2742278 w 6398649"/>
            <a:gd name="connsiteY53" fmla="*/ 253488 h 1351936"/>
            <a:gd name="connsiteX54" fmla="*/ 2788367 w 6398649"/>
            <a:gd name="connsiteY54" fmla="*/ 261170 h 1351936"/>
            <a:gd name="connsiteX55" fmla="*/ 2803730 w 6398649"/>
            <a:gd name="connsiteY55" fmla="*/ 291895 h 1351936"/>
            <a:gd name="connsiteX56" fmla="*/ 2826774 w 6398649"/>
            <a:gd name="connsiteY56" fmla="*/ 368710 h 1351936"/>
            <a:gd name="connsiteX57" fmla="*/ 2834456 w 6398649"/>
            <a:gd name="connsiteY57" fmla="*/ 391754 h 1351936"/>
            <a:gd name="connsiteX58" fmla="*/ 2849818 w 6398649"/>
            <a:gd name="connsiteY58" fmla="*/ 476250 h 1351936"/>
            <a:gd name="connsiteX59" fmla="*/ 2865181 w 6398649"/>
            <a:gd name="connsiteY59" fmla="*/ 537702 h 1351936"/>
            <a:gd name="connsiteX60" fmla="*/ 2872863 w 6398649"/>
            <a:gd name="connsiteY60" fmla="*/ 560746 h 1351936"/>
            <a:gd name="connsiteX61" fmla="*/ 2895907 w 6398649"/>
            <a:gd name="connsiteY61" fmla="*/ 568428 h 1351936"/>
            <a:gd name="connsiteX62" fmla="*/ 2941996 w 6398649"/>
            <a:gd name="connsiteY62" fmla="*/ 599153 h 1351936"/>
            <a:gd name="connsiteX63" fmla="*/ 2965040 w 6398649"/>
            <a:gd name="connsiteY63" fmla="*/ 622198 h 1351936"/>
            <a:gd name="connsiteX64" fmla="*/ 2988085 w 6398649"/>
            <a:gd name="connsiteY64" fmla="*/ 629879 h 1351936"/>
            <a:gd name="connsiteX65" fmla="*/ 3064899 w 6398649"/>
            <a:gd name="connsiteY65" fmla="*/ 645242 h 1351936"/>
            <a:gd name="connsiteX66" fmla="*/ 3126351 w 6398649"/>
            <a:gd name="connsiteY66" fmla="*/ 668286 h 1351936"/>
            <a:gd name="connsiteX67" fmla="*/ 3149395 w 6398649"/>
            <a:gd name="connsiteY67" fmla="*/ 675968 h 1351936"/>
            <a:gd name="connsiteX68" fmla="*/ 3226210 w 6398649"/>
            <a:gd name="connsiteY68" fmla="*/ 683649 h 1351936"/>
            <a:gd name="connsiteX69" fmla="*/ 3372157 w 6398649"/>
            <a:gd name="connsiteY69" fmla="*/ 668286 h 1351936"/>
            <a:gd name="connsiteX70" fmla="*/ 3387520 w 6398649"/>
            <a:gd name="connsiteY70" fmla="*/ 645242 h 1351936"/>
            <a:gd name="connsiteX71" fmla="*/ 3448972 w 6398649"/>
            <a:gd name="connsiteY71" fmla="*/ 614516 h 1351936"/>
            <a:gd name="connsiteX72" fmla="*/ 3464335 w 6398649"/>
            <a:gd name="connsiteY72" fmla="*/ 591472 h 1351936"/>
            <a:gd name="connsiteX73" fmla="*/ 3510423 w 6398649"/>
            <a:gd name="connsiteY73" fmla="*/ 576109 h 1351936"/>
            <a:gd name="connsiteX74" fmla="*/ 3748548 w 6398649"/>
            <a:gd name="connsiteY74" fmla="*/ 568428 h 1351936"/>
            <a:gd name="connsiteX75" fmla="*/ 3879133 w 6398649"/>
            <a:gd name="connsiteY75" fmla="*/ 576109 h 1351936"/>
            <a:gd name="connsiteX76" fmla="*/ 3909859 w 6398649"/>
            <a:gd name="connsiteY76" fmla="*/ 583791 h 1351936"/>
            <a:gd name="connsiteX77" fmla="*/ 3925222 w 6398649"/>
            <a:gd name="connsiteY77" fmla="*/ 614516 h 1351936"/>
            <a:gd name="connsiteX78" fmla="*/ 3948266 w 6398649"/>
            <a:gd name="connsiteY78" fmla="*/ 637561 h 1351936"/>
            <a:gd name="connsiteX79" fmla="*/ 3955947 w 6398649"/>
            <a:gd name="connsiteY79" fmla="*/ 660605 h 1351936"/>
            <a:gd name="connsiteX80" fmla="*/ 3978992 w 6398649"/>
            <a:gd name="connsiteY80" fmla="*/ 668286 h 1351936"/>
            <a:gd name="connsiteX81" fmla="*/ 4009718 w 6398649"/>
            <a:gd name="connsiteY81" fmla="*/ 683649 h 1351936"/>
            <a:gd name="connsiteX82" fmla="*/ 4032762 w 6398649"/>
            <a:gd name="connsiteY82" fmla="*/ 699012 h 1351936"/>
            <a:gd name="connsiteX83" fmla="*/ 4101895 w 6398649"/>
            <a:gd name="connsiteY83" fmla="*/ 760464 h 1351936"/>
            <a:gd name="connsiteX84" fmla="*/ 4147984 w 6398649"/>
            <a:gd name="connsiteY84" fmla="*/ 775827 h 1351936"/>
            <a:gd name="connsiteX85" fmla="*/ 4178710 w 6398649"/>
            <a:gd name="connsiteY85" fmla="*/ 806553 h 1351936"/>
            <a:gd name="connsiteX86" fmla="*/ 4240161 w 6398649"/>
            <a:gd name="connsiteY86" fmla="*/ 821916 h 1351936"/>
            <a:gd name="connsiteX87" fmla="*/ 4470605 w 6398649"/>
            <a:gd name="connsiteY87" fmla="*/ 814234 h 1351936"/>
            <a:gd name="connsiteX88" fmla="*/ 4493649 w 6398649"/>
            <a:gd name="connsiteY88" fmla="*/ 806553 h 1351936"/>
            <a:gd name="connsiteX89" fmla="*/ 4555101 w 6398649"/>
            <a:gd name="connsiteY89" fmla="*/ 798871 h 1351936"/>
            <a:gd name="connsiteX90" fmla="*/ 4608871 w 6398649"/>
            <a:gd name="connsiteY90" fmla="*/ 783508 h 1351936"/>
            <a:gd name="connsiteX91" fmla="*/ 4685685 w 6398649"/>
            <a:gd name="connsiteY91" fmla="*/ 768145 h 1351936"/>
            <a:gd name="connsiteX92" fmla="*/ 4731774 w 6398649"/>
            <a:gd name="connsiteY92" fmla="*/ 752782 h 1351936"/>
            <a:gd name="connsiteX93" fmla="*/ 4762500 w 6398649"/>
            <a:gd name="connsiteY93" fmla="*/ 737420 h 1351936"/>
            <a:gd name="connsiteX94" fmla="*/ 4808589 w 6398649"/>
            <a:gd name="connsiteY94" fmla="*/ 722057 h 1351936"/>
            <a:gd name="connsiteX95" fmla="*/ 4877722 w 6398649"/>
            <a:gd name="connsiteY95" fmla="*/ 691331 h 1351936"/>
            <a:gd name="connsiteX96" fmla="*/ 4900766 w 6398649"/>
            <a:gd name="connsiteY96" fmla="*/ 683649 h 1351936"/>
            <a:gd name="connsiteX97" fmla="*/ 4962218 w 6398649"/>
            <a:gd name="connsiteY97" fmla="*/ 675968 h 1351936"/>
            <a:gd name="connsiteX98" fmla="*/ 4992943 w 6398649"/>
            <a:gd name="connsiteY98" fmla="*/ 668286 h 1351936"/>
            <a:gd name="connsiteX99" fmla="*/ 5161935 w 6398649"/>
            <a:gd name="connsiteY99" fmla="*/ 683649 h 1351936"/>
            <a:gd name="connsiteX100" fmla="*/ 5184980 w 6398649"/>
            <a:gd name="connsiteY100" fmla="*/ 699012 h 1351936"/>
            <a:gd name="connsiteX101" fmla="*/ 5208024 w 6398649"/>
            <a:gd name="connsiteY101" fmla="*/ 729738 h 1351936"/>
            <a:gd name="connsiteX102" fmla="*/ 5238750 w 6398649"/>
            <a:gd name="connsiteY102" fmla="*/ 745101 h 1351936"/>
            <a:gd name="connsiteX103" fmla="*/ 5269476 w 6398649"/>
            <a:gd name="connsiteY103" fmla="*/ 791190 h 1351936"/>
            <a:gd name="connsiteX104" fmla="*/ 5307883 w 6398649"/>
            <a:gd name="connsiteY104" fmla="*/ 837278 h 1351936"/>
            <a:gd name="connsiteX105" fmla="*/ 5315564 w 6398649"/>
            <a:gd name="connsiteY105" fmla="*/ 860323 h 1351936"/>
            <a:gd name="connsiteX106" fmla="*/ 5338609 w 6398649"/>
            <a:gd name="connsiteY106" fmla="*/ 929456 h 1351936"/>
            <a:gd name="connsiteX107" fmla="*/ 5392379 w 6398649"/>
            <a:gd name="connsiteY107" fmla="*/ 960182 h 1351936"/>
            <a:gd name="connsiteX108" fmla="*/ 5438468 w 6398649"/>
            <a:gd name="connsiteY108" fmla="*/ 975545 h 1351936"/>
            <a:gd name="connsiteX109" fmla="*/ 5492238 w 6398649"/>
            <a:gd name="connsiteY109" fmla="*/ 990907 h 1351936"/>
            <a:gd name="connsiteX110" fmla="*/ 5522964 w 6398649"/>
            <a:gd name="connsiteY110" fmla="*/ 1006270 h 1351936"/>
            <a:gd name="connsiteX111" fmla="*/ 5546008 w 6398649"/>
            <a:gd name="connsiteY111" fmla="*/ 1021633 h 1351936"/>
            <a:gd name="connsiteX112" fmla="*/ 5569052 w 6398649"/>
            <a:gd name="connsiteY112" fmla="*/ 1029315 h 1351936"/>
            <a:gd name="connsiteX113" fmla="*/ 5615141 w 6398649"/>
            <a:gd name="connsiteY113" fmla="*/ 1060041 h 1351936"/>
            <a:gd name="connsiteX114" fmla="*/ 5668911 w 6398649"/>
            <a:gd name="connsiteY114" fmla="*/ 1067722 h 1351936"/>
            <a:gd name="connsiteX115" fmla="*/ 5745726 w 6398649"/>
            <a:gd name="connsiteY115" fmla="*/ 1098448 h 1351936"/>
            <a:gd name="connsiteX116" fmla="*/ 5784133 w 6398649"/>
            <a:gd name="connsiteY116" fmla="*/ 1113811 h 1351936"/>
            <a:gd name="connsiteX117" fmla="*/ 5837903 w 6398649"/>
            <a:gd name="connsiteY117" fmla="*/ 1121492 h 1351936"/>
            <a:gd name="connsiteX118" fmla="*/ 5868629 w 6398649"/>
            <a:gd name="connsiteY118" fmla="*/ 1129174 h 1351936"/>
            <a:gd name="connsiteX119" fmla="*/ 5937762 w 6398649"/>
            <a:gd name="connsiteY119" fmla="*/ 1136855 h 1351936"/>
            <a:gd name="connsiteX120" fmla="*/ 6037621 w 6398649"/>
            <a:gd name="connsiteY120" fmla="*/ 1159899 h 1351936"/>
            <a:gd name="connsiteX121" fmla="*/ 6068347 w 6398649"/>
            <a:gd name="connsiteY121" fmla="*/ 1167581 h 1351936"/>
            <a:gd name="connsiteX122" fmla="*/ 6145161 w 6398649"/>
            <a:gd name="connsiteY122" fmla="*/ 1182944 h 1351936"/>
            <a:gd name="connsiteX123" fmla="*/ 6168206 w 6398649"/>
            <a:gd name="connsiteY123" fmla="*/ 1198307 h 1351936"/>
            <a:gd name="connsiteX124" fmla="*/ 6183568 w 6398649"/>
            <a:gd name="connsiteY124" fmla="*/ 1221351 h 1351936"/>
            <a:gd name="connsiteX125" fmla="*/ 6214294 w 6398649"/>
            <a:gd name="connsiteY125" fmla="*/ 1252077 h 1351936"/>
            <a:gd name="connsiteX126" fmla="*/ 6237339 w 6398649"/>
            <a:gd name="connsiteY126" fmla="*/ 1298166 h 1351936"/>
            <a:gd name="connsiteX127" fmla="*/ 6291109 w 6398649"/>
            <a:gd name="connsiteY127" fmla="*/ 1321210 h 1351936"/>
            <a:gd name="connsiteX128" fmla="*/ 6398649 w 6398649"/>
            <a:gd name="connsiteY128" fmla="*/ 1336573 h 1351936"/>
            <a:gd name="connsiteX129" fmla="*/ 6367923 w 6398649"/>
            <a:gd name="connsiteY129" fmla="*/ 1351936 h 13519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</a:cxnLst>
          <a:rect l="l" t="t" r="r" b="b"/>
          <a:pathLst>
            <a:path w="6398649" h="1351936">
              <a:moveTo>
                <a:pt x="0" y="0"/>
              </a:moveTo>
              <a:cubicBezTo>
                <a:pt x="23044" y="2561"/>
                <a:pt x="46262" y="3870"/>
                <a:pt x="69133" y="7682"/>
              </a:cubicBezTo>
              <a:cubicBezTo>
                <a:pt x="77120" y="9013"/>
                <a:pt x="84080" y="15363"/>
                <a:pt x="92177" y="15363"/>
              </a:cubicBezTo>
              <a:cubicBezTo>
                <a:pt x="273989" y="15363"/>
                <a:pt x="455766" y="10242"/>
                <a:pt x="637560" y="7682"/>
              </a:cubicBezTo>
              <a:cubicBezTo>
                <a:pt x="698036" y="10706"/>
                <a:pt x="895107" y="18249"/>
                <a:pt x="952500" y="30726"/>
              </a:cubicBezTo>
              <a:cubicBezTo>
                <a:pt x="961521" y="32687"/>
                <a:pt x="960654" y="48003"/>
                <a:pt x="967863" y="53770"/>
              </a:cubicBezTo>
              <a:cubicBezTo>
                <a:pt x="974186" y="58828"/>
                <a:pt x="983226" y="58891"/>
                <a:pt x="990907" y="61452"/>
              </a:cubicBezTo>
              <a:cubicBezTo>
                <a:pt x="1001149" y="69133"/>
                <a:pt x="1013128" y="74927"/>
                <a:pt x="1021633" y="84496"/>
              </a:cubicBezTo>
              <a:cubicBezTo>
                <a:pt x="1033900" y="98296"/>
                <a:pt x="1039303" y="117529"/>
                <a:pt x="1052359" y="130585"/>
              </a:cubicBezTo>
              <a:cubicBezTo>
                <a:pt x="1067732" y="145958"/>
                <a:pt x="1086422" y="166821"/>
                <a:pt x="1106129" y="176674"/>
              </a:cubicBezTo>
              <a:cubicBezTo>
                <a:pt x="1115572" y="181395"/>
                <a:pt x="1126704" y="181455"/>
                <a:pt x="1136855" y="184355"/>
              </a:cubicBezTo>
              <a:cubicBezTo>
                <a:pt x="1144640" y="186579"/>
                <a:pt x="1152114" y="189812"/>
                <a:pt x="1159899" y="192036"/>
              </a:cubicBezTo>
              <a:cubicBezTo>
                <a:pt x="1170050" y="194936"/>
                <a:pt x="1180474" y="196818"/>
                <a:pt x="1190625" y="199718"/>
              </a:cubicBezTo>
              <a:cubicBezTo>
                <a:pt x="1198410" y="201942"/>
                <a:pt x="1205857" y="205269"/>
                <a:pt x="1213669" y="207399"/>
              </a:cubicBezTo>
              <a:cubicBezTo>
                <a:pt x="1256894" y="219187"/>
                <a:pt x="1276156" y="219439"/>
                <a:pt x="1313528" y="238125"/>
              </a:cubicBezTo>
              <a:cubicBezTo>
                <a:pt x="1321785" y="242254"/>
                <a:pt x="1328315" y="249359"/>
                <a:pt x="1336572" y="253488"/>
              </a:cubicBezTo>
              <a:cubicBezTo>
                <a:pt x="1400185" y="285295"/>
                <a:pt x="1316613" y="232502"/>
                <a:pt x="1382661" y="276532"/>
              </a:cubicBezTo>
              <a:cubicBezTo>
                <a:pt x="1449562" y="365731"/>
                <a:pt x="1356870" y="245161"/>
                <a:pt x="1436431" y="337984"/>
              </a:cubicBezTo>
              <a:cubicBezTo>
                <a:pt x="1492597" y="403511"/>
                <a:pt x="1397673" y="311346"/>
                <a:pt x="1482520" y="384073"/>
              </a:cubicBezTo>
              <a:cubicBezTo>
                <a:pt x="1490768" y="391143"/>
                <a:pt x="1496132" y="401727"/>
                <a:pt x="1505564" y="407117"/>
              </a:cubicBezTo>
              <a:cubicBezTo>
                <a:pt x="1514730" y="412355"/>
                <a:pt x="1526048" y="412238"/>
                <a:pt x="1536290" y="414799"/>
              </a:cubicBezTo>
              <a:cubicBezTo>
                <a:pt x="1543972" y="419920"/>
                <a:pt x="1550691" y="426920"/>
                <a:pt x="1559335" y="430161"/>
              </a:cubicBezTo>
              <a:cubicBezTo>
                <a:pt x="1586796" y="440459"/>
                <a:pt x="1681978" y="444862"/>
                <a:pt x="1689919" y="445524"/>
              </a:cubicBezTo>
              <a:cubicBezTo>
                <a:pt x="1707842" y="440403"/>
                <a:pt x="1729757" y="442545"/>
                <a:pt x="1743689" y="430161"/>
              </a:cubicBezTo>
              <a:cubicBezTo>
                <a:pt x="1755792" y="419403"/>
                <a:pt x="1753931" y="399436"/>
                <a:pt x="1759052" y="384073"/>
              </a:cubicBezTo>
              <a:cubicBezTo>
                <a:pt x="1769653" y="352270"/>
                <a:pt x="1762243" y="367765"/>
                <a:pt x="1782097" y="337984"/>
              </a:cubicBezTo>
              <a:cubicBezTo>
                <a:pt x="1800379" y="283137"/>
                <a:pt x="1788477" y="305369"/>
                <a:pt x="1812822" y="268851"/>
              </a:cubicBezTo>
              <a:cubicBezTo>
                <a:pt x="1815383" y="245807"/>
                <a:pt x="1817225" y="222671"/>
                <a:pt x="1820504" y="199718"/>
              </a:cubicBezTo>
              <a:cubicBezTo>
                <a:pt x="1822350" y="186793"/>
                <a:pt x="1826818" y="174295"/>
                <a:pt x="1828185" y="161311"/>
              </a:cubicBezTo>
              <a:cubicBezTo>
                <a:pt x="1831947" y="125570"/>
                <a:pt x="1831668" y="89462"/>
                <a:pt x="1835867" y="53770"/>
              </a:cubicBezTo>
              <a:cubicBezTo>
                <a:pt x="1836813" y="45729"/>
                <a:pt x="1838490" y="37049"/>
                <a:pt x="1843548" y="30726"/>
              </a:cubicBezTo>
              <a:cubicBezTo>
                <a:pt x="1854378" y="17189"/>
                <a:pt x="1874456" y="12742"/>
                <a:pt x="1889637" y="7682"/>
              </a:cubicBezTo>
              <a:cubicBezTo>
                <a:pt x="1902439" y="10242"/>
                <a:pt x="1917420" y="7774"/>
                <a:pt x="1928044" y="15363"/>
              </a:cubicBezTo>
              <a:cubicBezTo>
                <a:pt x="1937362" y="22019"/>
                <a:pt x="1936751" y="36771"/>
                <a:pt x="1943407" y="46089"/>
              </a:cubicBezTo>
              <a:cubicBezTo>
                <a:pt x="1949721" y="54929"/>
                <a:pt x="1958770" y="61452"/>
                <a:pt x="1966451" y="69133"/>
              </a:cubicBezTo>
              <a:cubicBezTo>
                <a:pt x="1984470" y="123187"/>
                <a:pt x="1961015" y="56446"/>
                <a:pt x="1989496" y="122903"/>
              </a:cubicBezTo>
              <a:cubicBezTo>
                <a:pt x="1992686" y="130345"/>
                <a:pt x="1993556" y="138706"/>
                <a:pt x="1997177" y="145948"/>
              </a:cubicBezTo>
              <a:cubicBezTo>
                <a:pt x="2001306" y="154205"/>
                <a:pt x="2008791" y="160556"/>
                <a:pt x="2012540" y="168992"/>
              </a:cubicBezTo>
              <a:cubicBezTo>
                <a:pt x="2024711" y="196376"/>
                <a:pt x="2022404" y="217263"/>
                <a:pt x="2043266" y="238125"/>
              </a:cubicBezTo>
              <a:cubicBezTo>
                <a:pt x="2049794" y="244653"/>
                <a:pt x="2058629" y="248367"/>
                <a:pt x="2066310" y="253488"/>
              </a:cubicBezTo>
              <a:cubicBezTo>
                <a:pt x="2091517" y="291298"/>
                <a:pt x="2069084" y="265906"/>
                <a:pt x="2112399" y="291895"/>
              </a:cubicBezTo>
              <a:cubicBezTo>
                <a:pt x="2128232" y="301395"/>
                <a:pt x="2140972" y="316782"/>
                <a:pt x="2158488" y="322621"/>
              </a:cubicBezTo>
              <a:cubicBezTo>
                <a:pt x="2183826" y="331068"/>
                <a:pt x="2192384" y="333420"/>
                <a:pt x="2219939" y="345666"/>
              </a:cubicBezTo>
              <a:cubicBezTo>
                <a:pt x="2230403" y="350316"/>
                <a:pt x="2240955" y="354959"/>
                <a:pt x="2250665" y="361028"/>
              </a:cubicBezTo>
              <a:cubicBezTo>
                <a:pt x="2261522" y="367813"/>
                <a:pt x="2269940" y="378348"/>
                <a:pt x="2281391" y="384073"/>
              </a:cubicBezTo>
              <a:cubicBezTo>
                <a:pt x="2290834" y="388794"/>
                <a:pt x="2301875" y="389194"/>
                <a:pt x="2312117" y="391754"/>
              </a:cubicBezTo>
              <a:cubicBezTo>
                <a:pt x="2319798" y="396875"/>
                <a:pt x="2326725" y="403368"/>
                <a:pt x="2335161" y="407117"/>
              </a:cubicBezTo>
              <a:cubicBezTo>
                <a:pt x="2367057" y="421293"/>
                <a:pt x="2386799" y="423590"/>
                <a:pt x="2419657" y="430161"/>
              </a:cubicBezTo>
              <a:cubicBezTo>
                <a:pt x="2458064" y="427601"/>
                <a:pt x="2497410" y="431296"/>
                <a:pt x="2534879" y="422480"/>
              </a:cubicBezTo>
              <a:cubicBezTo>
                <a:pt x="2550834" y="418726"/>
                <a:pt x="2550743" y="385366"/>
                <a:pt x="2557923" y="376391"/>
              </a:cubicBezTo>
              <a:cubicBezTo>
                <a:pt x="2563690" y="369182"/>
                <a:pt x="2573455" y="366394"/>
                <a:pt x="2580968" y="361028"/>
              </a:cubicBezTo>
              <a:cubicBezTo>
                <a:pt x="2647663" y="313389"/>
                <a:pt x="2580427" y="358827"/>
                <a:pt x="2634738" y="322621"/>
              </a:cubicBezTo>
              <a:cubicBezTo>
                <a:pt x="2652661" y="295737"/>
                <a:pt x="2657783" y="281653"/>
                <a:pt x="2696189" y="268851"/>
              </a:cubicBezTo>
              <a:lnTo>
                <a:pt x="2742278" y="253488"/>
              </a:lnTo>
              <a:cubicBezTo>
                <a:pt x="2757641" y="256049"/>
                <a:pt x="2775159" y="252915"/>
                <a:pt x="2788367" y="261170"/>
              </a:cubicBezTo>
              <a:cubicBezTo>
                <a:pt x="2798077" y="267239"/>
                <a:pt x="2799477" y="281263"/>
                <a:pt x="2803730" y="291895"/>
              </a:cubicBezTo>
              <a:cubicBezTo>
                <a:pt x="2821989" y="337541"/>
                <a:pt x="2815454" y="329092"/>
                <a:pt x="2826774" y="368710"/>
              </a:cubicBezTo>
              <a:cubicBezTo>
                <a:pt x="2828998" y="376495"/>
                <a:pt x="2832492" y="383899"/>
                <a:pt x="2834456" y="391754"/>
              </a:cubicBezTo>
              <a:cubicBezTo>
                <a:pt x="2845562" y="436178"/>
                <a:pt x="2839548" y="428324"/>
                <a:pt x="2849818" y="476250"/>
              </a:cubicBezTo>
              <a:cubicBezTo>
                <a:pt x="2854242" y="496896"/>
                <a:pt x="2858504" y="517671"/>
                <a:pt x="2865181" y="537702"/>
              </a:cubicBezTo>
              <a:cubicBezTo>
                <a:pt x="2867742" y="545383"/>
                <a:pt x="2867138" y="555021"/>
                <a:pt x="2872863" y="560746"/>
              </a:cubicBezTo>
              <a:cubicBezTo>
                <a:pt x="2878588" y="566471"/>
                <a:pt x="2888829" y="564496"/>
                <a:pt x="2895907" y="568428"/>
              </a:cubicBezTo>
              <a:cubicBezTo>
                <a:pt x="2912047" y="577395"/>
                <a:pt x="2928940" y="586097"/>
                <a:pt x="2941996" y="599153"/>
              </a:cubicBezTo>
              <a:cubicBezTo>
                <a:pt x="2949677" y="606835"/>
                <a:pt x="2956001" y="616172"/>
                <a:pt x="2965040" y="622198"/>
              </a:cubicBezTo>
              <a:cubicBezTo>
                <a:pt x="2971777" y="626689"/>
                <a:pt x="2980299" y="627655"/>
                <a:pt x="2988085" y="629879"/>
              </a:cubicBezTo>
              <a:cubicBezTo>
                <a:pt x="3020179" y="639049"/>
                <a:pt x="3028668" y="639204"/>
                <a:pt x="3064899" y="645242"/>
              </a:cubicBezTo>
              <a:cubicBezTo>
                <a:pt x="3112634" y="669110"/>
                <a:pt x="3077540" y="654340"/>
                <a:pt x="3126351" y="668286"/>
              </a:cubicBezTo>
              <a:cubicBezTo>
                <a:pt x="3134136" y="670510"/>
                <a:pt x="3141392" y="674737"/>
                <a:pt x="3149395" y="675968"/>
              </a:cubicBezTo>
              <a:cubicBezTo>
                <a:pt x="3174828" y="679881"/>
                <a:pt x="3200605" y="681089"/>
                <a:pt x="3226210" y="683649"/>
              </a:cubicBezTo>
              <a:cubicBezTo>
                <a:pt x="3274859" y="678528"/>
                <a:pt x="3324569" y="679616"/>
                <a:pt x="3372157" y="668286"/>
              </a:cubicBezTo>
              <a:cubicBezTo>
                <a:pt x="3381138" y="666148"/>
                <a:pt x="3380992" y="651770"/>
                <a:pt x="3387520" y="645242"/>
              </a:cubicBezTo>
              <a:cubicBezTo>
                <a:pt x="3402862" y="629900"/>
                <a:pt x="3430633" y="621852"/>
                <a:pt x="3448972" y="614516"/>
              </a:cubicBezTo>
              <a:cubicBezTo>
                <a:pt x="3454093" y="606835"/>
                <a:pt x="3456506" y="596365"/>
                <a:pt x="3464335" y="591472"/>
              </a:cubicBezTo>
              <a:cubicBezTo>
                <a:pt x="3478067" y="582889"/>
                <a:pt x="3494238" y="576631"/>
                <a:pt x="3510423" y="576109"/>
              </a:cubicBezTo>
              <a:lnTo>
                <a:pt x="3748548" y="568428"/>
              </a:lnTo>
              <a:cubicBezTo>
                <a:pt x="3792076" y="570988"/>
                <a:pt x="3835726" y="571975"/>
                <a:pt x="3879133" y="576109"/>
              </a:cubicBezTo>
              <a:cubicBezTo>
                <a:pt x="3889643" y="577110"/>
                <a:pt x="3901749" y="577032"/>
                <a:pt x="3909859" y="583791"/>
              </a:cubicBezTo>
              <a:cubicBezTo>
                <a:pt x="3918656" y="591121"/>
                <a:pt x="3918566" y="605198"/>
                <a:pt x="3925222" y="614516"/>
              </a:cubicBezTo>
              <a:cubicBezTo>
                <a:pt x="3931536" y="623356"/>
                <a:pt x="3940585" y="629879"/>
                <a:pt x="3948266" y="637561"/>
              </a:cubicBezTo>
              <a:cubicBezTo>
                <a:pt x="3950826" y="645242"/>
                <a:pt x="3950222" y="654880"/>
                <a:pt x="3955947" y="660605"/>
              </a:cubicBezTo>
              <a:cubicBezTo>
                <a:pt x="3961673" y="666330"/>
                <a:pt x="3971550" y="665096"/>
                <a:pt x="3978992" y="668286"/>
              </a:cubicBezTo>
              <a:cubicBezTo>
                <a:pt x="3989517" y="672797"/>
                <a:pt x="3999776" y="677968"/>
                <a:pt x="4009718" y="683649"/>
              </a:cubicBezTo>
              <a:cubicBezTo>
                <a:pt x="4017733" y="688229"/>
                <a:pt x="4025670" y="693102"/>
                <a:pt x="4032762" y="699012"/>
              </a:cubicBezTo>
              <a:cubicBezTo>
                <a:pt x="4065170" y="726019"/>
                <a:pt x="4056254" y="733840"/>
                <a:pt x="4101895" y="760464"/>
              </a:cubicBezTo>
              <a:cubicBezTo>
                <a:pt x="4115883" y="768624"/>
                <a:pt x="4132621" y="770706"/>
                <a:pt x="4147984" y="775827"/>
              </a:cubicBezTo>
              <a:cubicBezTo>
                <a:pt x="4158226" y="786069"/>
                <a:pt x="4166924" y="798134"/>
                <a:pt x="4178710" y="806553"/>
              </a:cubicBezTo>
              <a:cubicBezTo>
                <a:pt x="4187894" y="813113"/>
                <a:pt x="4236136" y="821111"/>
                <a:pt x="4240161" y="821916"/>
              </a:cubicBezTo>
              <a:cubicBezTo>
                <a:pt x="4316976" y="819355"/>
                <a:pt x="4393888" y="818884"/>
                <a:pt x="4470605" y="814234"/>
              </a:cubicBezTo>
              <a:cubicBezTo>
                <a:pt x="4478687" y="813744"/>
                <a:pt x="4485683" y="808001"/>
                <a:pt x="4493649" y="806553"/>
              </a:cubicBezTo>
              <a:cubicBezTo>
                <a:pt x="4513959" y="802860"/>
                <a:pt x="4534617" y="801432"/>
                <a:pt x="4555101" y="798871"/>
              </a:cubicBezTo>
              <a:cubicBezTo>
                <a:pt x="4577060" y="791552"/>
                <a:pt x="4584764" y="788329"/>
                <a:pt x="4608871" y="783508"/>
              </a:cubicBezTo>
              <a:cubicBezTo>
                <a:pt x="4650414" y="775199"/>
                <a:pt x="4649990" y="778854"/>
                <a:pt x="4685685" y="768145"/>
              </a:cubicBezTo>
              <a:cubicBezTo>
                <a:pt x="4701196" y="763492"/>
                <a:pt x="4717289" y="760024"/>
                <a:pt x="4731774" y="752782"/>
              </a:cubicBezTo>
              <a:cubicBezTo>
                <a:pt x="4742016" y="747661"/>
                <a:pt x="4751868" y="741673"/>
                <a:pt x="4762500" y="737420"/>
              </a:cubicBezTo>
              <a:cubicBezTo>
                <a:pt x="4777536" y="731406"/>
                <a:pt x="4794105" y="729299"/>
                <a:pt x="4808589" y="722057"/>
              </a:cubicBezTo>
              <a:cubicBezTo>
                <a:pt x="4843507" y="704597"/>
                <a:pt x="4838484" y="706045"/>
                <a:pt x="4877722" y="691331"/>
              </a:cubicBezTo>
              <a:cubicBezTo>
                <a:pt x="4885303" y="688488"/>
                <a:pt x="4892800" y="685097"/>
                <a:pt x="4900766" y="683649"/>
              </a:cubicBezTo>
              <a:cubicBezTo>
                <a:pt x="4921076" y="679956"/>
                <a:pt x="4941734" y="678528"/>
                <a:pt x="4962218" y="675968"/>
              </a:cubicBezTo>
              <a:cubicBezTo>
                <a:pt x="4972460" y="673407"/>
                <a:pt x="4982386" y="668286"/>
                <a:pt x="4992943" y="668286"/>
              </a:cubicBezTo>
              <a:cubicBezTo>
                <a:pt x="5108679" y="668286"/>
                <a:pt x="5093992" y="666664"/>
                <a:pt x="5161935" y="683649"/>
              </a:cubicBezTo>
              <a:cubicBezTo>
                <a:pt x="5169617" y="688770"/>
                <a:pt x="5178452" y="692484"/>
                <a:pt x="5184980" y="699012"/>
              </a:cubicBezTo>
              <a:cubicBezTo>
                <a:pt x="5194033" y="708065"/>
                <a:pt x="5198304" y="721406"/>
                <a:pt x="5208024" y="729738"/>
              </a:cubicBezTo>
              <a:cubicBezTo>
                <a:pt x="5216718" y="737190"/>
                <a:pt x="5228508" y="739980"/>
                <a:pt x="5238750" y="745101"/>
              </a:cubicBezTo>
              <a:cubicBezTo>
                <a:pt x="5248992" y="760464"/>
                <a:pt x="5256420" y="778134"/>
                <a:pt x="5269476" y="791190"/>
              </a:cubicBezTo>
              <a:cubicBezTo>
                <a:pt x="5299048" y="820762"/>
                <a:pt x="5286494" y="805195"/>
                <a:pt x="5307883" y="837278"/>
              </a:cubicBezTo>
              <a:cubicBezTo>
                <a:pt x="5310443" y="844960"/>
                <a:pt x="5313600" y="852468"/>
                <a:pt x="5315564" y="860323"/>
              </a:cubicBezTo>
              <a:cubicBezTo>
                <a:pt x="5322130" y="886585"/>
                <a:pt x="5320356" y="907552"/>
                <a:pt x="5338609" y="929456"/>
              </a:cubicBezTo>
              <a:cubicBezTo>
                <a:pt x="5345538" y="937771"/>
                <a:pt x="5385202" y="957311"/>
                <a:pt x="5392379" y="960182"/>
              </a:cubicBezTo>
              <a:cubicBezTo>
                <a:pt x="5407415" y="966196"/>
                <a:pt x="5423105" y="970424"/>
                <a:pt x="5438468" y="975545"/>
              </a:cubicBezTo>
              <a:cubicBezTo>
                <a:pt x="5471524" y="986563"/>
                <a:pt x="5453662" y="981264"/>
                <a:pt x="5492238" y="990907"/>
              </a:cubicBezTo>
              <a:cubicBezTo>
                <a:pt x="5502480" y="996028"/>
                <a:pt x="5513022" y="1000589"/>
                <a:pt x="5522964" y="1006270"/>
              </a:cubicBezTo>
              <a:cubicBezTo>
                <a:pt x="5530979" y="1010850"/>
                <a:pt x="5537751" y="1017504"/>
                <a:pt x="5546008" y="1021633"/>
              </a:cubicBezTo>
              <a:cubicBezTo>
                <a:pt x="5553250" y="1025254"/>
                <a:pt x="5561974" y="1025383"/>
                <a:pt x="5569052" y="1029315"/>
              </a:cubicBezTo>
              <a:cubicBezTo>
                <a:pt x="5585192" y="1038282"/>
                <a:pt x="5596863" y="1057430"/>
                <a:pt x="5615141" y="1060041"/>
              </a:cubicBezTo>
              <a:lnTo>
                <a:pt x="5668911" y="1067722"/>
              </a:lnTo>
              <a:cubicBezTo>
                <a:pt x="5711899" y="1096380"/>
                <a:pt x="5674129" y="1074582"/>
                <a:pt x="5745726" y="1098448"/>
              </a:cubicBezTo>
              <a:cubicBezTo>
                <a:pt x="5758807" y="1102808"/>
                <a:pt x="5770756" y="1110467"/>
                <a:pt x="5784133" y="1113811"/>
              </a:cubicBezTo>
              <a:cubicBezTo>
                <a:pt x="5801698" y="1118202"/>
                <a:pt x="5820090" y="1118253"/>
                <a:pt x="5837903" y="1121492"/>
              </a:cubicBezTo>
              <a:cubicBezTo>
                <a:pt x="5848290" y="1123381"/>
                <a:pt x="5858195" y="1127569"/>
                <a:pt x="5868629" y="1129174"/>
              </a:cubicBezTo>
              <a:cubicBezTo>
                <a:pt x="5891546" y="1132700"/>
                <a:pt x="5914718" y="1134295"/>
                <a:pt x="5937762" y="1136855"/>
              </a:cubicBezTo>
              <a:cubicBezTo>
                <a:pt x="6088404" y="1174515"/>
                <a:pt x="5931192" y="1136248"/>
                <a:pt x="6037621" y="1159899"/>
              </a:cubicBezTo>
              <a:cubicBezTo>
                <a:pt x="6047927" y="1162189"/>
                <a:pt x="6058024" y="1165369"/>
                <a:pt x="6068347" y="1167581"/>
              </a:cubicBezTo>
              <a:cubicBezTo>
                <a:pt x="6093879" y="1173052"/>
                <a:pt x="6145161" y="1182944"/>
                <a:pt x="6145161" y="1182944"/>
              </a:cubicBezTo>
              <a:cubicBezTo>
                <a:pt x="6152843" y="1188065"/>
                <a:pt x="6161678" y="1191779"/>
                <a:pt x="6168206" y="1198307"/>
              </a:cubicBezTo>
              <a:cubicBezTo>
                <a:pt x="6174734" y="1204835"/>
                <a:pt x="6177560" y="1214342"/>
                <a:pt x="6183568" y="1221351"/>
              </a:cubicBezTo>
              <a:cubicBezTo>
                <a:pt x="6192994" y="1232348"/>
                <a:pt x="6204052" y="1241835"/>
                <a:pt x="6214294" y="1252077"/>
              </a:cubicBezTo>
              <a:cubicBezTo>
                <a:pt x="6220542" y="1270818"/>
                <a:pt x="6222449" y="1283276"/>
                <a:pt x="6237339" y="1298166"/>
              </a:cubicBezTo>
              <a:cubicBezTo>
                <a:pt x="6253735" y="1314562"/>
                <a:pt x="6269075" y="1316803"/>
                <a:pt x="6291109" y="1321210"/>
              </a:cubicBezTo>
              <a:cubicBezTo>
                <a:pt x="6328015" y="1328591"/>
                <a:pt x="6360903" y="1331854"/>
                <a:pt x="6398649" y="1336573"/>
              </a:cubicBezTo>
              <a:lnTo>
                <a:pt x="6367923" y="1351936"/>
              </a:lnTo>
            </a:path>
          </a:pathLst>
        </a:custGeom>
        <a:noFill/>
        <a:ln w="1143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148442</xdr:colOff>
      <xdr:row>50</xdr:row>
      <xdr:rowOff>12371</xdr:rowOff>
    </xdr:from>
    <xdr:to>
      <xdr:col>26</xdr:col>
      <xdr:colOff>12371</xdr:colOff>
      <xdr:row>50</xdr:row>
      <xdr:rowOff>12371</xdr:rowOff>
    </xdr:to>
    <xdr:cxnSp macro="">
      <xdr:nvCxnSpPr>
        <xdr:cNvPr id="209" name="Straight Connector 208">
          <a:extLst>
            <a:ext uri="{FF2B5EF4-FFF2-40B4-BE49-F238E27FC236}">
              <a16:creationId xmlns:a16="http://schemas.microsoft.com/office/drawing/2014/main" id="{0D8874C2-7BAB-4801-870B-E620CF43F8ED}"/>
            </a:ext>
          </a:extLst>
        </xdr:cNvPr>
        <xdr:cNvCxnSpPr/>
      </xdr:nvCxnSpPr>
      <xdr:spPr>
        <a:xfrm flipH="1">
          <a:off x="1615292" y="9584996"/>
          <a:ext cx="3845379" cy="0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160812</xdr:colOff>
      <xdr:row>22</xdr:row>
      <xdr:rowOff>123701</xdr:rowOff>
    </xdr:from>
    <xdr:ext cx="1724831" cy="718466"/>
    <xdr:sp macro="" textlink="">
      <xdr:nvSpPr>
        <xdr:cNvPr id="210" name="TextBox 209">
          <a:extLst>
            <a:ext uri="{FF2B5EF4-FFF2-40B4-BE49-F238E27FC236}">
              <a16:creationId xmlns:a16="http://schemas.microsoft.com/office/drawing/2014/main" id="{310175E9-8F44-4483-AB6F-4F22CA4C67E8}"/>
            </a:ext>
          </a:extLst>
        </xdr:cNvPr>
        <xdr:cNvSpPr txBox="1"/>
      </xdr:nvSpPr>
      <xdr:spPr>
        <a:xfrm>
          <a:off x="3304062" y="4362326"/>
          <a:ext cx="172483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BLAINE</a:t>
          </a:r>
        </a:p>
      </xdr:txBody>
    </xdr:sp>
    <xdr:clientData/>
  </xdr:oneCellAnchor>
  <xdr:oneCellAnchor>
    <xdr:from>
      <xdr:col>39</xdr:col>
      <xdr:colOff>21113</xdr:colOff>
      <xdr:row>22</xdr:row>
      <xdr:rowOff>66551</xdr:rowOff>
    </xdr:from>
    <xdr:ext cx="2744021" cy="718466"/>
    <xdr:sp macro="" textlink="">
      <xdr:nvSpPr>
        <xdr:cNvPr id="211" name="TextBox 210">
          <a:extLst>
            <a:ext uri="{FF2B5EF4-FFF2-40B4-BE49-F238E27FC236}">
              <a16:creationId xmlns:a16="http://schemas.microsoft.com/office/drawing/2014/main" id="{88F75CBA-F432-410A-A029-174332E3515D}"/>
            </a:ext>
          </a:extLst>
        </xdr:cNvPr>
        <xdr:cNvSpPr txBox="1"/>
      </xdr:nvSpPr>
      <xdr:spPr>
        <a:xfrm>
          <a:off x="8193563" y="4305176"/>
          <a:ext cx="2744021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KINGFISHER</a:t>
          </a:r>
        </a:p>
      </xdr:txBody>
    </xdr:sp>
    <xdr:clientData/>
  </xdr:oneCellAnchor>
  <xdr:oneCellAnchor>
    <xdr:from>
      <xdr:col>38</xdr:col>
      <xdr:colOff>107827</xdr:colOff>
      <xdr:row>47</xdr:row>
      <xdr:rowOff>29379</xdr:rowOff>
    </xdr:from>
    <xdr:ext cx="2524665" cy="718466"/>
    <xdr:sp macro="" textlink="">
      <xdr:nvSpPr>
        <xdr:cNvPr id="212" name="TextBox 211">
          <a:extLst>
            <a:ext uri="{FF2B5EF4-FFF2-40B4-BE49-F238E27FC236}">
              <a16:creationId xmlns:a16="http://schemas.microsoft.com/office/drawing/2014/main" id="{A0B60F8B-A9DC-4CA4-A42E-0447822EFAA5}"/>
            </a:ext>
          </a:extLst>
        </xdr:cNvPr>
        <xdr:cNvSpPr txBox="1"/>
      </xdr:nvSpPr>
      <xdr:spPr>
        <a:xfrm>
          <a:off x="8070727" y="9030504"/>
          <a:ext cx="2524665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CANADIAN</a:t>
          </a:r>
        </a:p>
      </xdr:txBody>
    </xdr:sp>
    <xdr:clientData/>
  </xdr:oneCellAnchor>
  <xdr:oneCellAnchor>
    <xdr:from>
      <xdr:col>12</xdr:col>
      <xdr:colOff>111332</xdr:colOff>
      <xdr:row>64</xdr:row>
      <xdr:rowOff>24740</xdr:rowOff>
    </xdr:from>
    <xdr:ext cx="1760610" cy="718466"/>
    <xdr:sp macro="" textlink="">
      <xdr:nvSpPr>
        <xdr:cNvPr id="213" name="TextBox 212">
          <a:extLst>
            <a:ext uri="{FF2B5EF4-FFF2-40B4-BE49-F238E27FC236}">
              <a16:creationId xmlns:a16="http://schemas.microsoft.com/office/drawing/2014/main" id="{27BE6ED7-B00B-4560-91D6-5AF1FA4E04E3}"/>
            </a:ext>
          </a:extLst>
        </xdr:cNvPr>
        <xdr:cNvSpPr txBox="1"/>
      </xdr:nvSpPr>
      <xdr:spPr>
        <a:xfrm>
          <a:off x="2625932" y="12264365"/>
          <a:ext cx="1760610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CADDO</a:t>
          </a:r>
        </a:p>
      </xdr:txBody>
    </xdr:sp>
    <xdr:clientData/>
  </xdr:oneCellAnchor>
  <xdr:oneCellAnchor>
    <xdr:from>
      <xdr:col>44</xdr:col>
      <xdr:colOff>119213</xdr:colOff>
      <xdr:row>76</xdr:row>
      <xdr:rowOff>113907</xdr:rowOff>
    </xdr:from>
    <xdr:ext cx="1701043" cy="718466"/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9B4B9B9E-1CF3-4979-9E55-C8BA253A3B3B}"/>
            </a:ext>
          </a:extLst>
        </xdr:cNvPr>
        <xdr:cNvSpPr txBox="1"/>
      </xdr:nvSpPr>
      <xdr:spPr>
        <a:xfrm>
          <a:off x="9339413" y="14639532"/>
          <a:ext cx="1701043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GRADY</a:t>
          </a:r>
        </a:p>
      </xdr:txBody>
    </xdr:sp>
    <xdr:clientData/>
  </xdr:oneCellAnchor>
  <xdr:oneCellAnchor>
    <xdr:from>
      <xdr:col>2</xdr:col>
      <xdr:colOff>185552</xdr:colOff>
      <xdr:row>9</xdr:row>
      <xdr:rowOff>136071</xdr:rowOff>
    </xdr:from>
    <xdr:ext cx="784510" cy="280205"/>
    <xdr:sp macro="" textlink="">
      <xdr:nvSpPr>
        <xdr:cNvPr id="215" name="TextBox 214">
          <a:extLst>
            <a:ext uri="{FF2B5EF4-FFF2-40B4-BE49-F238E27FC236}">
              <a16:creationId xmlns:a16="http://schemas.microsoft.com/office/drawing/2014/main" id="{D2350602-DC53-4451-B333-0E8EB34FF014}"/>
            </a:ext>
          </a:extLst>
        </xdr:cNvPr>
        <xdr:cNvSpPr txBox="1"/>
      </xdr:nvSpPr>
      <xdr:spPr>
        <a:xfrm>
          <a:off x="604652" y="189819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19N-14W</a:t>
          </a:r>
        </a:p>
      </xdr:txBody>
    </xdr:sp>
    <xdr:clientData/>
  </xdr:oneCellAnchor>
  <xdr:oneCellAnchor>
    <xdr:from>
      <xdr:col>9</xdr:col>
      <xdr:colOff>41068</xdr:colOff>
      <xdr:row>9</xdr:row>
      <xdr:rowOff>152399</xdr:rowOff>
    </xdr:from>
    <xdr:ext cx="784510" cy="280205"/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7208941B-6C43-46EB-A044-60D27D7778B4}"/>
            </a:ext>
          </a:extLst>
        </xdr:cNvPr>
        <xdr:cNvSpPr txBox="1"/>
      </xdr:nvSpPr>
      <xdr:spPr>
        <a:xfrm>
          <a:off x="1927018" y="191452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19N-13W</a:t>
          </a:r>
        </a:p>
      </xdr:txBody>
    </xdr:sp>
    <xdr:clientData/>
  </xdr:oneCellAnchor>
  <xdr:oneCellAnchor>
    <xdr:from>
      <xdr:col>21</xdr:col>
      <xdr:colOff>45027</xdr:colOff>
      <xdr:row>9</xdr:row>
      <xdr:rowOff>168728</xdr:rowOff>
    </xdr:from>
    <xdr:ext cx="784510" cy="280205"/>
    <xdr:sp macro="" textlink="">
      <xdr:nvSpPr>
        <xdr:cNvPr id="217" name="TextBox 216">
          <a:extLst>
            <a:ext uri="{FF2B5EF4-FFF2-40B4-BE49-F238E27FC236}">
              <a16:creationId xmlns:a16="http://schemas.microsoft.com/office/drawing/2014/main" id="{9E4E872B-931F-45AC-A30A-4285FEF5D72D}"/>
            </a:ext>
          </a:extLst>
        </xdr:cNvPr>
        <xdr:cNvSpPr txBox="1"/>
      </xdr:nvSpPr>
      <xdr:spPr>
        <a:xfrm>
          <a:off x="4445577" y="19308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19N-11W</a:t>
          </a:r>
        </a:p>
      </xdr:txBody>
    </xdr:sp>
    <xdr:clientData/>
  </xdr:oneCellAnchor>
  <xdr:oneCellAnchor>
    <xdr:from>
      <xdr:col>27</xdr:col>
      <xdr:colOff>24245</xdr:colOff>
      <xdr:row>9</xdr:row>
      <xdr:rowOff>160316</xdr:rowOff>
    </xdr:from>
    <xdr:ext cx="784510" cy="280205"/>
    <xdr:sp macro="" textlink="">
      <xdr:nvSpPr>
        <xdr:cNvPr id="218" name="TextBox 217">
          <a:extLst>
            <a:ext uri="{FF2B5EF4-FFF2-40B4-BE49-F238E27FC236}">
              <a16:creationId xmlns:a16="http://schemas.microsoft.com/office/drawing/2014/main" id="{C5259A98-ABA6-492A-B998-0F45A23B1BEC}"/>
            </a:ext>
          </a:extLst>
        </xdr:cNvPr>
        <xdr:cNvSpPr txBox="1"/>
      </xdr:nvSpPr>
      <xdr:spPr>
        <a:xfrm>
          <a:off x="5682095" y="19224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19N-10W</a:t>
          </a:r>
        </a:p>
      </xdr:txBody>
    </xdr:sp>
    <xdr:clientData/>
  </xdr:oneCellAnchor>
  <xdr:oneCellAnchor>
    <xdr:from>
      <xdr:col>56</xdr:col>
      <xdr:colOff>151904</xdr:colOff>
      <xdr:row>9</xdr:row>
      <xdr:rowOff>176645</xdr:rowOff>
    </xdr:from>
    <xdr:ext cx="706540" cy="280205"/>
    <xdr:sp macro="" textlink="">
      <xdr:nvSpPr>
        <xdr:cNvPr id="219" name="TextBox 218">
          <a:extLst>
            <a:ext uri="{FF2B5EF4-FFF2-40B4-BE49-F238E27FC236}">
              <a16:creationId xmlns:a16="http://schemas.microsoft.com/office/drawing/2014/main" id="{6955C412-155A-4B30-AFBD-3E9CE06527A9}"/>
            </a:ext>
          </a:extLst>
        </xdr:cNvPr>
        <xdr:cNvSpPr txBox="1"/>
      </xdr:nvSpPr>
      <xdr:spPr>
        <a:xfrm>
          <a:off x="11886704" y="193877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19N-5W</a:t>
          </a:r>
        </a:p>
      </xdr:txBody>
    </xdr:sp>
    <xdr:clientData/>
  </xdr:oneCellAnchor>
  <xdr:oneCellAnchor>
    <xdr:from>
      <xdr:col>2</xdr:col>
      <xdr:colOff>168234</xdr:colOff>
      <xdr:row>15</xdr:row>
      <xdr:rowOff>131124</xdr:rowOff>
    </xdr:from>
    <xdr:ext cx="784510" cy="468077"/>
    <xdr:sp macro="" textlink="">
      <xdr:nvSpPr>
        <xdr:cNvPr id="220" name="TextBox 219">
          <a:extLst>
            <a:ext uri="{FF2B5EF4-FFF2-40B4-BE49-F238E27FC236}">
              <a16:creationId xmlns:a16="http://schemas.microsoft.com/office/drawing/2014/main" id="{288383C0-6FFE-4D88-B956-BE6C2C4E52F6}"/>
            </a:ext>
          </a:extLst>
        </xdr:cNvPr>
        <xdr:cNvSpPr txBox="1"/>
      </xdr:nvSpPr>
      <xdr:spPr>
        <a:xfrm>
          <a:off x="587334" y="3036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18N-14W</a:t>
          </a:r>
        </a:p>
        <a:p>
          <a:endParaRPr lang="en-US" sz="1200" b="1"/>
        </a:p>
      </xdr:txBody>
    </xdr:sp>
    <xdr:clientData/>
  </xdr:oneCellAnchor>
  <xdr:oneCellAnchor>
    <xdr:from>
      <xdr:col>33</xdr:col>
      <xdr:colOff>36120</xdr:colOff>
      <xdr:row>9</xdr:row>
      <xdr:rowOff>159822</xdr:rowOff>
    </xdr:from>
    <xdr:ext cx="706540" cy="280205"/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23983318-A7BE-4E82-B643-F0C5F084A61F}"/>
            </a:ext>
          </a:extLst>
        </xdr:cNvPr>
        <xdr:cNvSpPr txBox="1"/>
      </xdr:nvSpPr>
      <xdr:spPr>
        <a:xfrm>
          <a:off x="6951270" y="192194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19N-9W</a:t>
          </a:r>
        </a:p>
      </xdr:txBody>
    </xdr:sp>
    <xdr:clientData/>
  </xdr:oneCellAnchor>
  <xdr:oneCellAnchor>
    <xdr:from>
      <xdr:col>50</xdr:col>
      <xdr:colOff>151410</xdr:colOff>
      <xdr:row>9</xdr:row>
      <xdr:rowOff>163780</xdr:rowOff>
    </xdr:from>
    <xdr:ext cx="706540" cy="280205"/>
    <xdr:sp macro="" textlink="">
      <xdr:nvSpPr>
        <xdr:cNvPr id="222" name="TextBox 221">
          <a:extLst>
            <a:ext uri="{FF2B5EF4-FFF2-40B4-BE49-F238E27FC236}">
              <a16:creationId xmlns:a16="http://schemas.microsoft.com/office/drawing/2014/main" id="{069642E3-1DAE-48F4-8C0A-1E5ADF2FFF28}"/>
            </a:ext>
          </a:extLst>
        </xdr:cNvPr>
        <xdr:cNvSpPr txBox="1"/>
      </xdr:nvSpPr>
      <xdr:spPr>
        <a:xfrm>
          <a:off x="10628910" y="1925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19N-6W</a:t>
          </a:r>
        </a:p>
      </xdr:txBody>
    </xdr:sp>
    <xdr:clientData/>
  </xdr:oneCellAnchor>
  <xdr:oneCellAnchor>
    <xdr:from>
      <xdr:col>44</xdr:col>
      <xdr:colOff>204849</xdr:colOff>
      <xdr:row>10</xdr:row>
      <xdr:rowOff>6927</xdr:rowOff>
    </xdr:from>
    <xdr:ext cx="706540" cy="280205"/>
    <xdr:sp macro="" textlink="">
      <xdr:nvSpPr>
        <xdr:cNvPr id="223" name="TextBox 222">
          <a:extLst>
            <a:ext uri="{FF2B5EF4-FFF2-40B4-BE49-F238E27FC236}">
              <a16:creationId xmlns:a16="http://schemas.microsoft.com/office/drawing/2014/main" id="{B0C4E50A-6806-4B98-9B28-0B2D07FBDDEA}"/>
            </a:ext>
          </a:extLst>
        </xdr:cNvPr>
        <xdr:cNvSpPr txBox="1"/>
      </xdr:nvSpPr>
      <xdr:spPr>
        <a:xfrm>
          <a:off x="9425049" y="19595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19N-7W</a:t>
          </a:r>
        </a:p>
      </xdr:txBody>
    </xdr:sp>
    <xdr:clientData/>
  </xdr:oneCellAnchor>
  <xdr:oneCellAnchor>
    <xdr:from>
      <xdr:col>39</xdr:col>
      <xdr:colOff>23256</xdr:colOff>
      <xdr:row>9</xdr:row>
      <xdr:rowOff>159327</xdr:rowOff>
    </xdr:from>
    <xdr:ext cx="706540" cy="280205"/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64DD04E5-FCE8-4F39-AE1D-5CE8ECCB20A0}"/>
            </a:ext>
          </a:extLst>
        </xdr:cNvPr>
        <xdr:cNvSpPr txBox="1"/>
      </xdr:nvSpPr>
      <xdr:spPr>
        <a:xfrm>
          <a:off x="8195706" y="19214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19N-8W</a:t>
          </a:r>
        </a:p>
      </xdr:txBody>
    </xdr:sp>
    <xdr:clientData/>
  </xdr:oneCellAnchor>
  <xdr:oneCellAnchor>
    <xdr:from>
      <xdr:col>15</xdr:col>
      <xdr:colOff>51955</xdr:colOff>
      <xdr:row>9</xdr:row>
      <xdr:rowOff>150915</xdr:rowOff>
    </xdr:from>
    <xdr:ext cx="784510" cy="280205"/>
    <xdr:sp macro="" textlink="">
      <xdr:nvSpPr>
        <xdr:cNvPr id="225" name="TextBox 224">
          <a:extLst>
            <a:ext uri="{FF2B5EF4-FFF2-40B4-BE49-F238E27FC236}">
              <a16:creationId xmlns:a16="http://schemas.microsoft.com/office/drawing/2014/main" id="{75AD23F1-2C81-44E7-B0BD-56D3EA57B177}"/>
            </a:ext>
          </a:extLst>
        </xdr:cNvPr>
        <xdr:cNvSpPr txBox="1"/>
      </xdr:nvSpPr>
      <xdr:spPr>
        <a:xfrm>
          <a:off x="3195205" y="191304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19N-12W</a:t>
          </a:r>
        </a:p>
      </xdr:txBody>
    </xdr:sp>
    <xdr:clientData/>
  </xdr:oneCellAnchor>
  <xdr:oneCellAnchor>
    <xdr:from>
      <xdr:col>32</xdr:col>
      <xdr:colOff>172192</xdr:colOff>
      <xdr:row>15</xdr:row>
      <xdr:rowOff>122712</xdr:rowOff>
    </xdr:from>
    <xdr:ext cx="706540" cy="468077"/>
    <xdr:sp macro="" textlink="">
      <xdr:nvSpPr>
        <xdr:cNvPr id="226" name="TextBox 225">
          <a:extLst>
            <a:ext uri="{FF2B5EF4-FFF2-40B4-BE49-F238E27FC236}">
              <a16:creationId xmlns:a16="http://schemas.microsoft.com/office/drawing/2014/main" id="{0E856F6D-0615-4289-B6FB-A733D718FF3F}"/>
            </a:ext>
          </a:extLst>
        </xdr:cNvPr>
        <xdr:cNvSpPr txBox="1"/>
      </xdr:nvSpPr>
      <xdr:spPr>
        <a:xfrm>
          <a:off x="6877792" y="302783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18N-9W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101930</xdr:colOff>
      <xdr:row>15</xdr:row>
      <xdr:rowOff>139040</xdr:rowOff>
    </xdr:from>
    <xdr:ext cx="784510" cy="468077"/>
    <xdr:sp macro="" textlink="">
      <xdr:nvSpPr>
        <xdr:cNvPr id="227" name="TextBox 226">
          <a:extLst>
            <a:ext uri="{FF2B5EF4-FFF2-40B4-BE49-F238E27FC236}">
              <a16:creationId xmlns:a16="http://schemas.microsoft.com/office/drawing/2014/main" id="{526EACC3-C842-4D1A-8042-33B3B6489855}"/>
            </a:ext>
          </a:extLst>
        </xdr:cNvPr>
        <xdr:cNvSpPr txBox="1"/>
      </xdr:nvSpPr>
      <xdr:spPr>
        <a:xfrm>
          <a:off x="3035630" y="3044165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18N-12W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180109</xdr:colOff>
      <xdr:row>15</xdr:row>
      <xdr:rowOff>155369</xdr:rowOff>
    </xdr:from>
    <xdr:ext cx="706540" cy="468077"/>
    <xdr:sp macro="" textlink="">
      <xdr:nvSpPr>
        <xdr:cNvPr id="228" name="TextBox 227">
          <a:extLst>
            <a:ext uri="{FF2B5EF4-FFF2-40B4-BE49-F238E27FC236}">
              <a16:creationId xmlns:a16="http://schemas.microsoft.com/office/drawing/2014/main" id="{7FB4FA72-BF0B-4721-A030-B9941BF74CA4}"/>
            </a:ext>
          </a:extLst>
        </xdr:cNvPr>
        <xdr:cNvSpPr txBox="1"/>
      </xdr:nvSpPr>
      <xdr:spPr>
        <a:xfrm>
          <a:off x="8143009" y="306049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18N-8W</a:t>
          </a:r>
        </a:p>
        <a:p>
          <a:endParaRPr lang="en-US" sz="1200" b="1"/>
        </a:p>
      </xdr:txBody>
    </xdr:sp>
    <xdr:clientData/>
  </xdr:oneCellAnchor>
  <xdr:oneCellAnchor>
    <xdr:from>
      <xdr:col>26</xdr:col>
      <xdr:colOff>122217</xdr:colOff>
      <xdr:row>15</xdr:row>
      <xdr:rowOff>134586</xdr:rowOff>
    </xdr:from>
    <xdr:ext cx="784510" cy="468077"/>
    <xdr:sp macro="" textlink="">
      <xdr:nvSpPr>
        <xdr:cNvPr id="229" name="TextBox 228">
          <a:extLst>
            <a:ext uri="{FF2B5EF4-FFF2-40B4-BE49-F238E27FC236}">
              <a16:creationId xmlns:a16="http://schemas.microsoft.com/office/drawing/2014/main" id="{18D69F98-BB1F-4C30-9A02-C7AD6368C1F6}"/>
            </a:ext>
          </a:extLst>
        </xdr:cNvPr>
        <xdr:cNvSpPr txBox="1"/>
      </xdr:nvSpPr>
      <xdr:spPr>
        <a:xfrm>
          <a:off x="5570517" y="303971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18N-10W</a:t>
          </a:r>
        </a:p>
        <a:p>
          <a:endParaRPr lang="en-US" sz="1200" b="1"/>
        </a:p>
      </xdr:txBody>
    </xdr:sp>
    <xdr:clientData/>
  </xdr:oneCellAnchor>
  <xdr:oneCellAnchor>
    <xdr:from>
      <xdr:col>45</xdr:col>
      <xdr:colOff>2474</xdr:colOff>
      <xdr:row>15</xdr:row>
      <xdr:rowOff>138545</xdr:rowOff>
    </xdr:from>
    <xdr:ext cx="706540" cy="468077"/>
    <xdr:sp macro="" textlink="">
      <xdr:nvSpPr>
        <xdr:cNvPr id="230" name="TextBox 229">
          <a:extLst>
            <a:ext uri="{FF2B5EF4-FFF2-40B4-BE49-F238E27FC236}">
              <a16:creationId xmlns:a16="http://schemas.microsoft.com/office/drawing/2014/main" id="{97BBF940-5934-4884-B916-7FB1F33021F2}"/>
            </a:ext>
          </a:extLst>
        </xdr:cNvPr>
        <xdr:cNvSpPr txBox="1"/>
      </xdr:nvSpPr>
      <xdr:spPr>
        <a:xfrm>
          <a:off x="9432224" y="304367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18N-7W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167244</xdr:colOff>
      <xdr:row>15</xdr:row>
      <xdr:rowOff>142504</xdr:rowOff>
    </xdr:from>
    <xdr:ext cx="784510" cy="468077"/>
    <xdr:sp macro="" textlink="">
      <xdr:nvSpPr>
        <xdr:cNvPr id="231" name="TextBox 230">
          <a:extLst>
            <a:ext uri="{FF2B5EF4-FFF2-40B4-BE49-F238E27FC236}">
              <a16:creationId xmlns:a16="http://schemas.microsoft.com/office/drawing/2014/main" id="{987EE563-688C-44E5-BAB5-BC36FB752DFD}"/>
            </a:ext>
          </a:extLst>
        </xdr:cNvPr>
        <xdr:cNvSpPr txBox="1"/>
      </xdr:nvSpPr>
      <xdr:spPr>
        <a:xfrm>
          <a:off x="4358244" y="304762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18N-11W</a:t>
          </a:r>
        </a:p>
        <a:p>
          <a:endParaRPr lang="en-US" sz="1200" b="1"/>
        </a:p>
      </xdr:txBody>
    </xdr:sp>
    <xdr:clientData/>
  </xdr:oneCellAnchor>
  <xdr:oneCellAnchor>
    <xdr:from>
      <xdr:col>8</xdr:col>
      <xdr:colOff>146461</xdr:colOff>
      <xdr:row>15</xdr:row>
      <xdr:rowOff>121722</xdr:rowOff>
    </xdr:from>
    <xdr:ext cx="784510" cy="468077"/>
    <xdr:sp macro="" textlink="">
      <xdr:nvSpPr>
        <xdr:cNvPr id="232" name="TextBox 231">
          <a:extLst>
            <a:ext uri="{FF2B5EF4-FFF2-40B4-BE49-F238E27FC236}">
              <a16:creationId xmlns:a16="http://schemas.microsoft.com/office/drawing/2014/main" id="{2D25E33A-6E16-4435-B87A-9F04752E3E9C}"/>
            </a:ext>
          </a:extLst>
        </xdr:cNvPr>
        <xdr:cNvSpPr txBox="1"/>
      </xdr:nvSpPr>
      <xdr:spPr>
        <a:xfrm>
          <a:off x="1822861" y="3026847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18N-13W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204354</xdr:colOff>
      <xdr:row>15</xdr:row>
      <xdr:rowOff>142504</xdr:rowOff>
    </xdr:from>
    <xdr:ext cx="706540" cy="468077"/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DF844808-2025-49D9-8798-E83DC55E5B4A}"/>
            </a:ext>
          </a:extLst>
        </xdr:cNvPr>
        <xdr:cNvSpPr txBox="1"/>
      </xdr:nvSpPr>
      <xdr:spPr>
        <a:xfrm>
          <a:off x="10681854" y="3047629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195941</xdr:colOff>
      <xdr:row>15</xdr:row>
      <xdr:rowOff>146462</xdr:rowOff>
    </xdr:from>
    <xdr:ext cx="706540" cy="468077"/>
    <xdr:sp macro="" textlink="">
      <xdr:nvSpPr>
        <xdr:cNvPr id="234" name="TextBox 233">
          <a:extLst>
            <a:ext uri="{FF2B5EF4-FFF2-40B4-BE49-F238E27FC236}">
              <a16:creationId xmlns:a16="http://schemas.microsoft.com/office/drawing/2014/main" id="{7DF052FE-5068-400C-8A43-DB2C61A403DD}"/>
            </a:ext>
          </a:extLst>
        </xdr:cNvPr>
        <xdr:cNvSpPr txBox="1"/>
      </xdr:nvSpPr>
      <xdr:spPr>
        <a:xfrm>
          <a:off x="11930741" y="305158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18N-5W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205344</xdr:colOff>
      <xdr:row>21</xdr:row>
      <xdr:rowOff>131124</xdr:rowOff>
    </xdr:from>
    <xdr:ext cx="784510" cy="468077"/>
    <xdr:sp macro="" textlink="">
      <xdr:nvSpPr>
        <xdr:cNvPr id="235" name="TextBox 234">
          <a:extLst>
            <a:ext uri="{FF2B5EF4-FFF2-40B4-BE49-F238E27FC236}">
              <a16:creationId xmlns:a16="http://schemas.microsoft.com/office/drawing/2014/main" id="{27816CA8-57EE-412E-8FBC-05EC23100037}"/>
            </a:ext>
          </a:extLst>
        </xdr:cNvPr>
        <xdr:cNvSpPr txBox="1"/>
      </xdr:nvSpPr>
      <xdr:spPr>
        <a:xfrm>
          <a:off x="624444" y="4179249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17N-14W</a:t>
          </a:r>
        </a:p>
        <a:p>
          <a:endParaRPr lang="en-US" sz="1200" b="1"/>
        </a:p>
      </xdr:txBody>
    </xdr:sp>
    <xdr:clientData/>
  </xdr:oneCellAnchor>
  <xdr:oneCellAnchor>
    <xdr:from>
      <xdr:col>32</xdr:col>
      <xdr:colOff>196932</xdr:colOff>
      <xdr:row>21</xdr:row>
      <xdr:rowOff>147452</xdr:rowOff>
    </xdr:from>
    <xdr:ext cx="706540" cy="468077"/>
    <xdr:sp macro="" textlink="">
      <xdr:nvSpPr>
        <xdr:cNvPr id="236" name="TextBox 235">
          <a:extLst>
            <a:ext uri="{FF2B5EF4-FFF2-40B4-BE49-F238E27FC236}">
              <a16:creationId xmlns:a16="http://schemas.microsoft.com/office/drawing/2014/main" id="{C83DEC8A-D910-4591-8E08-E6EC908F2BAB}"/>
            </a:ext>
          </a:extLst>
        </xdr:cNvPr>
        <xdr:cNvSpPr txBox="1"/>
      </xdr:nvSpPr>
      <xdr:spPr>
        <a:xfrm>
          <a:off x="6902532" y="4195577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17N-9W</a:t>
          </a:r>
        </a:p>
        <a:p>
          <a:endParaRPr lang="en-US" sz="1200" b="1"/>
        </a:p>
      </xdr:txBody>
    </xdr:sp>
    <xdr:clientData/>
  </xdr:oneCellAnchor>
  <xdr:oneCellAnchor>
    <xdr:from>
      <xdr:col>27</xdr:col>
      <xdr:colOff>2968</xdr:colOff>
      <xdr:row>21</xdr:row>
      <xdr:rowOff>151411</xdr:rowOff>
    </xdr:from>
    <xdr:ext cx="784510" cy="468077"/>
    <xdr:sp macro="" textlink="">
      <xdr:nvSpPr>
        <xdr:cNvPr id="237" name="TextBox 236">
          <a:extLst>
            <a:ext uri="{FF2B5EF4-FFF2-40B4-BE49-F238E27FC236}">
              <a16:creationId xmlns:a16="http://schemas.microsoft.com/office/drawing/2014/main" id="{E3F42DF9-410C-4155-8858-C9EB82AFC070}"/>
            </a:ext>
          </a:extLst>
        </xdr:cNvPr>
        <xdr:cNvSpPr txBox="1"/>
      </xdr:nvSpPr>
      <xdr:spPr>
        <a:xfrm>
          <a:off x="5660818" y="4199536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17N-10W</a:t>
          </a:r>
        </a:p>
        <a:p>
          <a:endParaRPr lang="en-US" sz="1200" b="1"/>
        </a:p>
      </xdr:txBody>
    </xdr:sp>
    <xdr:clientData/>
  </xdr:oneCellAnchor>
  <xdr:oneCellAnchor>
    <xdr:from>
      <xdr:col>20</xdr:col>
      <xdr:colOff>192479</xdr:colOff>
      <xdr:row>21</xdr:row>
      <xdr:rowOff>142999</xdr:rowOff>
    </xdr:from>
    <xdr:ext cx="784510" cy="468077"/>
    <xdr:sp macro="" textlink="">
      <xdr:nvSpPr>
        <xdr:cNvPr id="238" name="TextBox 237">
          <a:extLst>
            <a:ext uri="{FF2B5EF4-FFF2-40B4-BE49-F238E27FC236}">
              <a16:creationId xmlns:a16="http://schemas.microsoft.com/office/drawing/2014/main" id="{B32606C3-7F5B-4085-B500-7718820CC85D}"/>
            </a:ext>
          </a:extLst>
        </xdr:cNvPr>
        <xdr:cNvSpPr txBox="1"/>
      </xdr:nvSpPr>
      <xdr:spPr>
        <a:xfrm>
          <a:off x="4383479" y="4191124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17N-11W</a:t>
          </a:r>
        </a:p>
        <a:p>
          <a:endParaRPr lang="en-US" sz="1200" b="1"/>
        </a:p>
      </xdr:txBody>
    </xdr:sp>
    <xdr:clientData/>
  </xdr:oneCellAnchor>
  <xdr:oneCellAnchor>
    <xdr:from>
      <xdr:col>14</xdr:col>
      <xdr:colOff>171697</xdr:colOff>
      <xdr:row>21</xdr:row>
      <xdr:rowOff>146958</xdr:rowOff>
    </xdr:from>
    <xdr:ext cx="784510" cy="468077"/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BB4C2C37-D0CF-4CE6-B248-9790F586FEC8}"/>
            </a:ext>
          </a:extLst>
        </xdr:cNvPr>
        <xdr:cNvSpPr txBox="1"/>
      </xdr:nvSpPr>
      <xdr:spPr>
        <a:xfrm>
          <a:off x="3105397" y="4195083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17N-12W</a:t>
          </a:r>
        </a:p>
        <a:p>
          <a:endParaRPr lang="en-US" sz="1200" b="1"/>
        </a:p>
      </xdr:txBody>
    </xdr:sp>
    <xdr:clientData/>
  </xdr:oneCellAnchor>
  <xdr:oneCellAnchor>
    <xdr:from>
      <xdr:col>9</xdr:col>
      <xdr:colOff>2473</xdr:colOff>
      <xdr:row>21</xdr:row>
      <xdr:rowOff>126176</xdr:rowOff>
    </xdr:from>
    <xdr:ext cx="784510" cy="468077"/>
    <xdr:sp macro="" textlink="">
      <xdr:nvSpPr>
        <xdr:cNvPr id="240" name="TextBox 239">
          <a:extLst>
            <a:ext uri="{FF2B5EF4-FFF2-40B4-BE49-F238E27FC236}">
              <a16:creationId xmlns:a16="http://schemas.microsoft.com/office/drawing/2014/main" id="{6BAF7CB7-EDD4-40FC-BB6C-F5A606D87D5F}"/>
            </a:ext>
          </a:extLst>
        </xdr:cNvPr>
        <xdr:cNvSpPr txBox="1"/>
      </xdr:nvSpPr>
      <xdr:spPr>
        <a:xfrm>
          <a:off x="1888423" y="4174301"/>
          <a:ext cx="78451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17N-13W</a:t>
          </a:r>
        </a:p>
        <a:p>
          <a:endParaRPr lang="en-US" sz="1200" b="1"/>
        </a:p>
      </xdr:txBody>
    </xdr:sp>
    <xdr:clientData/>
  </xdr:oneCellAnchor>
  <xdr:oneCellAnchor>
    <xdr:from>
      <xdr:col>38</xdr:col>
      <xdr:colOff>200891</xdr:colOff>
      <xdr:row>21</xdr:row>
      <xdr:rowOff>139040</xdr:rowOff>
    </xdr:from>
    <xdr:ext cx="706540" cy="468077"/>
    <xdr:sp macro="" textlink="">
      <xdr:nvSpPr>
        <xdr:cNvPr id="241" name="TextBox 240">
          <a:extLst>
            <a:ext uri="{FF2B5EF4-FFF2-40B4-BE49-F238E27FC236}">
              <a16:creationId xmlns:a16="http://schemas.microsoft.com/office/drawing/2014/main" id="{8D194564-FE4C-467D-A3F3-7F7EF09B82A3}"/>
            </a:ext>
          </a:extLst>
        </xdr:cNvPr>
        <xdr:cNvSpPr txBox="1"/>
      </xdr:nvSpPr>
      <xdr:spPr>
        <a:xfrm>
          <a:off x="8163791" y="4187165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17N-8W</a:t>
          </a:r>
        </a:p>
        <a:p>
          <a:endParaRPr lang="en-US" sz="1200" b="1"/>
        </a:p>
      </xdr:txBody>
    </xdr:sp>
    <xdr:clientData/>
  </xdr:oneCellAnchor>
  <xdr:oneCellAnchor>
    <xdr:from>
      <xdr:col>44</xdr:col>
      <xdr:colOff>192480</xdr:colOff>
      <xdr:row>21</xdr:row>
      <xdr:rowOff>142999</xdr:rowOff>
    </xdr:from>
    <xdr:ext cx="706540" cy="468077"/>
    <xdr:sp macro="" textlink="">
      <xdr:nvSpPr>
        <xdr:cNvPr id="242" name="TextBox 241">
          <a:extLst>
            <a:ext uri="{FF2B5EF4-FFF2-40B4-BE49-F238E27FC236}">
              <a16:creationId xmlns:a16="http://schemas.microsoft.com/office/drawing/2014/main" id="{3BAE5B84-EF4F-4BCF-B525-85D2F7A4E931}"/>
            </a:ext>
          </a:extLst>
        </xdr:cNvPr>
        <xdr:cNvSpPr txBox="1"/>
      </xdr:nvSpPr>
      <xdr:spPr>
        <a:xfrm>
          <a:off x="9412680" y="4191124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17N-7W</a:t>
          </a:r>
        </a:p>
        <a:p>
          <a:endParaRPr lang="en-US" sz="1200" b="1"/>
        </a:p>
      </xdr:txBody>
    </xdr:sp>
    <xdr:clientData/>
  </xdr:oneCellAnchor>
  <xdr:oneCellAnchor>
    <xdr:from>
      <xdr:col>50</xdr:col>
      <xdr:colOff>158090</xdr:colOff>
      <xdr:row>21</xdr:row>
      <xdr:rowOff>119125</xdr:rowOff>
    </xdr:from>
    <xdr:ext cx="706540" cy="468077"/>
    <xdr:sp macro="" textlink="">
      <xdr:nvSpPr>
        <xdr:cNvPr id="243" name="TextBox 242">
          <a:extLst>
            <a:ext uri="{FF2B5EF4-FFF2-40B4-BE49-F238E27FC236}">
              <a16:creationId xmlns:a16="http://schemas.microsoft.com/office/drawing/2014/main" id="{71DFAB2A-6E47-43E4-B314-3D35C448A24D}"/>
            </a:ext>
          </a:extLst>
        </xdr:cNvPr>
        <xdr:cNvSpPr txBox="1"/>
      </xdr:nvSpPr>
      <xdr:spPr>
        <a:xfrm>
          <a:off x="10635590" y="4167250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17N-6W</a:t>
          </a:r>
        </a:p>
        <a:p>
          <a:endParaRPr lang="en-US" sz="1200" b="1"/>
        </a:p>
      </xdr:txBody>
    </xdr:sp>
    <xdr:clientData/>
  </xdr:oneCellAnchor>
  <xdr:oneCellAnchor>
    <xdr:from>
      <xdr:col>56</xdr:col>
      <xdr:colOff>197922</xdr:colOff>
      <xdr:row>21</xdr:row>
      <xdr:rowOff>148441</xdr:rowOff>
    </xdr:from>
    <xdr:ext cx="706540" cy="468077"/>
    <xdr:sp macro="" textlink="">
      <xdr:nvSpPr>
        <xdr:cNvPr id="244" name="TextBox 243">
          <a:extLst>
            <a:ext uri="{FF2B5EF4-FFF2-40B4-BE49-F238E27FC236}">
              <a16:creationId xmlns:a16="http://schemas.microsoft.com/office/drawing/2014/main" id="{DDE735E7-CFA5-4508-B539-1577905480BC}"/>
            </a:ext>
          </a:extLst>
        </xdr:cNvPr>
        <xdr:cNvSpPr txBox="1"/>
      </xdr:nvSpPr>
      <xdr:spPr>
        <a:xfrm>
          <a:off x="11932722" y="4196566"/>
          <a:ext cx="70654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17N-5W</a:t>
          </a:r>
        </a:p>
        <a:p>
          <a:endParaRPr lang="en-US" sz="1200" b="1"/>
        </a:p>
      </xdr:txBody>
    </xdr:sp>
    <xdr:clientData/>
  </xdr:oneCellAnchor>
  <xdr:oneCellAnchor>
    <xdr:from>
      <xdr:col>2</xdr:col>
      <xdr:colOff>168233</xdr:colOff>
      <xdr:row>27</xdr:row>
      <xdr:rowOff>143494</xdr:rowOff>
    </xdr:from>
    <xdr:ext cx="784510" cy="280205"/>
    <xdr:sp macro="" textlink="">
      <xdr:nvSpPr>
        <xdr:cNvPr id="245" name="TextBox 244">
          <a:extLst>
            <a:ext uri="{FF2B5EF4-FFF2-40B4-BE49-F238E27FC236}">
              <a16:creationId xmlns:a16="http://schemas.microsoft.com/office/drawing/2014/main" id="{0150B400-3FD3-4679-B6EC-1E93ECB05B66}"/>
            </a:ext>
          </a:extLst>
        </xdr:cNvPr>
        <xdr:cNvSpPr txBox="1"/>
      </xdr:nvSpPr>
      <xdr:spPr>
        <a:xfrm>
          <a:off x="587333" y="53346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16N-14W</a:t>
          </a:r>
        </a:p>
      </xdr:txBody>
    </xdr:sp>
    <xdr:clientData/>
  </xdr:oneCellAnchor>
  <xdr:oneCellAnchor>
    <xdr:from>
      <xdr:col>33</xdr:col>
      <xdr:colOff>60859</xdr:colOff>
      <xdr:row>27</xdr:row>
      <xdr:rowOff>122711</xdr:rowOff>
    </xdr:from>
    <xdr:ext cx="706540" cy="280205"/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DF425D35-0A81-489E-AF24-0E6B2F2715CB}"/>
            </a:ext>
          </a:extLst>
        </xdr:cNvPr>
        <xdr:cNvSpPr txBox="1"/>
      </xdr:nvSpPr>
      <xdr:spPr>
        <a:xfrm>
          <a:off x="6976009" y="531383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16N-9W</a:t>
          </a:r>
        </a:p>
      </xdr:txBody>
    </xdr:sp>
    <xdr:clientData/>
  </xdr:oneCellAnchor>
  <xdr:oneCellAnchor>
    <xdr:from>
      <xdr:col>27</xdr:col>
      <xdr:colOff>15337</xdr:colOff>
      <xdr:row>27</xdr:row>
      <xdr:rowOff>151411</xdr:rowOff>
    </xdr:from>
    <xdr:ext cx="784510" cy="280205"/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36B529A6-5245-41CD-9522-0603794677BC}"/>
            </a:ext>
          </a:extLst>
        </xdr:cNvPr>
        <xdr:cNvSpPr txBox="1"/>
      </xdr:nvSpPr>
      <xdr:spPr>
        <a:xfrm>
          <a:off x="5673187" y="534253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16N-10W</a:t>
          </a:r>
        </a:p>
      </xdr:txBody>
    </xdr:sp>
    <xdr:clientData/>
  </xdr:oneCellAnchor>
  <xdr:oneCellAnchor>
    <xdr:from>
      <xdr:col>21</xdr:col>
      <xdr:colOff>31666</xdr:colOff>
      <xdr:row>27</xdr:row>
      <xdr:rowOff>167739</xdr:rowOff>
    </xdr:from>
    <xdr:ext cx="784510" cy="280205"/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D639482F-402A-4CF9-87D1-83B2702E490F}"/>
            </a:ext>
          </a:extLst>
        </xdr:cNvPr>
        <xdr:cNvSpPr txBox="1"/>
      </xdr:nvSpPr>
      <xdr:spPr>
        <a:xfrm>
          <a:off x="4432216" y="535886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16N-11W</a:t>
          </a:r>
        </a:p>
      </xdr:txBody>
    </xdr:sp>
    <xdr:clientData/>
  </xdr:oneCellAnchor>
  <xdr:oneCellAnchor>
    <xdr:from>
      <xdr:col>14</xdr:col>
      <xdr:colOff>196436</xdr:colOff>
      <xdr:row>27</xdr:row>
      <xdr:rowOff>159328</xdr:rowOff>
    </xdr:from>
    <xdr:ext cx="784510" cy="280205"/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1A5366C9-DC99-44A3-B6F2-BE03C08A3545}"/>
            </a:ext>
          </a:extLst>
        </xdr:cNvPr>
        <xdr:cNvSpPr txBox="1"/>
      </xdr:nvSpPr>
      <xdr:spPr>
        <a:xfrm>
          <a:off x="3130136" y="535045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16N-12W</a:t>
          </a:r>
        </a:p>
      </xdr:txBody>
    </xdr:sp>
    <xdr:clientData/>
  </xdr:oneCellAnchor>
  <xdr:oneCellAnchor>
    <xdr:from>
      <xdr:col>8</xdr:col>
      <xdr:colOff>188024</xdr:colOff>
      <xdr:row>27</xdr:row>
      <xdr:rowOff>150916</xdr:rowOff>
    </xdr:from>
    <xdr:ext cx="784510" cy="280205"/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F01A5A79-C898-4483-8D79-37A740243010}"/>
            </a:ext>
          </a:extLst>
        </xdr:cNvPr>
        <xdr:cNvSpPr txBox="1"/>
      </xdr:nvSpPr>
      <xdr:spPr>
        <a:xfrm>
          <a:off x="1864424" y="534204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16N-13W</a:t>
          </a:r>
        </a:p>
      </xdr:txBody>
    </xdr:sp>
    <xdr:clientData/>
  </xdr:oneCellAnchor>
  <xdr:oneCellAnchor>
    <xdr:from>
      <xdr:col>50</xdr:col>
      <xdr:colOff>176149</xdr:colOff>
      <xdr:row>27</xdr:row>
      <xdr:rowOff>163780</xdr:rowOff>
    </xdr:from>
    <xdr:ext cx="706540" cy="280205"/>
    <xdr:sp macro="" textlink="">
      <xdr:nvSpPr>
        <xdr:cNvPr id="251" name="TextBox 250">
          <a:extLst>
            <a:ext uri="{FF2B5EF4-FFF2-40B4-BE49-F238E27FC236}">
              <a16:creationId xmlns:a16="http://schemas.microsoft.com/office/drawing/2014/main" id="{7D25068C-7B75-4C7B-B241-605499935B1A}"/>
            </a:ext>
          </a:extLst>
        </xdr:cNvPr>
        <xdr:cNvSpPr txBox="1"/>
      </xdr:nvSpPr>
      <xdr:spPr>
        <a:xfrm>
          <a:off x="10653649" y="53549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16N-6W</a:t>
          </a:r>
        </a:p>
      </xdr:txBody>
    </xdr:sp>
    <xdr:clientData/>
  </xdr:oneCellAnchor>
  <xdr:oneCellAnchor>
    <xdr:from>
      <xdr:col>44</xdr:col>
      <xdr:colOff>180108</xdr:colOff>
      <xdr:row>27</xdr:row>
      <xdr:rowOff>167738</xdr:rowOff>
    </xdr:from>
    <xdr:ext cx="706540" cy="280205"/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E14BE1A0-3D2F-4C8C-B70C-085D008330ED}"/>
            </a:ext>
          </a:extLst>
        </xdr:cNvPr>
        <xdr:cNvSpPr txBox="1"/>
      </xdr:nvSpPr>
      <xdr:spPr>
        <a:xfrm>
          <a:off x="9400308" y="535886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16N-7W</a:t>
          </a:r>
        </a:p>
      </xdr:txBody>
    </xdr:sp>
    <xdr:clientData/>
  </xdr:oneCellAnchor>
  <xdr:oneCellAnchor>
    <xdr:from>
      <xdr:col>56</xdr:col>
      <xdr:colOff>134585</xdr:colOff>
      <xdr:row>27</xdr:row>
      <xdr:rowOff>146957</xdr:rowOff>
    </xdr:from>
    <xdr:ext cx="706540" cy="280205"/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F8A37C14-C0AE-406C-A146-3D97FF211BFA}"/>
            </a:ext>
          </a:extLst>
        </xdr:cNvPr>
        <xdr:cNvSpPr txBox="1"/>
      </xdr:nvSpPr>
      <xdr:spPr>
        <a:xfrm>
          <a:off x="11869385" y="533808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16N-5W</a:t>
          </a:r>
        </a:p>
      </xdr:txBody>
    </xdr:sp>
    <xdr:clientData/>
  </xdr:oneCellAnchor>
  <xdr:oneCellAnchor>
    <xdr:from>
      <xdr:col>38</xdr:col>
      <xdr:colOff>113803</xdr:colOff>
      <xdr:row>27</xdr:row>
      <xdr:rowOff>175655</xdr:rowOff>
    </xdr:from>
    <xdr:ext cx="706540" cy="280205"/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5715F0B6-7494-4286-B170-C7278DA95DEF}"/>
            </a:ext>
          </a:extLst>
        </xdr:cNvPr>
        <xdr:cNvSpPr txBox="1"/>
      </xdr:nvSpPr>
      <xdr:spPr>
        <a:xfrm>
          <a:off x="8076703" y="5366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16N-8W</a:t>
          </a:r>
        </a:p>
      </xdr:txBody>
    </xdr:sp>
    <xdr:clientData/>
  </xdr:oneCellAnchor>
  <xdr:oneCellAnchor>
    <xdr:from>
      <xdr:col>2</xdr:col>
      <xdr:colOff>131122</xdr:colOff>
      <xdr:row>33</xdr:row>
      <xdr:rowOff>155865</xdr:rowOff>
    </xdr:from>
    <xdr:ext cx="784510" cy="280205"/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5D22DC0C-9A9E-4E7C-B4D5-B21D039A1C28}"/>
            </a:ext>
          </a:extLst>
        </xdr:cNvPr>
        <xdr:cNvSpPr txBox="1"/>
      </xdr:nvSpPr>
      <xdr:spPr>
        <a:xfrm>
          <a:off x="550222" y="648999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15N-14W</a:t>
          </a:r>
        </a:p>
      </xdr:txBody>
    </xdr:sp>
    <xdr:clientData/>
  </xdr:oneCellAnchor>
  <xdr:oneCellAnchor>
    <xdr:from>
      <xdr:col>26</xdr:col>
      <xdr:colOff>135081</xdr:colOff>
      <xdr:row>33</xdr:row>
      <xdr:rowOff>147454</xdr:rowOff>
    </xdr:from>
    <xdr:ext cx="784510" cy="280205"/>
    <xdr:sp macro="" textlink="">
      <xdr:nvSpPr>
        <xdr:cNvPr id="256" name="TextBox 255">
          <a:extLst>
            <a:ext uri="{FF2B5EF4-FFF2-40B4-BE49-F238E27FC236}">
              <a16:creationId xmlns:a16="http://schemas.microsoft.com/office/drawing/2014/main" id="{F3580486-64E4-4C90-BCD1-1856479AC7A6}"/>
            </a:ext>
          </a:extLst>
        </xdr:cNvPr>
        <xdr:cNvSpPr txBox="1"/>
      </xdr:nvSpPr>
      <xdr:spPr>
        <a:xfrm>
          <a:off x="5583381" y="648157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15N-10W</a:t>
          </a:r>
        </a:p>
      </xdr:txBody>
    </xdr:sp>
    <xdr:clientData/>
  </xdr:oneCellAnchor>
  <xdr:oneCellAnchor>
    <xdr:from>
      <xdr:col>21</xdr:col>
      <xdr:colOff>2967</xdr:colOff>
      <xdr:row>33</xdr:row>
      <xdr:rowOff>163782</xdr:rowOff>
    </xdr:from>
    <xdr:ext cx="784510" cy="280205"/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62E5B08E-A853-4965-968C-77626634825C}"/>
            </a:ext>
          </a:extLst>
        </xdr:cNvPr>
        <xdr:cNvSpPr txBox="1"/>
      </xdr:nvSpPr>
      <xdr:spPr>
        <a:xfrm>
          <a:off x="4403517" y="6497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8</xdr:col>
      <xdr:colOff>118257</xdr:colOff>
      <xdr:row>33</xdr:row>
      <xdr:rowOff>155370</xdr:rowOff>
    </xdr:from>
    <xdr:ext cx="784510" cy="280205"/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2B1A78CC-FF67-4877-811C-3FDFA111F403}"/>
            </a:ext>
          </a:extLst>
        </xdr:cNvPr>
        <xdr:cNvSpPr txBox="1"/>
      </xdr:nvSpPr>
      <xdr:spPr>
        <a:xfrm>
          <a:off x="1794657" y="64894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15N-13W</a:t>
          </a:r>
        </a:p>
      </xdr:txBody>
    </xdr:sp>
    <xdr:clientData/>
  </xdr:oneCellAnchor>
  <xdr:oneCellAnchor>
    <xdr:from>
      <xdr:col>15</xdr:col>
      <xdr:colOff>10884</xdr:colOff>
      <xdr:row>33</xdr:row>
      <xdr:rowOff>159329</xdr:rowOff>
    </xdr:from>
    <xdr:ext cx="784510" cy="280205"/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E949CFA-6182-4E2B-9BD4-077C6CBD86D0}"/>
            </a:ext>
          </a:extLst>
        </xdr:cNvPr>
        <xdr:cNvSpPr txBox="1"/>
      </xdr:nvSpPr>
      <xdr:spPr>
        <a:xfrm>
          <a:off x="3154134" y="649345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15N-12W</a:t>
          </a:r>
        </a:p>
      </xdr:txBody>
    </xdr:sp>
    <xdr:clientData/>
  </xdr:oneCellAnchor>
  <xdr:oneCellAnchor>
    <xdr:from>
      <xdr:col>50</xdr:col>
      <xdr:colOff>163780</xdr:colOff>
      <xdr:row>33</xdr:row>
      <xdr:rowOff>139043</xdr:rowOff>
    </xdr:from>
    <xdr:ext cx="706540" cy="280205"/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CB9859D-D259-46A6-BA84-9E5FC31A6EC2}"/>
            </a:ext>
          </a:extLst>
        </xdr:cNvPr>
        <xdr:cNvSpPr txBox="1"/>
      </xdr:nvSpPr>
      <xdr:spPr>
        <a:xfrm>
          <a:off x="10641280" y="64731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15N-6W</a:t>
          </a:r>
        </a:p>
      </xdr:txBody>
    </xdr:sp>
    <xdr:clientData/>
  </xdr:oneCellAnchor>
  <xdr:oneCellAnchor>
    <xdr:from>
      <xdr:col>38</xdr:col>
      <xdr:colOff>167738</xdr:colOff>
      <xdr:row>33</xdr:row>
      <xdr:rowOff>143001</xdr:rowOff>
    </xdr:from>
    <xdr:ext cx="706540" cy="280205"/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11341C7A-B4FF-45C5-BC4E-6BDB06BB67B1}"/>
            </a:ext>
          </a:extLst>
        </xdr:cNvPr>
        <xdr:cNvSpPr txBox="1"/>
      </xdr:nvSpPr>
      <xdr:spPr>
        <a:xfrm>
          <a:off x="8130638" y="647712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15N-8W</a:t>
          </a:r>
        </a:p>
      </xdr:txBody>
    </xdr:sp>
    <xdr:clientData/>
  </xdr:oneCellAnchor>
  <xdr:oneCellAnchor>
    <xdr:from>
      <xdr:col>56</xdr:col>
      <xdr:colOff>159325</xdr:colOff>
      <xdr:row>33</xdr:row>
      <xdr:rowOff>159329</xdr:rowOff>
    </xdr:from>
    <xdr:ext cx="706540" cy="280205"/>
    <xdr:sp macro="" textlink="">
      <xdr:nvSpPr>
        <xdr:cNvPr id="262" name="TextBox 261">
          <a:extLst>
            <a:ext uri="{FF2B5EF4-FFF2-40B4-BE49-F238E27FC236}">
              <a16:creationId xmlns:a16="http://schemas.microsoft.com/office/drawing/2014/main" id="{27F8C66D-4152-45D4-B755-7A209118EDF9}"/>
            </a:ext>
          </a:extLst>
        </xdr:cNvPr>
        <xdr:cNvSpPr txBox="1"/>
      </xdr:nvSpPr>
      <xdr:spPr>
        <a:xfrm>
          <a:off x="11894125" y="649345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15N-5W</a:t>
          </a:r>
        </a:p>
      </xdr:txBody>
    </xdr:sp>
    <xdr:clientData/>
  </xdr:oneCellAnchor>
  <xdr:oneCellAnchor>
    <xdr:from>
      <xdr:col>32</xdr:col>
      <xdr:colOff>200395</xdr:colOff>
      <xdr:row>33</xdr:row>
      <xdr:rowOff>175658</xdr:rowOff>
    </xdr:from>
    <xdr:ext cx="706540" cy="280205"/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60326D6C-D701-4CA7-AC71-67B8AC0FF785}"/>
            </a:ext>
          </a:extLst>
        </xdr:cNvPr>
        <xdr:cNvSpPr txBox="1"/>
      </xdr:nvSpPr>
      <xdr:spPr>
        <a:xfrm>
          <a:off x="6905995" y="650978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15N-9W</a:t>
          </a:r>
        </a:p>
      </xdr:txBody>
    </xdr:sp>
    <xdr:clientData/>
  </xdr:oneCellAnchor>
  <xdr:oneCellAnchor>
    <xdr:from>
      <xdr:col>44</xdr:col>
      <xdr:colOff>154873</xdr:colOff>
      <xdr:row>33</xdr:row>
      <xdr:rowOff>179616</xdr:rowOff>
    </xdr:from>
    <xdr:ext cx="706540" cy="280205"/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79C3AE64-7E78-4641-AD0B-99E4D418B22B}"/>
            </a:ext>
          </a:extLst>
        </xdr:cNvPr>
        <xdr:cNvSpPr txBox="1"/>
      </xdr:nvSpPr>
      <xdr:spPr>
        <a:xfrm>
          <a:off x="9375073" y="651374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15N-7W</a:t>
          </a:r>
        </a:p>
      </xdr:txBody>
    </xdr:sp>
    <xdr:clientData/>
  </xdr:oneCellAnchor>
  <xdr:oneCellAnchor>
    <xdr:from>
      <xdr:col>2</xdr:col>
      <xdr:colOff>135080</xdr:colOff>
      <xdr:row>39</xdr:row>
      <xdr:rowOff>159823</xdr:rowOff>
    </xdr:from>
    <xdr:ext cx="784510" cy="280205"/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CF321A5B-DDD4-4C6A-AC10-A58E48C28CFE}"/>
            </a:ext>
          </a:extLst>
        </xdr:cNvPr>
        <xdr:cNvSpPr txBox="1"/>
      </xdr:nvSpPr>
      <xdr:spPr>
        <a:xfrm>
          <a:off x="554180" y="7636948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14N-14W</a:t>
          </a:r>
        </a:p>
      </xdr:txBody>
    </xdr:sp>
    <xdr:clientData/>
  </xdr:oneCellAnchor>
  <xdr:oneCellAnchor>
    <xdr:from>
      <xdr:col>8</xdr:col>
      <xdr:colOff>139038</xdr:colOff>
      <xdr:row>39</xdr:row>
      <xdr:rowOff>163782</xdr:rowOff>
    </xdr:from>
    <xdr:ext cx="784510" cy="280205"/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E8E14FCE-3B66-4E0F-A45E-1DD2A20B5E4F}"/>
            </a:ext>
          </a:extLst>
        </xdr:cNvPr>
        <xdr:cNvSpPr txBox="1"/>
      </xdr:nvSpPr>
      <xdr:spPr>
        <a:xfrm>
          <a:off x="1815438" y="76409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14N-13W</a:t>
          </a:r>
        </a:p>
      </xdr:txBody>
    </xdr:sp>
    <xdr:clientData/>
  </xdr:oneCellAnchor>
  <xdr:oneCellAnchor>
    <xdr:from>
      <xdr:col>14</xdr:col>
      <xdr:colOff>167737</xdr:colOff>
      <xdr:row>39</xdr:row>
      <xdr:rowOff>167740</xdr:rowOff>
    </xdr:from>
    <xdr:ext cx="784510" cy="280205"/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2471F19B-B068-4C48-B030-B70BB803D8F2}"/>
            </a:ext>
          </a:extLst>
        </xdr:cNvPr>
        <xdr:cNvSpPr txBox="1"/>
      </xdr:nvSpPr>
      <xdr:spPr>
        <a:xfrm>
          <a:off x="3101437" y="764486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14N-12W</a:t>
          </a:r>
        </a:p>
      </xdr:txBody>
    </xdr:sp>
    <xdr:clientData/>
  </xdr:oneCellAnchor>
  <xdr:oneCellAnchor>
    <xdr:from>
      <xdr:col>20</xdr:col>
      <xdr:colOff>146956</xdr:colOff>
      <xdr:row>39</xdr:row>
      <xdr:rowOff>171698</xdr:rowOff>
    </xdr:from>
    <xdr:ext cx="784510" cy="280205"/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25B1D199-3BC9-42FE-BA3D-36367B00C452}"/>
            </a:ext>
          </a:extLst>
        </xdr:cNvPr>
        <xdr:cNvSpPr txBox="1"/>
      </xdr:nvSpPr>
      <xdr:spPr>
        <a:xfrm>
          <a:off x="4337956" y="764882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14N-11W</a:t>
          </a:r>
        </a:p>
      </xdr:txBody>
    </xdr:sp>
    <xdr:clientData/>
  </xdr:oneCellAnchor>
  <xdr:oneCellAnchor>
    <xdr:from>
      <xdr:col>27</xdr:col>
      <xdr:colOff>37110</xdr:colOff>
      <xdr:row>39</xdr:row>
      <xdr:rowOff>160812</xdr:rowOff>
    </xdr:from>
    <xdr:ext cx="784510" cy="280205"/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DB63CEE8-815B-4EAD-B727-D676BB3FB7C9}"/>
            </a:ext>
          </a:extLst>
        </xdr:cNvPr>
        <xdr:cNvSpPr txBox="1"/>
      </xdr:nvSpPr>
      <xdr:spPr>
        <a:xfrm>
          <a:off x="5694960" y="763793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14N-10W</a:t>
          </a:r>
        </a:p>
      </xdr:txBody>
    </xdr:sp>
    <xdr:clientData/>
  </xdr:oneCellAnchor>
  <xdr:oneCellAnchor>
    <xdr:from>
      <xdr:col>32</xdr:col>
      <xdr:colOff>201880</xdr:colOff>
      <xdr:row>39</xdr:row>
      <xdr:rowOff>152400</xdr:rowOff>
    </xdr:from>
    <xdr:ext cx="706540" cy="280205"/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E268AA12-19EE-4B02-9F3D-1111B02F9094}"/>
            </a:ext>
          </a:extLst>
        </xdr:cNvPr>
        <xdr:cNvSpPr txBox="1"/>
      </xdr:nvSpPr>
      <xdr:spPr>
        <a:xfrm>
          <a:off x="6907480" y="7629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14N-9W</a:t>
          </a:r>
        </a:p>
      </xdr:txBody>
    </xdr:sp>
    <xdr:clientData/>
  </xdr:oneCellAnchor>
  <xdr:oneCellAnchor>
    <xdr:from>
      <xdr:col>38</xdr:col>
      <xdr:colOff>160811</xdr:colOff>
      <xdr:row>39</xdr:row>
      <xdr:rowOff>136071</xdr:rowOff>
    </xdr:from>
    <xdr:ext cx="706540" cy="280205"/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F4E5ADDA-FC63-4D50-8609-27A24D6B790B}"/>
            </a:ext>
          </a:extLst>
        </xdr:cNvPr>
        <xdr:cNvSpPr txBox="1"/>
      </xdr:nvSpPr>
      <xdr:spPr>
        <a:xfrm>
          <a:off x="8123711" y="761319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14N-8W</a:t>
          </a:r>
        </a:p>
      </xdr:txBody>
    </xdr:sp>
    <xdr:clientData/>
  </xdr:oneCellAnchor>
  <xdr:oneCellAnchor>
    <xdr:from>
      <xdr:col>44</xdr:col>
      <xdr:colOff>160812</xdr:colOff>
      <xdr:row>39</xdr:row>
      <xdr:rowOff>148442</xdr:rowOff>
    </xdr:from>
    <xdr:ext cx="706540" cy="280205"/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88F3B4D-887B-4E54-8184-A2EEFBDE1122}"/>
            </a:ext>
          </a:extLst>
        </xdr:cNvPr>
        <xdr:cNvSpPr txBox="1"/>
      </xdr:nvSpPr>
      <xdr:spPr>
        <a:xfrm>
          <a:off x="9381012" y="762556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14N-7W</a:t>
          </a:r>
        </a:p>
      </xdr:txBody>
    </xdr:sp>
    <xdr:clientData/>
  </xdr:oneCellAnchor>
  <xdr:oneCellAnchor>
    <xdr:from>
      <xdr:col>50</xdr:col>
      <xdr:colOff>197923</xdr:colOff>
      <xdr:row>39</xdr:row>
      <xdr:rowOff>160812</xdr:rowOff>
    </xdr:from>
    <xdr:ext cx="706540" cy="280205"/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58879E9B-65F2-4654-B342-9BFBE1C51E89}"/>
            </a:ext>
          </a:extLst>
        </xdr:cNvPr>
        <xdr:cNvSpPr txBox="1"/>
      </xdr:nvSpPr>
      <xdr:spPr>
        <a:xfrm>
          <a:off x="10675423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14N-6W</a:t>
          </a:r>
        </a:p>
      </xdr:txBody>
    </xdr:sp>
    <xdr:clientData/>
  </xdr:oneCellAnchor>
  <xdr:oneCellAnchor>
    <xdr:from>
      <xdr:col>56</xdr:col>
      <xdr:colOff>173182</xdr:colOff>
      <xdr:row>39</xdr:row>
      <xdr:rowOff>160812</xdr:rowOff>
    </xdr:from>
    <xdr:ext cx="706540" cy="280205"/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603EDBC7-3B0E-4B04-8954-2F8EFF7BF4F8}"/>
            </a:ext>
          </a:extLst>
        </xdr:cNvPr>
        <xdr:cNvSpPr txBox="1"/>
      </xdr:nvSpPr>
      <xdr:spPr>
        <a:xfrm>
          <a:off x="11907982" y="7637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14N-5W</a:t>
          </a:r>
        </a:p>
      </xdr:txBody>
    </xdr:sp>
    <xdr:clientData/>
  </xdr:oneCellAnchor>
  <xdr:oneCellAnchor>
    <xdr:from>
      <xdr:col>2</xdr:col>
      <xdr:colOff>126668</xdr:colOff>
      <xdr:row>45</xdr:row>
      <xdr:rowOff>139041</xdr:rowOff>
    </xdr:from>
    <xdr:ext cx="784510" cy="280205"/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D16B84E1-05FB-4871-821D-94454D344F4A}"/>
            </a:ext>
          </a:extLst>
        </xdr:cNvPr>
        <xdr:cNvSpPr txBox="1"/>
      </xdr:nvSpPr>
      <xdr:spPr>
        <a:xfrm>
          <a:off x="545768" y="875916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13N-14W</a:t>
          </a:r>
        </a:p>
      </xdr:txBody>
    </xdr:sp>
    <xdr:clientData/>
  </xdr:oneCellAnchor>
  <xdr:oneCellAnchor>
    <xdr:from>
      <xdr:col>45</xdr:col>
      <xdr:colOff>6925</xdr:colOff>
      <xdr:row>45</xdr:row>
      <xdr:rowOff>142999</xdr:rowOff>
    </xdr:from>
    <xdr:ext cx="706540" cy="280205"/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19530126-DB24-4ECD-BB68-30C4A45B4347}"/>
            </a:ext>
          </a:extLst>
        </xdr:cNvPr>
        <xdr:cNvSpPr txBox="1"/>
      </xdr:nvSpPr>
      <xdr:spPr>
        <a:xfrm>
          <a:off x="9436675" y="876312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13N-7W</a:t>
          </a:r>
        </a:p>
      </xdr:txBody>
    </xdr:sp>
    <xdr:clientData/>
  </xdr:oneCellAnchor>
  <xdr:oneCellAnchor>
    <xdr:from>
      <xdr:col>14</xdr:col>
      <xdr:colOff>146955</xdr:colOff>
      <xdr:row>45</xdr:row>
      <xdr:rowOff>134588</xdr:rowOff>
    </xdr:from>
    <xdr:ext cx="784510" cy="280205"/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1E38F09D-0D46-4B25-8082-726D8B84C49B}"/>
            </a:ext>
          </a:extLst>
        </xdr:cNvPr>
        <xdr:cNvSpPr txBox="1"/>
      </xdr:nvSpPr>
      <xdr:spPr>
        <a:xfrm>
          <a:off x="3080655" y="8754713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13N-12W</a:t>
          </a:r>
        </a:p>
      </xdr:txBody>
    </xdr:sp>
    <xdr:clientData/>
  </xdr:oneCellAnchor>
  <xdr:oneCellAnchor>
    <xdr:from>
      <xdr:col>8</xdr:col>
      <xdr:colOff>188023</xdr:colOff>
      <xdr:row>45</xdr:row>
      <xdr:rowOff>163286</xdr:rowOff>
    </xdr:from>
    <xdr:ext cx="784510" cy="280205"/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894CD29A-EBA2-487E-862B-C34A2660E01A}"/>
            </a:ext>
          </a:extLst>
        </xdr:cNvPr>
        <xdr:cNvSpPr txBox="1"/>
      </xdr:nvSpPr>
      <xdr:spPr>
        <a:xfrm>
          <a:off x="1864423" y="8783411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13N-13W</a:t>
          </a:r>
        </a:p>
      </xdr:txBody>
    </xdr:sp>
    <xdr:clientData/>
  </xdr:oneCellAnchor>
  <xdr:oneCellAnchor>
    <xdr:from>
      <xdr:col>20</xdr:col>
      <xdr:colOff>179612</xdr:colOff>
      <xdr:row>45</xdr:row>
      <xdr:rowOff>154875</xdr:rowOff>
    </xdr:from>
    <xdr:ext cx="784510" cy="280205"/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589369AC-33ED-4F6D-B358-B130DCA2AF87}"/>
            </a:ext>
          </a:extLst>
        </xdr:cNvPr>
        <xdr:cNvSpPr txBox="1"/>
      </xdr:nvSpPr>
      <xdr:spPr>
        <a:xfrm>
          <a:off x="4370612" y="877500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13N-11W</a:t>
          </a:r>
        </a:p>
      </xdr:txBody>
    </xdr:sp>
    <xdr:clientData/>
  </xdr:oneCellAnchor>
  <xdr:oneCellAnchor>
    <xdr:from>
      <xdr:col>32</xdr:col>
      <xdr:colOff>208310</xdr:colOff>
      <xdr:row>45</xdr:row>
      <xdr:rowOff>134093</xdr:rowOff>
    </xdr:from>
    <xdr:ext cx="706540" cy="280205"/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4BA72DAE-E462-47E8-B7E4-1C5B9BC19DD0}"/>
            </a:ext>
          </a:extLst>
        </xdr:cNvPr>
        <xdr:cNvSpPr txBox="1"/>
      </xdr:nvSpPr>
      <xdr:spPr>
        <a:xfrm>
          <a:off x="6913910" y="87542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13N-9W</a:t>
          </a:r>
        </a:p>
      </xdr:txBody>
    </xdr:sp>
    <xdr:clientData/>
  </xdr:oneCellAnchor>
  <xdr:oneCellAnchor>
    <xdr:from>
      <xdr:col>27</xdr:col>
      <xdr:colOff>14346</xdr:colOff>
      <xdr:row>45</xdr:row>
      <xdr:rowOff>138051</xdr:rowOff>
    </xdr:from>
    <xdr:ext cx="784510" cy="280205"/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1A80F70A-8247-4CE8-B3D6-F87E902C9F8D}"/>
            </a:ext>
          </a:extLst>
        </xdr:cNvPr>
        <xdr:cNvSpPr txBox="1"/>
      </xdr:nvSpPr>
      <xdr:spPr>
        <a:xfrm>
          <a:off x="5672196" y="8758176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13N-10W</a:t>
          </a:r>
        </a:p>
      </xdr:txBody>
    </xdr:sp>
    <xdr:clientData/>
  </xdr:oneCellAnchor>
  <xdr:oneCellAnchor>
    <xdr:from>
      <xdr:col>38</xdr:col>
      <xdr:colOff>166747</xdr:colOff>
      <xdr:row>45</xdr:row>
      <xdr:rowOff>154379</xdr:rowOff>
    </xdr:from>
    <xdr:ext cx="706540" cy="280205"/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65C9822F-B0ED-4D35-A049-182FA3DF1234}"/>
            </a:ext>
          </a:extLst>
        </xdr:cNvPr>
        <xdr:cNvSpPr txBox="1"/>
      </xdr:nvSpPr>
      <xdr:spPr>
        <a:xfrm>
          <a:off x="8129647" y="877450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13N-8W</a:t>
          </a:r>
        </a:p>
      </xdr:txBody>
    </xdr:sp>
    <xdr:clientData/>
  </xdr:oneCellAnchor>
  <xdr:oneCellAnchor>
    <xdr:from>
      <xdr:col>50</xdr:col>
      <xdr:colOff>197923</xdr:colOff>
      <xdr:row>45</xdr:row>
      <xdr:rowOff>136072</xdr:rowOff>
    </xdr:from>
    <xdr:ext cx="706540" cy="280205"/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4C0496CB-67AB-486D-B129-F8EC67C4180C}"/>
            </a:ext>
          </a:extLst>
        </xdr:cNvPr>
        <xdr:cNvSpPr txBox="1"/>
      </xdr:nvSpPr>
      <xdr:spPr>
        <a:xfrm>
          <a:off x="10675423" y="875619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13N-6W</a:t>
          </a:r>
        </a:p>
      </xdr:txBody>
    </xdr:sp>
    <xdr:clientData/>
  </xdr:oneCellAnchor>
  <xdr:oneCellAnchor>
    <xdr:from>
      <xdr:col>56</xdr:col>
      <xdr:colOff>177141</xdr:colOff>
      <xdr:row>45</xdr:row>
      <xdr:rowOff>140030</xdr:rowOff>
    </xdr:from>
    <xdr:ext cx="706540" cy="280205"/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356565BF-2FF7-4766-8092-7B83B60E7059}"/>
            </a:ext>
          </a:extLst>
        </xdr:cNvPr>
        <xdr:cNvSpPr txBox="1"/>
      </xdr:nvSpPr>
      <xdr:spPr>
        <a:xfrm>
          <a:off x="11911941" y="876015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13N-5W</a:t>
          </a:r>
        </a:p>
      </xdr:txBody>
    </xdr:sp>
    <xdr:clientData/>
  </xdr:oneCellAnchor>
  <xdr:oneCellAnchor>
    <xdr:from>
      <xdr:col>2</xdr:col>
      <xdr:colOff>71438</xdr:colOff>
      <xdr:row>51</xdr:row>
      <xdr:rowOff>155760</xdr:rowOff>
    </xdr:from>
    <xdr:ext cx="784510" cy="280205"/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E8AD7A25-CED1-4D7A-8D96-9CB5DC7E1906}"/>
            </a:ext>
          </a:extLst>
        </xdr:cNvPr>
        <xdr:cNvSpPr txBox="1"/>
      </xdr:nvSpPr>
      <xdr:spPr>
        <a:xfrm>
          <a:off x="490538" y="9918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12N-14W</a:t>
          </a:r>
        </a:p>
      </xdr:txBody>
    </xdr:sp>
    <xdr:clientData/>
  </xdr:oneCellAnchor>
  <xdr:oneCellAnchor>
    <xdr:from>
      <xdr:col>44</xdr:col>
      <xdr:colOff>94570</xdr:colOff>
      <xdr:row>51</xdr:row>
      <xdr:rowOff>167655</xdr:rowOff>
    </xdr:from>
    <xdr:ext cx="706540" cy="280205"/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46C3C43D-38CC-49BC-B7C2-CC96B4E853C1}"/>
            </a:ext>
          </a:extLst>
        </xdr:cNvPr>
        <xdr:cNvSpPr txBox="1"/>
      </xdr:nvSpPr>
      <xdr:spPr>
        <a:xfrm>
          <a:off x="9314770" y="9930780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12N-7W</a:t>
          </a:r>
        </a:p>
      </xdr:txBody>
    </xdr:sp>
    <xdr:clientData/>
  </xdr:oneCellAnchor>
  <xdr:oneCellAnchor>
    <xdr:from>
      <xdr:col>14</xdr:col>
      <xdr:colOff>91725</xdr:colOff>
      <xdr:row>51</xdr:row>
      <xdr:rowOff>151307</xdr:rowOff>
    </xdr:from>
    <xdr:ext cx="784510" cy="280205"/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C58D5EF-5037-415F-86C3-83CE2FC839F7}"/>
            </a:ext>
          </a:extLst>
        </xdr:cNvPr>
        <xdr:cNvSpPr txBox="1"/>
      </xdr:nvSpPr>
      <xdr:spPr>
        <a:xfrm>
          <a:off x="3025425" y="9914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12N-12W</a:t>
          </a:r>
        </a:p>
      </xdr:txBody>
    </xdr:sp>
    <xdr:clientData/>
  </xdr:oneCellAnchor>
  <xdr:oneCellAnchor>
    <xdr:from>
      <xdr:col>8</xdr:col>
      <xdr:colOff>132793</xdr:colOff>
      <xdr:row>51</xdr:row>
      <xdr:rowOff>180005</xdr:rowOff>
    </xdr:from>
    <xdr:ext cx="784510" cy="280205"/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4267F023-BE50-4E8F-88B6-17D9FF8CCAE0}"/>
            </a:ext>
          </a:extLst>
        </xdr:cNvPr>
        <xdr:cNvSpPr txBox="1"/>
      </xdr:nvSpPr>
      <xdr:spPr>
        <a:xfrm>
          <a:off x="1809193" y="9943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12N-13W</a:t>
          </a:r>
        </a:p>
      </xdr:txBody>
    </xdr:sp>
    <xdr:clientData/>
  </xdr:oneCellAnchor>
  <xdr:oneCellAnchor>
    <xdr:from>
      <xdr:col>20</xdr:col>
      <xdr:colOff>124382</xdr:colOff>
      <xdr:row>51</xdr:row>
      <xdr:rowOff>171594</xdr:rowOff>
    </xdr:from>
    <xdr:ext cx="784510" cy="280205"/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E473AC1E-CEB3-48AF-A7E4-496842DEA75E}"/>
            </a:ext>
          </a:extLst>
        </xdr:cNvPr>
        <xdr:cNvSpPr txBox="1"/>
      </xdr:nvSpPr>
      <xdr:spPr>
        <a:xfrm>
          <a:off x="4315382" y="9934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12N-11W</a:t>
          </a:r>
        </a:p>
      </xdr:txBody>
    </xdr:sp>
    <xdr:clientData/>
  </xdr:oneCellAnchor>
  <xdr:oneCellAnchor>
    <xdr:from>
      <xdr:col>32</xdr:col>
      <xdr:colOff>153080</xdr:colOff>
      <xdr:row>51</xdr:row>
      <xdr:rowOff>150812</xdr:rowOff>
    </xdr:from>
    <xdr:ext cx="706540" cy="280205"/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3C69F043-A6D4-4618-A2C7-E05DDCFA74E7}"/>
            </a:ext>
          </a:extLst>
        </xdr:cNvPr>
        <xdr:cNvSpPr txBox="1"/>
      </xdr:nvSpPr>
      <xdr:spPr>
        <a:xfrm>
          <a:off x="6858680" y="9913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12N-9W</a:t>
          </a:r>
        </a:p>
      </xdr:txBody>
    </xdr:sp>
    <xdr:clientData/>
  </xdr:oneCellAnchor>
  <xdr:oneCellAnchor>
    <xdr:from>
      <xdr:col>26</xdr:col>
      <xdr:colOff>165491</xdr:colOff>
      <xdr:row>51</xdr:row>
      <xdr:rowOff>154770</xdr:rowOff>
    </xdr:from>
    <xdr:ext cx="784510" cy="280205"/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BB915FE1-64F0-4EA2-9906-5B639C5B8C0B}"/>
            </a:ext>
          </a:extLst>
        </xdr:cNvPr>
        <xdr:cNvSpPr txBox="1"/>
      </xdr:nvSpPr>
      <xdr:spPr>
        <a:xfrm>
          <a:off x="5613791" y="9917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12N-10W</a:t>
          </a:r>
        </a:p>
      </xdr:txBody>
    </xdr:sp>
    <xdr:clientData/>
  </xdr:oneCellAnchor>
  <xdr:oneCellAnchor>
    <xdr:from>
      <xdr:col>38</xdr:col>
      <xdr:colOff>111517</xdr:colOff>
      <xdr:row>51</xdr:row>
      <xdr:rowOff>171098</xdr:rowOff>
    </xdr:from>
    <xdr:ext cx="706540" cy="280205"/>
    <xdr:sp macro="" textlink="">
      <xdr:nvSpPr>
        <xdr:cNvPr id="292" name="TextBox 291">
          <a:extLst>
            <a:ext uri="{FF2B5EF4-FFF2-40B4-BE49-F238E27FC236}">
              <a16:creationId xmlns:a16="http://schemas.microsoft.com/office/drawing/2014/main" id="{5389B577-A12D-4E62-B401-579DD734F5D1}"/>
            </a:ext>
          </a:extLst>
        </xdr:cNvPr>
        <xdr:cNvSpPr txBox="1"/>
      </xdr:nvSpPr>
      <xdr:spPr>
        <a:xfrm>
          <a:off x="8074417" y="9934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12N-8W</a:t>
          </a:r>
        </a:p>
      </xdr:txBody>
    </xdr:sp>
    <xdr:clientData/>
  </xdr:oneCellAnchor>
  <xdr:oneCellAnchor>
    <xdr:from>
      <xdr:col>50</xdr:col>
      <xdr:colOff>142693</xdr:colOff>
      <xdr:row>51</xdr:row>
      <xdr:rowOff>152791</xdr:rowOff>
    </xdr:from>
    <xdr:ext cx="706540" cy="280205"/>
    <xdr:sp macro="" textlink="">
      <xdr:nvSpPr>
        <xdr:cNvPr id="293" name="TextBox 292">
          <a:extLst>
            <a:ext uri="{FF2B5EF4-FFF2-40B4-BE49-F238E27FC236}">
              <a16:creationId xmlns:a16="http://schemas.microsoft.com/office/drawing/2014/main" id="{44D09737-3698-437E-8388-B50041140455}"/>
            </a:ext>
          </a:extLst>
        </xdr:cNvPr>
        <xdr:cNvSpPr txBox="1"/>
      </xdr:nvSpPr>
      <xdr:spPr>
        <a:xfrm>
          <a:off x="10620193" y="9915916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12N-6W</a:t>
          </a:r>
        </a:p>
      </xdr:txBody>
    </xdr:sp>
    <xdr:clientData/>
  </xdr:oneCellAnchor>
  <xdr:oneCellAnchor>
    <xdr:from>
      <xdr:col>56</xdr:col>
      <xdr:colOff>121911</xdr:colOff>
      <xdr:row>51</xdr:row>
      <xdr:rowOff>156749</xdr:rowOff>
    </xdr:from>
    <xdr:ext cx="706540" cy="280205"/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B3A6EEB3-9ACE-4FF3-83B7-D2C530A1DD02}"/>
            </a:ext>
          </a:extLst>
        </xdr:cNvPr>
        <xdr:cNvSpPr txBox="1"/>
      </xdr:nvSpPr>
      <xdr:spPr>
        <a:xfrm>
          <a:off x="11856711" y="9919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12N-5W</a:t>
          </a:r>
        </a:p>
      </xdr:txBody>
    </xdr:sp>
    <xdr:clientData/>
  </xdr:oneCellAnchor>
  <xdr:oneCellAnchor>
    <xdr:from>
      <xdr:col>2</xdr:col>
      <xdr:colOff>58412</xdr:colOff>
      <xdr:row>57</xdr:row>
      <xdr:rowOff>169635</xdr:rowOff>
    </xdr:from>
    <xdr:ext cx="784510" cy="280205"/>
    <xdr:sp macro="" textlink="">
      <xdr:nvSpPr>
        <xdr:cNvPr id="295" name="TextBox 294">
          <a:extLst>
            <a:ext uri="{FF2B5EF4-FFF2-40B4-BE49-F238E27FC236}">
              <a16:creationId xmlns:a16="http://schemas.microsoft.com/office/drawing/2014/main" id="{DB229F51-A7D5-4D42-80C7-02E4D3CB0827}"/>
            </a:ext>
          </a:extLst>
        </xdr:cNvPr>
        <xdr:cNvSpPr txBox="1"/>
      </xdr:nvSpPr>
      <xdr:spPr>
        <a:xfrm>
          <a:off x="477512" y="1107576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11N-14W</a:t>
          </a:r>
        </a:p>
      </xdr:txBody>
    </xdr:sp>
    <xdr:clientData/>
  </xdr:oneCellAnchor>
  <xdr:oneCellAnchor>
    <xdr:from>
      <xdr:col>44</xdr:col>
      <xdr:colOff>145044</xdr:colOff>
      <xdr:row>57</xdr:row>
      <xdr:rowOff>173593</xdr:rowOff>
    </xdr:from>
    <xdr:ext cx="706540" cy="280205"/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53A516F-AA31-4F8B-807F-2ED9CEC643E1}"/>
            </a:ext>
          </a:extLst>
        </xdr:cNvPr>
        <xdr:cNvSpPr txBox="1"/>
      </xdr:nvSpPr>
      <xdr:spPr>
        <a:xfrm>
          <a:off x="9365244" y="110797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11N-7W</a:t>
          </a:r>
        </a:p>
      </xdr:txBody>
    </xdr:sp>
    <xdr:clientData/>
  </xdr:oneCellAnchor>
  <xdr:oneCellAnchor>
    <xdr:from>
      <xdr:col>14</xdr:col>
      <xdr:colOff>78699</xdr:colOff>
      <xdr:row>57</xdr:row>
      <xdr:rowOff>165182</xdr:rowOff>
    </xdr:from>
    <xdr:ext cx="784510" cy="280205"/>
    <xdr:sp macro="" textlink="">
      <xdr:nvSpPr>
        <xdr:cNvPr id="297" name="TextBox 296">
          <a:extLst>
            <a:ext uri="{FF2B5EF4-FFF2-40B4-BE49-F238E27FC236}">
              <a16:creationId xmlns:a16="http://schemas.microsoft.com/office/drawing/2014/main" id="{ADBA11E9-436B-4A97-8935-FF1AC31A2D40}"/>
            </a:ext>
          </a:extLst>
        </xdr:cNvPr>
        <xdr:cNvSpPr txBox="1"/>
      </xdr:nvSpPr>
      <xdr:spPr>
        <a:xfrm>
          <a:off x="3012399" y="11071307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11N-12W</a:t>
          </a:r>
        </a:p>
      </xdr:txBody>
    </xdr:sp>
    <xdr:clientData/>
  </xdr:oneCellAnchor>
  <xdr:oneCellAnchor>
    <xdr:from>
      <xdr:col>8</xdr:col>
      <xdr:colOff>119767</xdr:colOff>
      <xdr:row>58</xdr:row>
      <xdr:rowOff>3380</xdr:rowOff>
    </xdr:from>
    <xdr:ext cx="784510" cy="280205"/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C4589D69-7C57-4C16-BD69-93AB0DAA2D13}"/>
            </a:ext>
          </a:extLst>
        </xdr:cNvPr>
        <xdr:cNvSpPr txBox="1"/>
      </xdr:nvSpPr>
      <xdr:spPr>
        <a:xfrm>
          <a:off x="1796167" y="1110000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11N-13W</a:t>
          </a:r>
        </a:p>
      </xdr:txBody>
    </xdr:sp>
    <xdr:clientData/>
  </xdr:oneCellAnchor>
  <xdr:oneCellAnchor>
    <xdr:from>
      <xdr:col>20</xdr:col>
      <xdr:colOff>111356</xdr:colOff>
      <xdr:row>57</xdr:row>
      <xdr:rowOff>185469</xdr:rowOff>
    </xdr:from>
    <xdr:ext cx="784510" cy="280205"/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932BE012-D0F7-48BF-B8F0-65498731B37B}"/>
            </a:ext>
          </a:extLst>
        </xdr:cNvPr>
        <xdr:cNvSpPr txBox="1"/>
      </xdr:nvSpPr>
      <xdr:spPr>
        <a:xfrm>
          <a:off x="4302356" y="11091594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11N-11W</a:t>
          </a:r>
        </a:p>
      </xdr:txBody>
    </xdr:sp>
    <xdr:clientData/>
  </xdr:oneCellAnchor>
  <xdr:oneCellAnchor>
    <xdr:from>
      <xdr:col>32</xdr:col>
      <xdr:colOff>140054</xdr:colOff>
      <xdr:row>57</xdr:row>
      <xdr:rowOff>164687</xdr:rowOff>
    </xdr:from>
    <xdr:ext cx="706540" cy="280205"/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6215FC2B-82E5-44C6-9C76-0A5B2ACB68B0}"/>
            </a:ext>
          </a:extLst>
        </xdr:cNvPr>
        <xdr:cNvSpPr txBox="1"/>
      </xdr:nvSpPr>
      <xdr:spPr>
        <a:xfrm>
          <a:off x="6845654" y="1107081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11N-9W</a:t>
          </a:r>
        </a:p>
      </xdr:txBody>
    </xdr:sp>
    <xdr:clientData/>
  </xdr:oneCellAnchor>
  <xdr:oneCellAnchor>
    <xdr:from>
      <xdr:col>26</xdr:col>
      <xdr:colOff>152465</xdr:colOff>
      <xdr:row>57</xdr:row>
      <xdr:rowOff>168645</xdr:rowOff>
    </xdr:from>
    <xdr:ext cx="784510" cy="280205"/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2A3D1784-95F6-4A21-B6AB-84B4F9C5545A}"/>
            </a:ext>
          </a:extLst>
        </xdr:cNvPr>
        <xdr:cNvSpPr txBox="1"/>
      </xdr:nvSpPr>
      <xdr:spPr>
        <a:xfrm>
          <a:off x="5600765" y="1107477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11N-10W</a:t>
          </a:r>
        </a:p>
      </xdr:txBody>
    </xdr:sp>
    <xdr:clientData/>
  </xdr:oneCellAnchor>
  <xdr:oneCellAnchor>
    <xdr:from>
      <xdr:col>38</xdr:col>
      <xdr:colOff>98491</xdr:colOff>
      <xdr:row>57</xdr:row>
      <xdr:rowOff>184973</xdr:rowOff>
    </xdr:from>
    <xdr:ext cx="706540" cy="280205"/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1F325D1B-D45A-487A-B109-2E7FB1550F5D}"/>
            </a:ext>
          </a:extLst>
        </xdr:cNvPr>
        <xdr:cNvSpPr txBox="1"/>
      </xdr:nvSpPr>
      <xdr:spPr>
        <a:xfrm>
          <a:off x="8061391" y="1109109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11N-8W</a:t>
          </a:r>
        </a:p>
      </xdr:txBody>
    </xdr:sp>
    <xdr:clientData/>
  </xdr:oneCellAnchor>
  <xdr:oneCellAnchor>
    <xdr:from>
      <xdr:col>50</xdr:col>
      <xdr:colOff>129667</xdr:colOff>
      <xdr:row>57</xdr:row>
      <xdr:rowOff>166666</xdr:rowOff>
    </xdr:from>
    <xdr:ext cx="706540" cy="280205"/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30A3AA19-11B9-4C56-B25A-79B3A8C0BEB9}"/>
            </a:ext>
          </a:extLst>
        </xdr:cNvPr>
        <xdr:cNvSpPr txBox="1"/>
      </xdr:nvSpPr>
      <xdr:spPr>
        <a:xfrm>
          <a:off x="10607167" y="11072791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11N-6W</a:t>
          </a:r>
        </a:p>
      </xdr:txBody>
    </xdr:sp>
    <xdr:clientData/>
  </xdr:oneCellAnchor>
  <xdr:oneCellAnchor>
    <xdr:from>
      <xdr:col>56</xdr:col>
      <xdr:colOff>108885</xdr:colOff>
      <xdr:row>57</xdr:row>
      <xdr:rowOff>170624</xdr:rowOff>
    </xdr:from>
    <xdr:ext cx="706540" cy="280205"/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153654C8-9365-43B6-B627-F6311746C818}"/>
            </a:ext>
          </a:extLst>
        </xdr:cNvPr>
        <xdr:cNvSpPr txBox="1"/>
      </xdr:nvSpPr>
      <xdr:spPr>
        <a:xfrm>
          <a:off x="11843685" y="110767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11N-5W</a:t>
          </a:r>
        </a:p>
      </xdr:txBody>
    </xdr:sp>
    <xdr:clientData/>
  </xdr:oneCellAnchor>
  <xdr:oneCellAnchor>
    <xdr:from>
      <xdr:col>2</xdr:col>
      <xdr:colOff>71437</xdr:colOff>
      <xdr:row>63</xdr:row>
      <xdr:rowOff>155760</xdr:rowOff>
    </xdr:from>
    <xdr:ext cx="784510" cy="280205"/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C43515D9-5ACC-4162-B4B6-F50D1ED48E8E}"/>
            </a:ext>
          </a:extLst>
        </xdr:cNvPr>
        <xdr:cNvSpPr txBox="1"/>
      </xdr:nvSpPr>
      <xdr:spPr>
        <a:xfrm>
          <a:off x="490537" y="1220488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10N-14W</a:t>
          </a:r>
        </a:p>
      </xdr:txBody>
    </xdr:sp>
    <xdr:clientData/>
  </xdr:oneCellAnchor>
  <xdr:oneCellAnchor>
    <xdr:from>
      <xdr:col>44</xdr:col>
      <xdr:colOff>158069</xdr:colOff>
      <xdr:row>63</xdr:row>
      <xdr:rowOff>159718</xdr:rowOff>
    </xdr:from>
    <xdr:ext cx="706540" cy="280205"/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2BA80F9E-3EA6-495F-9E0F-A3343A5279B1}"/>
            </a:ext>
          </a:extLst>
        </xdr:cNvPr>
        <xdr:cNvSpPr txBox="1"/>
      </xdr:nvSpPr>
      <xdr:spPr>
        <a:xfrm>
          <a:off x="9378269" y="1220884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10N-7W</a:t>
          </a:r>
        </a:p>
      </xdr:txBody>
    </xdr:sp>
    <xdr:clientData/>
  </xdr:oneCellAnchor>
  <xdr:oneCellAnchor>
    <xdr:from>
      <xdr:col>14</xdr:col>
      <xdr:colOff>91724</xdr:colOff>
      <xdr:row>63</xdr:row>
      <xdr:rowOff>151307</xdr:rowOff>
    </xdr:from>
    <xdr:ext cx="784510" cy="280205"/>
    <xdr:sp macro="" textlink="">
      <xdr:nvSpPr>
        <xdr:cNvPr id="307" name="TextBox 306">
          <a:extLst>
            <a:ext uri="{FF2B5EF4-FFF2-40B4-BE49-F238E27FC236}">
              <a16:creationId xmlns:a16="http://schemas.microsoft.com/office/drawing/2014/main" id="{A3EEA47F-CDFB-492F-B4A4-19FE21AB6A70}"/>
            </a:ext>
          </a:extLst>
        </xdr:cNvPr>
        <xdr:cNvSpPr txBox="1"/>
      </xdr:nvSpPr>
      <xdr:spPr>
        <a:xfrm>
          <a:off x="3025424" y="1220043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10N-12W</a:t>
          </a:r>
        </a:p>
      </xdr:txBody>
    </xdr:sp>
    <xdr:clientData/>
  </xdr:oneCellAnchor>
  <xdr:oneCellAnchor>
    <xdr:from>
      <xdr:col>8</xdr:col>
      <xdr:colOff>132792</xdr:colOff>
      <xdr:row>63</xdr:row>
      <xdr:rowOff>180005</xdr:rowOff>
    </xdr:from>
    <xdr:ext cx="784510" cy="280205"/>
    <xdr:sp macro="" textlink="">
      <xdr:nvSpPr>
        <xdr:cNvPr id="308" name="TextBox 307">
          <a:extLst>
            <a:ext uri="{FF2B5EF4-FFF2-40B4-BE49-F238E27FC236}">
              <a16:creationId xmlns:a16="http://schemas.microsoft.com/office/drawing/2014/main" id="{AD9DA535-CA30-41B9-9036-FEDBC94F91C2}"/>
            </a:ext>
          </a:extLst>
        </xdr:cNvPr>
        <xdr:cNvSpPr txBox="1"/>
      </xdr:nvSpPr>
      <xdr:spPr>
        <a:xfrm>
          <a:off x="1809192" y="12229130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10N-13W</a:t>
          </a:r>
        </a:p>
      </xdr:txBody>
    </xdr:sp>
    <xdr:clientData/>
  </xdr:oneCellAnchor>
  <xdr:oneCellAnchor>
    <xdr:from>
      <xdr:col>20</xdr:col>
      <xdr:colOff>124381</xdr:colOff>
      <xdr:row>63</xdr:row>
      <xdr:rowOff>171594</xdr:rowOff>
    </xdr:from>
    <xdr:ext cx="784510" cy="280205"/>
    <xdr:sp macro="" textlink="">
      <xdr:nvSpPr>
        <xdr:cNvPr id="309" name="TextBox 308">
          <a:extLst>
            <a:ext uri="{FF2B5EF4-FFF2-40B4-BE49-F238E27FC236}">
              <a16:creationId xmlns:a16="http://schemas.microsoft.com/office/drawing/2014/main" id="{FA7AC690-D326-41A3-8C92-8A73E4D27E0F}"/>
            </a:ext>
          </a:extLst>
        </xdr:cNvPr>
        <xdr:cNvSpPr txBox="1"/>
      </xdr:nvSpPr>
      <xdr:spPr>
        <a:xfrm>
          <a:off x="4315381" y="12220719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10N-11W</a:t>
          </a:r>
        </a:p>
      </xdr:txBody>
    </xdr:sp>
    <xdr:clientData/>
  </xdr:oneCellAnchor>
  <xdr:oneCellAnchor>
    <xdr:from>
      <xdr:col>32</xdr:col>
      <xdr:colOff>153079</xdr:colOff>
      <xdr:row>63</xdr:row>
      <xdr:rowOff>150812</xdr:rowOff>
    </xdr:from>
    <xdr:ext cx="706540" cy="280205"/>
    <xdr:sp macro="" textlink="">
      <xdr:nvSpPr>
        <xdr:cNvPr id="310" name="TextBox 309">
          <a:extLst>
            <a:ext uri="{FF2B5EF4-FFF2-40B4-BE49-F238E27FC236}">
              <a16:creationId xmlns:a16="http://schemas.microsoft.com/office/drawing/2014/main" id="{69DDEF9F-76A2-475B-A272-EC7FCAD02502}"/>
            </a:ext>
          </a:extLst>
        </xdr:cNvPr>
        <xdr:cNvSpPr txBox="1"/>
      </xdr:nvSpPr>
      <xdr:spPr>
        <a:xfrm>
          <a:off x="6858679" y="1219993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10N-9W</a:t>
          </a:r>
        </a:p>
      </xdr:txBody>
    </xdr:sp>
    <xdr:clientData/>
  </xdr:oneCellAnchor>
  <xdr:oneCellAnchor>
    <xdr:from>
      <xdr:col>26</xdr:col>
      <xdr:colOff>165490</xdr:colOff>
      <xdr:row>63</xdr:row>
      <xdr:rowOff>154770</xdr:rowOff>
    </xdr:from>
    <xdr:ext cx="784510" cy="280205"/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219F68AC-1ABE-4C91-8EDD-DC37BCD64915}"/>
            </a:ext>
          </a:extLst>
        </xdr:cNvPr>
        <xdr:cNvSpPr txBox="1"/>
      </xdr:nvSpPr>
      <xdr:spPr>
        <a:xfrm>
          <a:off x="5613790" y="12203895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10N-10W</a:t>
          </a:r>
        </a:p>
      </xdr:txBody>
    </xdr:sp>
    <xdr:clientData/>
  </xdr:oneCellAnchor>
  <xdr:oneCellAnchor>
    <xdr:from>
      <xdr:col>38</xdr:col>
      <xdr:colOff>111516</xdr:colOff>
      <xdr:row>63</xdr:row>
      <xdr:rowOff>171098</xdr:rowOff>
    </xdr:from>
    <xdr:ext cx="706540" cy="280205"/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FC4B2749-361E-4625-8905-A2F303EE7884}"/>
            </a:ext>
          </a:extLst>
        </xdr:cNvPr>
        <xdr:cNvSpPr txBox="1"/>
      </xdr:nvSpPr>
      <xdr:spPr>
        <a:xfrm>
          <a:off x="8074416" y="12220223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10N-8W</a:t>
          </a:r>
        </a:p>
      </xdr:txBody>
    </xdr:sp>
    <xdr:clientData/>
  </xdr:oneCellAnchor>
  <xdr:oneCellAnchor>
    <xdr:from>
      <xdr:col>51</xdr:col>
      <xdr:colOff>110942</xdr:colOff>
      <xdr:row>62</xdr:row>
      <xdr:rowOff>176604</xdr:rowOff>
    </xdr:from>
    <xdr:ext cx="706540" cy="280205"/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7D2D14B-3AB2-4E78-89E4-EC222FBE4C36}"/>
            </a:ext>
          </a:extLst>
        </xdr:cNvPr>
        <xdr:cNvSpPr txBox="1"/>
      </xdr:nvSpPr>
      <xdr:spPr>
        <a:xfrm>
          <a:off x="10797992" y="1203522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10N-6W</a:t>
          </a:r>
        </a:p>
      </xdr:txBody>
    </xdr:sp>
    <xdr:clientData/>
  </xdr:oneCellAnchor>
  <xdr:oneCellAnchor>
    <xdr:from>
      <xdr:col>56</xdr:col>
      <xdr:colOff>121910</xdr:colOff>
      <xdr:row>63</xdr:row>
      <xdr:rowOff>156749</xdr:rowOff>
    </xdr:from>
    <xdr:ext cx="706540" cy="280205"/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388F3A04-87E1-46F2-BEDE-0D77D1B337CE}"/>
            </a:ext>
          </a:extLst>
        </xdr:cNvPr>
        <xdr:cNvSpPr txBox="1"/>
      </xdr:nvSpPr>
      <xdr:spPr>
        <a:xfrm>
          <a:off x="11856710" y="1220587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10N-5W</a:t>
          </a:r>
        </a:p>
      </xdr:txBody>
    </xdr:sp>
    <xdr:clientData/>
  </xdr:oneCellAnchor>
  <xdr:oneCellAnchor>
    <xdr:from>
      <xdr:col>2</xdr:col>
      <xdr:colOff>55713</xdr:colOff>
      <xdr:row>69</xdr:row>
      <xdr:rowOff>166480</xdr:rowOff>
    </xdr:from>
    <xdr:ext cx="706540" cy="280205"/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9C57D449-64A8-41E0-8CCC-85D0B92B91B0}"/>
            </a:ext>
          </a:extLst>
        </xdr:cNvPr>
        <xdr:cNvSpPr txBox="1"/>
      </xdr:nvSpPr>
      <xdr:spPr>
        <a:xfrm>
          <a:off x="474813" y="1335860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9N-14W</a:t>
          </a:r>
        </a:p>
      </xdr:txBody>
    </xdr:sp>
    <xdr:clientData/>
  </xdr:oneCellAnchor>
  <xdr:oneCellAnchor>
    <xdr:from>
      <xdr:col>44</xdr:col>
      <xdr:colOff>142345</xdr:colOff>
      <xdr:row>69</xdr:row>
      <xdr:rowOff>170438</xdr:rowOff>
    </xdr:from>
    <xdr:ext cx="628570" cy="280205"/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F43588B4-0775-4AA8-A508-633CE412E8A4}"/>
            </a:ext>
          </a:extLst>
        </xdr:cNvPr>
        <xdr:cNvSpPr txBox="1"/>
      </xdr:nvSpPr>
      <xdr:spPr>
        <a:xfrm>
          <a:off x="9362545" y="13362563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9N-7W</a:t>
          </a:r>
        </a:p>
      </xdr:txBody>
    </xdr:sp>
    <xdr:clientData/>
  </xdr:oneCellAnchor>
  <xdr:oneCellAnchor>
    <xdr:from>
      <xdr:col>14</xdr:col>
      <xdr:colOff>76000</xdr:colOff>
      <xdr:row>69</xdr:row>
      <xdr:rowOff>162027</xdr:rowOff>
    </xdr:from>
    <xdr:ext cx="706540" cy="280205"/>
    <xdr:sp macro="" textlink="">
      <xdr:nvSpPr>
        <xdr:cNvPr id="317" name="TextBox 316">
          <a:extLst>
            <a:ext uri="{FF2B5EF4-FFF2-40B4-BE49-F238E27FC236}">
              <a16:creationId xmlns:a16="http://schemas.microsoft.com/office/drawing/2014/main" id="{AC2ACD01-3427-4A29-AAA2-113E71AEF9AA}"/>
            </a:ext>
          </a:extLst>
        </xdr:cNvPr>
        <xdr:cNvSpPr txBox="1"/>
      </xdr:nvSpPr>
      <xdr:spPr>
        <a:xfrm>
          <a:off x="3009700" y="1335415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9N-12W</a:t>
          </a:r>
        </a:p>
      </xdr:txBody>
    </xdr:sp>
    <xdr:clientData/>
  </xdr:oneCellAnchor>
  <xdr:oneCellAnchor>
    <xdr:from>
      <xdr:col>8</xdr:col>
      <xdr:colOff>117068</xdr:colOff>
      <xdr:row>69</xdr:row>
      <xdr:rowOff>151037</xdr:rowOff>
    </xdr:from>
    <xdr:ext cx="706540" cy="280205"/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5FE2FAE2-6A88-4500-B99F-947EB6D69565}"/>
            </a:ext>
          </a:extLst>
        </xdr:cNvPr>
        <xdr:cNvSpPr txBox="1"/>
      </xdr:nvSpPr>
      <xdr:spPr>
        <a:xfrm>
          <a:off x="1793468" y="13343162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9N-13W</a:t>
          </a:r>
        </a:p>
      </xdr:txBody>
    </xdr:sp>
    <xdr:clientData/>
  </xdr:oneCellAnchor>
  <xdr:oneCellAnchor>
    <xdr:from>
      <xdr:col>20</xdr:col>
      <xdr:colOff>132470</xdr:colOff>
      <xdr:row>69</xdr:row>
      <xdr:rowOff>166439</xdr:rowOff>
    </xdr:from>
    <xdr:ext cx="706540" cy="280205"/>
    <xdr:sp macro="" textlink="">
      <xdr:nvSpPr>
        <xdr:cNvPr id="319" name="TextBox 318">
          <a:extLst>
            <a:ext uri="{FF2B5EF4-FFF2-40B4-BE49-F238E27FC236}">
              <a16:creationId xmlns:a16="http://schemas.microsoft.com/office/drawing/2014/main" id="{25E34100-4437-4268-B6E5-C3831BE69779}"/>
            </a:ext>
          </a:extLst>
        </xdr:cNvPr>
        <xdr:cNvSpPr txBox="1"/>
      </xdr:nvSpPr>
      <xdr:spPr>
        <a:xfrm>
          <a:off x="4323470" y="13358564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9N-11W</a:t>
          </a:r>
        </a:p>
      </xdr:txBody>
    </xdr:sp>
    <xdr:clientData/>
  </xdr:oneCellAnchor>
  <xdr:oneCellAnchor>
    <xdr:from>
      <xdr:col>32</xdr:col>
      <xdr:colOff>137355</xdr:colOff>
      <xdr:row>69</xdr:row>
      <xdr:rowOff>161532</xdr:rowOff>
    </xdr:from>
    <xdr:ext cx="628570" cy="280205"/>
    <xdr:sp macro="" textlink="">
      <xdr:nvSpPr>
        <xdr:cNvPr id="320" name="TextBox 319">
          <a:extLst>
            <a:ext uri="{FF2B5EF4-FFF2-40B4-BE49-F238E27FC236}">
              <a16:creationId xmlns:a16="http://schemas.microsoft.com/office/drawing/2014/main" id="{0BA9E390-B6A8-4F81-800B-CFFF57549F00}"/>
            </a:ext>
          </a:extLst>
        </xdr:cNvPr>
        <xdr:cNvSpPr txBox="1"/>
      </xdr:nvSpPr>
      <xdr:spPr>
        <a:xfrm>
          <a:off x="6842955" y="133536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9N-9W</a:t>
          </a:r>
        </a:p>
      </xdr:txBody>
    </xdr:sp>
    <xdr:clientData/>
  </xdr:oneCellAnchor>
  <xdr:oneCellAnchor>
    <xdr:from>
      <xdr:col>26</xdr:col>
      <xdr:colOff>149766</xdr:colOff>
      <xdr:row>69</xdr:row>
      <xdr:rowOff>165490</xdr:rowOff>
    </xdr:from>
    <xdr:ext cx="706540" cy="280205"/>
    <xdr:sp macro="" textlink="">
      <xdr:nvSpPr>
        <xdr:cNvPr id="321" name="TextBox 320">
          <a:extLst>
            <a:ext uri="{FF2B5EF4-FFF2-40B4-BE49-F238E27FC236}">
              <a16:creationId xmlns:a16="http://schemas.microsoft.com/office/drawing/2014/main" id="{EA10D9C0-B13F-4476-9933-78838104C17F}"/>
            </a:ext>
          </a:extLst>
        </xdr:cNvPr>
        <xdr:cNvSpPr txBox="1"/>
      </xdr:nvSpPr>
      <xdr:spPr>
        <a:xfrm>
          <a:off x="5598066" y="133576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9N-10W</a:t>
          </a:r>
        </a:p>
      </xdr:txBody>
    </xdr:sp>
    <xdr:clientData/>
  </xdr:oneCellAnchor>
  <xdr:oneCellAnchor>
    <xdr:from>
      <xdr:col>38</xdr:col>
      <xdr:colOff>135479</xdr:colOff>
      <xdr:row>69</xdr:row>
      <xdr:rowOff>173880</xdr:rowOff>
    </xdr:from>
    <xdr:ext cx="628570" cy="280205"/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B2EC3BE2-454C-42F0-8614-01FFFA314081}"/>
            </a:ext>
          </a:extLst>
        </xdr:cNvPr>
        <xdr:cNvSpPr txBox="1"/>
      </xdr:nvSpPr>
      <xdr:spPr>
        <a:xfrm>
          <a:off x="8098379" y="1336600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9N-8W</a:t>
          </a:r>
        </a:p>
      </xdr:txBody>
    </xdr:sp>
    <xdr:clientData/>
  </xdr:oneCellAnchor>
  <xdr:oneCellAnchor>
    <xdr:from>
      <xdr:col>50</xdr:col>
      <xdr:colOff>126968</xdr:colOff>
      <xdr:row>69</xdr:row>
      <xdr:rowOff>163511</xdr:rowOff>
    </xdr:from>
    <xdr:ext cx="628570" cy="280205"/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9DE02D3A-8DC3-4914-842B-5BC3DE53A353}"/>
            </a:ext>
          </a:extLst>
        </xdr:cNvPr>
        <xdr:cNvSpPr txBox="1"/>
      </xdr:nvSpPr>
      <xdr:spPr>
        <a:xfrm>
          <a:off x="10604468" y="1335563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9N-6W</a:t>
          </a:r>
        </a:p>
      </xdr:txBody>
    </xdr:sp>
    <xdr:clientData/>
  </xdr:oneCellAnchor>
  <xdr:oneCellAnchor>
    <xdr:from>
      <xdr:col>56</xdr:col>
      <xdr:colOff>106186</xdr:colOff>
      <xdr:row>69</xdr:row>
      <xdr:rowOff>167469</xdr:rowOff>
    </xdr:from>
    <xdr:ext cx="628570" cy="280205"/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18E43C8E-04BC-44F0-9260-B544B7669817}"/>
            </a:ext>
          </a:extLst>
        </xdr:cNvPr>
        <xdr:cNvSpPr txBox="1"/>
      </xdr:nvSpPr>
      <xdr:spPr>
        <a:xfrm>
          <a:off x="11840986" y="1335959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9N-5W</a:t>
          </a:r>
        </a:p>
      </xdr:txBody>
    </xdr:sp>
    <xdr:clientData/>
  </xdr:oneCellAnchor>
  <xdr:oneCellAnchor>
    <xdr:from>
      <xdr:col>2</xdr:col>
      <xdr:colOff>104926</xdr:colOff>
      <xdr:row>75</xdr:row>
      <xdr:rowOff>152193</xdr:rowOff>
    </xdr:from>
    <xdr:ext cx="706540" cy="280205"/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71E07657-96C6-42AD-8BBC-38E88B7AD6C5}"/>
            </a:ext>
          </a:extLst>
        </xdr:cNvPr>
        <xdr:cNvSpPr txBox="1"/>
      </xdr:nvSpPr>
      <xdr:spPr>
        <a:xfrm>
          <a:off x="524026" y="1448731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8N-14W</a:t>
          </a:r>
        </a:p>
      </xdr:txBody>
    </xdr:sp>
    <xdr:clientData/>
  </xdr:oneCellAnchor>
  <xdr:oneCellAnchor>
    <xdr:from>
      <xdr:col>44</xdr:col>
      <xdr:colOff>191558</xdr:colOff>
      <xdr:row>75</xdr:row>
      <xdr:rowOff>156151</xdr:rowOff>
    </xdr:from>
    <xdr:ext cx="628570" cy="280205"/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8E52EF84-FC49-4C6D-884E-97DF1D612DD4}"/>
            </a:ext>
          </a:extLst>
        </xdr:cNvPr>
        <xdr:cNvSpPr txBox="1"/>
      </xdr:nvSpPr>
      <xdr:spPr>
        <a:xfrm>
          <a:off x="9411758" y="1449127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8N-7W</a:t>
          </a:r>
        </a:p>
      </xdr:txBody>
    </xdr:sp>
    <xdr:clientData/>
  </xdr:oneCellAnchor>
  <xdr:oneCellAnchor>
    <xdr:from>
      <xdr:col>14</xdr:col>
      <xdr:colOff>125213</xdr:colOff>
      <xdr:row>75</xdr:row>
      <xdr:rowOff>147740</xdr:rowOff>
    </xdr:from>
    <xdr:ext cx="706540" cy="280205"/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5C809008-9B60-4873-A3B8-33A361B7A797}"/>
            </a:ext>
          </a:extLst>
        </xdr:cNvPr>
        <xdr:cNvSpPr txBox="1"/>
      </xdr:nvSpPr>
      <xdr:spPr>
        <a:xfrm>
          <a:off x="3058913" y="1448286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8N-12W</a:t>
          </a:r>
        </a:p>
      </xdr:txBody>
    </xdr:sp>
    <xdr:clientData/>
  </xdr:oneCellAnchor>
  <xdr:oneCellAnchor>
    <xdr:from>
      <xdr:col>8</xdr:col>
      <xdr:colOff>166281</xdr:colOff>
      <xdr:row>75</xdr:row>
      <xdr:rowOff>136750</xdr:rowOff>
    </xdr:from>
    <xdr:ext cx="706540" cy="280205"/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84EEAE03-04BD-4507-BE49-026474DDD484}"/>
            </a:ext>
          </a:extLst>
        </xdr:cNvPr>
        <xdr:cNvSpPr txBox="1"/>
      </xdr:nvSpPr>
      <xdr:spPr>
        <a:xfrm>
          <a:off x="1842681" y="1447187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8N-13W</a:t>
          </a:r>
        </a:p>
      </xdr:txBody>
    </xdr:sp>
    <xdr:clientData/>
  </xdr:oneCellAnchor>
  <xdr:oneCellAnchor>
    <xdr:from>
      <xdr:col>20</xdr:col>
      <xdr:colOff>181683</xdr:colOff>
      <xdr:row>75</xdr:row>
      <xdr:rowOff>152152</xdr:rowOff>
    </xdr:from>
    <xdr:ext cx="706540" cy="280205"/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C7FBD8EE-6B46-4436-9E41-06A75CD9226C}"/>
            </a:ext>
          </a:extLst>
        </xdr:cNvPr>
        <xdr:cNvSpPr txBox="1"/>
      </xdr:nvSpPr>
      <xdr:spPr>
        <a:xfrm>
          <a:off x="4372683" y="1448727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8N-11W</a:t>
          </a:r>
        </a:p>
      </xdr:txBody>
    </xdr:sp>
    <xdr:clientData/>
  </xdr:oneCellAnchor>
  <xdr:oneCellAnchor>
    <xdr:from>
      <xdr:col>32</xdr:col>
      <xdr:colOff>186568</xdr:colOff>
      <xdr:row>75</xdr:row>
      <xdr:rowOff>147245</xdr:rowOff>
    </xdr:from>
    <xdr:ext cx="628570" cy="280205"/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BA482792-01E8-4409-97FB-1DB7DEEB95C3}"/>
            </a:ext>
          </a:extLst>
        </xdr:cNvPr>
        <xdr:cNvSpPr txBox="1"/>
      </xdr:nvSpPr>
      <xdr:spPr>
        <a:xfrm>
          <a:off x="6892168" y="1448237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8N-9W</a:t>
          </a:r>
        </a:p>
      </xdr:txBody>
    </xdr:sp>
    <xdr:clientData/>
  </xdr:oneCellAnchor>
  <xdr:oneCellAnchor>
    <xdr:from>
      <xdr:col>26</xdr:col>
      <xdr:colOff>198979</xdr:colOff>
      <xdr:row>75</xdr:row>
      <xdr:rowOff>151203</xdr:rowOff>
    </xdr:from>
    <xdr:ext cx="706540" cy="280205"/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D6E01612-FA2E-47A6-AC03-A4B1BDCCE9F8}"/>
            </a:ext>
          </a:extLst>
        </xdr:cNvPr>
        <xdr:cNvSpPr txBox="1"/>
      </xdr:nvSpPr>
      <xdr:spPr>
        <a:xfrm>
          <a:off x="5647279" y="1448632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8N-10W</a:t>
          </a:r>
        </a:p>
      </xdr:txBody>
    </xdr:sp>
    <xdr:clientData/>
  </xdr:oneCellAnchor>
  <xdr:oneCellAnchor>
    <xdr:from>
      <xdr:col>38</xdr:col>
      <xdr:colOff>184692</xdr:colOff>
      <xdr:row>75</xdr:row>
      <xdr:rowOff>159593</xdr:rowOff>
    </xdr:from>
    <xdr:ext cx="628570" cy="280205"/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B4FE50C4-8F7B-42E1-9D1E-40617ED6F1E7}"/>
            </a:ext>
          </a:extLst>
        </xdr:cNvPr>
        <xdr:cNvSpPr txBox="1"/>
      </xdr:nvSpPr>
      <xdr:spPr>
        <a:xfrm>
          <a:off x="8147592" y="1449471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8N-8W</a:t>
          </a:r>
        </a:p>
      </xdr:txBody>
    </xdr:sp>
    <xdr:clientData/>
  </xdr:oneCellAnchor>
  <xdr:oneCellAnchor>
    <xdr:from>
      <xdr:col>50</xdr:col>
      <xdr:colOff>176181</xdr:colOff>
      <xdr:row>75</xdr:row>
      <xdr:rowOff>149224</xdr:rowOff>
    </xdr:from>
    <xdr:ext cx="628570" cy="280205"/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EA20AA8D-51BA-4EE0-A0F5-CB6E538D3B6B}"/>
            </a:ext>
          </a:extLst>
        </xdr:cNvPr>
        <xdr:cNvSpPr txBox="1"/>
      </xdr:nvSpPr>
      <xdr:spPr>
        <a:xfrm>
          <a:off x="10653681" y="1448434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8N-6W</a:t>
          </a:r>
        </a:p>
      </xdr:txBody>
    </xdr:sp>
    <xdr:clientData/>
  </xdr:oneCellAnchor>
  <xdr:oneCellAnchor>
    <xdr:from>
      <xdr:col>56</xdr:col>
      <xdr:colOff>155399</xdr:colOff>
      <xdr:row>75</xdr:row>
      <xdr:rowOff>153182</xdr:rowOff>
    </xdr:from>
    <xdr:ext cx="628570" cy="280205"/>
    <xdr:sp macro="" textlink="">
      <xdr:nvSpPr>
        <xdr:cNvPr id="334" name="TextBox 333">
          <a:extLst>
            <a:ext uri="{FF2B5EF4-FFF2-40B4-BE49-F238E27FC236}">
              <a16:creationId xmlns:a16="http://schemas.microsoft.com/office/drawing/2014/main" id="{C4AD208D-F64D-4745-9E01-89751DFC16A1}"/>
            </a:ext>
          </a:extLst>
        </xdr:cNvPr>
        <xdr:cNvSpPr txBox="1"/>
      </xdr:nvSpPr>
      <xdr:spPr>
        <a:xfrm>
          <a:off x="11890199" y="1448830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8N-5W</a:t>
          </a:r>
        </a:p>
      </xdr:txBody>
    </xdr:sp>
    <xdr:clientData/>
  </xdr:oneCellAnchor>
  <xdr:oneCellAnchor>
    <xdr:from>
      <xdr:col>2</xdr:col>
      <xdr:colOff>98576</xdr:colOff>
      <xdr:row>81</xdr:row>
      <xdr:rowOff>145843</xdr:rowOff>
    </xdr:from>
    <xdr:ext cx="706540" cy="280205"/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4D3AFC8C-2274-4FCC-BBBD-74B37F0E0441}"/>
            </a:ext>
          </a:extLst>
        </xdr:cNvPr>
        <xdr:cNvSpPr txBox="1"/>
      </xdr:nvSpPr>
      <xdr:spPr>
        <a:xfrm>
          <a:off x="517676" y="15623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7N-14W</a:t>
          </a:r>
        </a:p>
      </xdr:txBody>
    </xdr:sp>
    <xdr:clientData/>
  </xdr:oneCellAnchor>
  <xdr:oneCellAnchor>
    <xdr:from>
      <xdr:col>44</xdr:col>
      <xdr:colOff>185208</xdr:colOff>
      <xdr:row>81</xdr:row>
      <xdr:rowOff>149801</xdr:rowOff>
    </xdr:from>
    <xdr:ext cx="628570" cy="280205"/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CAB846F1-66CB-405A-AD3B-C9BBE0DDC360}"/>
            </a:ext>
          </a:extLst>
        </xdr:cNvPr>
        <xdr:cNvSpPr txBox="1"/>
      </xdr:nvSpPr>
      <xdr:spPr>
        <a:xfrm>
          <a:off x="9405408" y="15627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7N-7W</a:t>
          </a:r>
        </a:p>
      </xdr:txBody>
    </xdr:sp>
    <xdr:clientData/>
  </xdr:oneCellAnchor>
  <xdr:oneCellAnchor>
    <xdr:from>
      <xdr:col>14</xdr:col>
      <xdr:colOff>118863</xdr:colOff>
      <xdr:row>81</xdr:row>
      <xdr:rowOff>141390</xdr:rowOff>
    </xdr:from>
    <xdr:ext cx="706540" cy="280205"/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ACD99E5D-0BF8-4C06-B835-53843035C715}"/>
            </a:ext>
          </a:extLst>
        </xdr:cNvPr>
        <xdr:cNvSpPr txBox="1"/>
      </xdr:nvSpPr>
      <xdr:spPr>
        <a:xfrm>
          <a:off x="3052563" y="15619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7N-12W</a:t>
          </a:r>
        </a:p>
      </xdr:txBody>
    </xdr:sp>
    <xdr:clientData/>
  </xdr:oneCellAnchor>
  <xdr:oneCellAnchor>
    <xdr:from>
      <xdr:col>8</xdr:col>
      <xdr:colOff>159931</xdr:colOff>
      <xdr:row>81</xdr:row>
      <xdr:rowOff>130400</xdr:rowOff>
    </xdr:from>
    <xdr:ext cx="706540" cy="280205"/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E40627FE-4BE3-4541-B35D-2BBAB58BE7F3}"/>
            </a:ext>
          </a:extLst>
        </xdr:cNvPr>
        <xdr:cNvSpPr txBox="1"/>
      </xdr:nvSpPr>
      <xdr:spPr>
        <a:xfrm>
          <a:off x="1836331" y="15608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7N-13W</a:t>
          </a:r>
        </a:p>
      </xdr:txBody>
    </xdr:sp>
    <xdr:clientData/>
  </xdr:oneCellAnchor>
  <xdr:oneCellAnchor>
    <xdr:from>
      <xdr:col>20</xdr:col>
      <xdr:colOff>175333</xdr:colOff>
      <xdr:row>81</xdr:row>
      <xdr:rowOff>145802</xdr:rowOff>
    </xdr:from>
    <xdr:ext cx="706540" cy="280205"/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E2FF56F7-39BF-4710-AC45-BCF79F006310}"/>
            </a:ext>
          </a:extLst>
        </xdr:cNvPr>
        <xdr:cNvSpPr txBox="1"/>
      </xdr:nvSpPr>
      <xdr:spPr>
        <a:xfrm>
          <a:off x="4366333" y="15623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7N-11W</a:t>
          </a:r>
        </a:p>
      </xdr:txBody>
    </xdr:sp>
    <xdr:clientData/>
  </xdr:oneCellAnchor>
  <xdr:oneCellAnchor>
    <xdr:from>
      <xdr:col>32</xdr:col>
      <xdr:colOff>180218</xdr:colOff>
      <xdr:row>81</xdr:row>
      <xdr:rowOff>140895</xdr:rowOff>
    </xdr:from>
    <xdr:ext cx="628570" cy="280205"/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7281208B-72AA-4AA9-9E70-F68C7A8D57ED}"/>
            </a:ext>
          </a:extLst>
        </xdr:cNvPr>
        <xdr:cNvSpPr txBox="1"/>
      </xdr:nvSpPr>
      <xdr:spPr>
        <a:xfrm>
          <a:off x="6885818" y="15619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7N-9W</a:t>
          </a:r>
        </a:p>
      </xdr:txBody>
    </xdr:sp>
    <xdr:clientData/>
  </xdr:oneCellAnchor>
  <xdr:oneCellAnchor>
    <xdr:from>
      <xdr:col>26</xdr:col>
      <xdr:colOff>192629</xdr:colOff>
      <xdr:row>81</xdr:row>
      <xdr:rowOff>144853</xdr:rowOff>
    </xdr:from>
    <xdr:ext cx="706540" cy="280205"/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9DEBC9CB-0E49-4720-A9BF-13FA4E576E77}"/>
            </a:ext>
          </a:extLst>
        </xdr:cNvPr>
        <xdr:cNvSpPr txBox="1"/>
      </xdr:nvSpPr>
      <xdr:spPr>
        <a:xfrm>
          <a:off x="5640929" y="15622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7N-10W</a:t>
          </a:r>
        </a:p>
      </xdr:txBody>
    </xdr:sp>
    <xdr:clientData/>
  </xdr:oneCellAnchor>
  <xdr:oneCellAnchor>
    <xdr:from>
      <xdr:col>38</xdr:col>
      <xdr:colOff>178342</xdr:colOff>
      <xdr:row>81</xdr:row>
      <xdr:rowOff>153243</xdr:rowOff>
    </xdr:from>
    <xdr:ext cx="628570" cy="280205"/>
    <xdr:sp macro="" textlink="">
      <xdr:nvSpPr>
        <xdr:cNvPr id="342" name="TextBox 341">
          <a:extLst>
            <a:ext uri="{FF2B5EF4-FFF2-40B4-BE49-F238E27FC236}">
              <a16:creationId xmlns:a16="http://schemas.microsoft.com/office/drawing/2014/main" id="{03175A14-E639-4317-8D64-371B332456F6}"/>
            </a:ext>
          </a:extLst>
        </xdr:cNvPr>
        <xdr:cNvSpPr txBox="1"/>
      </xdr:nvSpPr>
      <xdr:spPr>
        <a:xfrm>
          <a:off x="8141242" y="15631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7N-8W</a:t>
          </a:r>
        </a:p>
      </xdr:txBody>
    </xdr:sp>
    <xdr:clientData/>
  </xdr:oneCellAnchor>
  <xdr:oneCellAnchor>
    <xdr:from>
      <xdr:col>50</xdr:col>
      <xdr:colOff>169831</xdr:colOff>
      <xdr:row>81</xdr:row>
      <xdr:rowOff>142874</xdr:rowOff>
    </xdr:from>
    <xdr:ext cx="628570" cy="280205"/>
    <xdr:sp macro="" textlink="">
      <xdr:nvSpPr>
        <xdr:cNvPr id="343" name="TextBox 342">
          <a:extLst>
            <a:ext uri="{FF2B5EF4-FFF2-40B4-BE49-F238E27FC236}">
              <a16:creationId xmlns:a16="http://schemas.microsoft.com/office/drawing/2014/main" id="{099EB372-EF5B-4609-A700-F1A86E06D352}"/>
            </a:ext>
          </a:extLst>
        </xdr:cNvPr>
        <xdr:cNvSpPr txBox="1"/>
      </xdr:nvSpPr>
      <xdr:spPr>
        <a:xfrm>
          <a:off x="10647331" y="15620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7N-6W</a:t>
          </a:r>
        </a:p>
      </xdr:txBody>
    </xdr:sp>
    <xdr:clientData/>
  </xdr:oneCellAnchor>
  <xdr:oneCellAnchor>
    <xdr:from>
      <xdr:col>56</xdr:col>
      <xdr:colOff>149049</xdr:colOff>
      <xdr:row>81</xdr:row>
      <xdr:rowOff>146832</xdr:rowOff>
    </xdr:from>
    <xdr:ext cx="628570" cy="280205"/>
    <xdr:sp macro="" textlink="">
      <xdr:nvSpPr>
        <xdr:cNvPr id="344" name="TextBox 343">
          <a:extLst>
            <a:ext uri="{FF2B5EF4-FFF2-40B4-BE49-F238E27FC236}">
              <a16:creationId xmlns:a16="http://schemas.microsoft.com/office/drawing/2014/main" id="{3024B8CF-C7F5-4012-8C03-50F2284A6EB9}"/>
            </a:ext>
          </a:extLst>
        </xdr:cNvPr>
        <xdr:cNvSpPr txBox="1"/>
      </xdr:nvSpPr>
      <xdr:spPr>
        <a:xfrm>
          <a:off x="11883849" y="15624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7N-5W</a:t>
          </a:r>
        </a:p>
      </xdr:txBody>
    </xdr:sp>
    <xdr:clientData/>
  </xdr:oneCellAnchor>
  <xdr:twoCellAnchor>
    <xdr:from>
      <xdr:col>0</xdr:col>
      <xdr:colOff>9525</xdr:colOff>
      <xdr:row>86</xdr:row>
      <xdr:rowOff>9525</xdr:rowOff>
    </xdr:from>
    <xdr:to>
      <xdr:col>74</xdr:col>
      <xdr:colOff>61851</xdr:colOff>
      <xdr:row>86</xdr:row>
      <xdr:rowOff>12370</xdr:rowOff>
    </xdr:to>
    <xdr:cxnSp macro="">
      <xdr:nvCxnSpPr>
        <xdr:cNvPr id="345" name="Straight Connector 344">
          <a:extLst>
            <a:ext uri="{FF2B5EF4-FFF2-40B4-BE49-F238E27FC236}">
              <a16:creationId xmlns:a16="http://schemas.microsoft.com/office/drawing/2014/main" id="{014C205A-66DD-4626-A1DB-EC1C86D0B2C6}"/>
            </a:ext>
          </a:extLst>
        </xdr:cNvPr>
        <xdr:cNvCxnSpPr/>
      </xdr:nvCxnSpPr>
      <xdr:spPr>
        <a:xfrm>
          <a:off x="9525" y="16440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87</xdr:row>
      <xdr:rowOff>145843</xdr:rowOff>
    </xdr:from>
    <xdr:ext cx="706540" cy="280205"/>
    <xdr:sp macro="" textlink="">
      <xdr:nvSpPr>
        <xdr:cNvPr id="346" name="TextBox 345">
          <a:extLst>
            <a:ext uri="{FF2B5EF4-FFF2-40B4-BE49-F238E27FC236}">
              <a16:creationId xmlns:a16="http://schemas.microsoft.com/office/drawing/2014/main" id="{1B8F2BA4-A24B-4373-ACDE-E37E8ED71B51}"/>
            </a:ext>
          </a:extLst>
        </xdr:cNvPr>
        <xdr:cNvSpPr txBox="1"/>
      </xdr:nvSpPr>
      <xdr:spPr>
        <a:xfrm>
          <a:off x="517676" y="16766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6N-14W</a:t>
          </a:r>
        </a:p>
      </xdr:txBody>
    </xdr:sp>
    <xdr:clientData/>
  </xdr:oneCellAnchor>
  <xdr:oneCellAnchor>
    <xdr:from>
      <xdr:col>44</xdr:col>
      <xdr:colOff>185208</xdr:colOff>
      <xdr:row>87</xdr:row>
      <xdr:rowOff>149801</xdr:rowOff>
    </xdr:from>
    <xdr:ext cx="628570" cy="280205"/>
    <xdr:sp macro="" textlink="">
      <xdr:nvSpPr>
        <xdr:cNvPr id="347" name="TextBox 346">
          <a:extLst>
            <a:ext uri="{FF2B5EF4-FFF2-40B4-BE49-F238E27FC236}">
              <a16:creationId xmlns:a16="http://schemas.microsoft.com/office/drawing/2014/main" id="{ED26EF57-488A-405E-974B-160319F161DD}"/>
            </a:ext>
          </a:extLst>
        </xdr:cNvPr>
        <xdr:cNvSpPr txBox="1"/>
      </xdr:nvSpPr>
      <xdr:spPr>
        <a:xfrm>
          <a:off x="9405408" y="16770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6N-7W</a:t>
          </a:r>
        </a:p>
      </xdr:txBody>
    </xdr:sp>
    <xdr:clientData/>
  </xdr:oneCellAnchor>
  <xdr:oneCellAnchor>
    <xdr:from>
      <xdr:col>14</xdr:col>
      <xdr:colOff>118863</xdr:colOff>
      <xdr:row>87</xdr:row>
      <xdr:rowOff>141390</xdr:rowOff>
    </xdr:from>
    <xdr:ext cx="706540" cy="280205"/>
    <xdr:sp macro="" textlink="">
      <xdr:nvSpPr>
        <xdr:cNvPr id="348" name="TextBox 347">
          <a:extLst>
            <a:ext uri="{FF2B5EF4-FFF2-40B4-BE49-F238E27FC236}">
              <a16:creationId xmlns:a16="http://schemas.microsoft.com/office/drawing/2014/main" id="{E3CF2FB9-96CF-42A9-BE21-A98BF7D82F3D}"/>
            </a:ext>
          </a:extLst>
        </xdr:cNvPr>
        <xdr:cNvSpPr txBox="1"/>
      </xdr:nvSpPr>
      <xdr:spPr>
        <a:xfrm>
          <a:off x="3052563" y="16762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6N-12W</a:t>
          </a:r>
        </a:p>
      </xdr:txBody>
    </xdr:sp>
    <xdr:clientData/>
  </xdr:oneCellAnchor>
  <xdr:oneCellAnchor>
    <xdr:from>
      <xdr:col>8</xdr:col>
      <xdr:colOff>159931</xdr:colOff>
      <xdr:row>87</xdr:row>
      <xdr:rowOff>130400</xdr:rowOff>
    </xdr:from>
    <xdr:ext cx="706540" cy="280205"/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8A9DA423-D991-4CAA-B4FE-3FDF82CE7764}"/>
            </a:ext>
          </a:extLst>
        </xdr:cNvPr>
        <xdr:cNvSpPr txBox="1"/>
      </xdr:nvSpPr>
      <xdr:spPr>
        <a:xfrm>
          <a:off x="1836331" y="16751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6N-13W</a:t>
          </a:r>
        </a:p>
      </xdr:txBody>
    </xdr:sp>
    <xdr:clientData/>
  </xdr:oneCellAnchor>
  <xdr:oneCellAnchor>
    <xdr:from>
      <xdr:col>20</xdr:col>
      <xdr:colOff>175333</xdr:colOff>
      <xdr:row>87</xdr:row>
      <xdr:rowOff>145802</xdr:rowOff>
    </xdr:from>
    <xdr:ext cx="706540" cy="280205"/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ECD6E7E9-49F4-44BC-AD05-B3B7BDB8407E}"/>
            </a:ext>
          </a:extLst>
        </xdr:cNvPr>
        <xdr:cNvSpPr txBox="1"/>
      </xdr:nvSpPr>
      <xdr:spPr>
        <a:xfrm>
          <a:off x="4366333" y="16766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6N-11W</a:t>
          </a:r>
        </a:p>
      </xdr:txBody>
    </xdr:sp>
    <xdr:clientData/>
  </xdr:oneCellAnchor>
  <xdr:oneCellAnchor>
    <xdr:from>
      <xdr:col>32</xdr:col>
      <xdr:colOff>180218</xdr:colOff>
      <xdr:row>87</xdr:row>
      <xdr:rowOff>140895</xdr:rowOff>
    </xdr:from>
    <xdr:ext cx="628570" cy="280205"/>
    <xdr:sp macro="" textlink="">
      <xdr:nvSpPr>
        <xdr:cNvPr id="351" name="TextBox 350">
          <a:extLst>
            <a:ext uri="{FF2B5EF4-FFF2-40B4-BE49-F238E27FC236}">
              <a16:creationId xmlns:a16="http://schemas.microsoft.com/office/drawing/2014/main" id="{A1AC2E31-4D1F-4292-99D6-1B0FDF3114C9}"/>
            </a:ext>
          </a:extLst>
        </xdr:cNvPr>
        <xdr:cNvSpPr txBox="1"/>
      </xdr:nvSpPr>
      <xdr:spPr>
        <a:xfrm>
          <a:off x="6885818" y="16762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6N-9W</a:t>
          </a:r>
        </a:p>
      </xdr:txBody>
    </xdr:sp>
    <xdr:clientData/>
  </xdr:oneCellAnchor>
  <xdr:oneCellAnchor>
    <xdr:from>
      <xdr:col>26</xdr:col>
      <xdr:colOff>192629</xdr:colOff>
      <xdr:row>87</xdr:row>
      <xdr:rowOff>144853</xdr:rowOff>
    </xdr:from>
    <xdr:ext cx="706540" cy="280205"/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BF682021-A173-4A3F-BA57-061373B6F327}"/>
            </a:ext>
          </a:extLst>
        </xdr:cNvPr>
        <xdr:cNvSpPr txBox="1"/>
      </xdr:nvSpPr>
      <xdr:spPr>
        <a:xfrm>
          <a:off x="5640929" y="16765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6N-10W</a:t>
          </a:r>
        </a:p>
      </xdr:txBody>
    </xdr:sp>
    <xdr:clientData/>
  </xdr:oneCellAnchor>
  <xdr:oneCellAnchor>
    <xdr:from>
      <xdr:col>38</xdr:col>
      <xdr:colOff>178342</xdr:colOff>
      <xdr:row>87</xdr:row>
      <xdr:rowOff>153243</xdr:rowOff>
    </xdr:from>
    <xdr:ext cx="628570" cy="280205"/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665C2F3D-D07B-4085-A54E-3C780CC00A25}"/>
            </a:ext>
          </a:extLst>
        </xdr:cNvPr>
        <xdr:cNvSpPr txBox="1"/>
      </xdr:nvSpPr>
      <xdr:spPr>
        <a:xfrm>
          <a:off x="8141242" y="16774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6N-8W</a:t>
          </a:r>
        </a:p>
      </xdr:txBody>
    </xdr:sp>
    <xdr:clientData/>
  </xdr:oneCellAnchor>
  <xdr:oneCellAnchor>
    <xdr:from>
      <xdr:col>50</xdr:col>
      <xdr:colOff>169831</xdr:colOff>
      <xdr:row>87</xdr:row>
      <xdr:rowOff>142874</xdr:rowOff>
    </xdr:from>
    <xdr:ext cx="628570" cy="280205"/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1563A4F6-21A5-44F1-B3E4-793445BF6E54}"/>
            </a:ext>
          </a:extLst>
        </xdr:cNvPr>
        <xdr:cNvSpPr txBox="1"/>
      </xdr:nvSpPr>
      <xdr:spPr>
        <a:xfrm>
          <a:off x="10647331" y="16763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6N-6W</a:t>
          </a:r>
        </a:p>
      </xdr:txBody>
    </xdr:sp>
    <xdr:clientData/>
  </xdr:oneCellAnchor>
  <xdr:oneCellAnchor>
    <xdr:from>
      <xdr:col>56</xdr:col>
      <xdr:colOff>149049</xdr:colOff>
      <xdr:row>87</xdr:row>
      <xdr:rowOff>146832</xdr:rowOff>
    </xdr:from>
    <xdr:ext cx="628570" cy="280205"/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EEC371CB-7F8D-479E-85EE-B015F6D5656A}"/>
            </a:ext>
          </a:extLst>
        </xdr:cNvPr>
        <xdr:cNvSpPr txBox="1"/>
      </xdr:nvSpPr>
      <xdr:spPr>
        <a:xfrm>
          <a:off x="11883849" y="16767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6N-5W</a:t>
          </a:r>
        </a:p>
      </xdr:txBody>
    </xdr:sp>
    <xdr:clientData/>
  </xdr:oneCellAnchor>
  <xdr:twoCellAnchor>
    <xdr:from>
      <xdr:col>0</xdr:col>
      <xdr:colOff>9525</xdr:colOff>
      <xdr:row>92</xdr:row>
      <xdr:rowOff>9525</xdr:rowOff>
    </xdr:from>
    <xdr:to>
      <xdr:col>74</xdr:col>
      <xdr:colOff>61851</xdr:colOff>
      <xdr:row>92</xdr:row>
      <xdr:rowOff>12370</xdr:rowOff>
    </xdr:to>
    <xdr:cxnSp macro="">
      <xdr:nvCxnSpPr>
        <xdr:cNvPr id="356" name="Straight Connector 355">
          <a:extLst>
            <a:ext uri="{FF2B5EF4-FFF2-40B4-BE49-F238E27FC236}">
              <a16:creationId xmlns:a16="http://schemas.microsoft.com/office/drawing/2014/main" id="{704C3CA5-C42E-47AC-A386-0C54F249FA3E}"/>
            </a:ext>
          </a:extLst>
        </xdr:cNvPr>
        <xdr:cNvCxnSpPr/>
      </xdr:nvCxnSpPr>
      <xdr:spPr>
        <a:xfrm>
          <a:off x="9525" y="17583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93</xdr:row>
      <xdr:rowOff>145843</xdr:rowOff>
    </xdr:from>
    <xdr:ext cx="706540" cy="280205"/>
    <xdr:sp macro="" textlink="">
      <xdr:nvSpPr>
        <xdr:cNvPr id="357" name="TextBox 356">
          <a:extLst>
            <a:ext uri="{FF2B5EF4-FFF2-40B4-BE49-F238E27FC236}">
              <a16:creationId xmlns:a16="http://schemas.microsoft.com/office/drawing/2014/main" id="{2CB15456-5F29-4237-A6C8-50C92C5D4CFA}"/>
            </a:ext>
          </a:extLst>
        </xdr:cNvPr>
        <xdr:cNvSpPr txBox="1"/>
      </xdr:nvSpPr>
      <xdr:spPr>
        <a:xfrm>
          <a:off x="517676" y="17909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5N-14W</a:t>
          </a:r>
        </a:p>
      </xdr:txBody>
    </xdr:sp>
    <xdr:clientData/>
  </xdr:oneCellAnchor>
  <xdr:oneCellAnchor>
    <xdr:from>
      <xdr:col>44</xdr:col>
      <xdr:colOff>185208</xdr:colOff>
      <xdr:row>93</xdr:row>
      <xdr:rowOff>149801</xdr:rowOff>
    </xdr:from>
    <xdr:ext cx="628570" cy="280205"/>
    <xdr:sp macro="" textlink="">
      <xdr:nvSpPr>
        <xdr:cNvPr id="358" name="TextBox 357">
          <a:extLst>
            <a:ext uri="{FF2B5EF4-FFF2-40B4-BE49-F238E27FC236}">
              <a16:creationId xmlns:a16="http://schemas.microsoft.com/office/drawing/2014/main" id="{2DF16D9E-5DA7-4666-A82E-D9404A4573AD}"/>
            </a:ext>
          </a:extLst>
        </xdr:cNvPr>
        <xdr:cNvSpPr txBox="1"/>
      </xdr:nvSpPr>
      <xdr:spPr>
        <a:xfrm>
          <a:off x="9405408" y="17913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5N-7W</a:t>
          </a:r>
        </a:p>
      </xdr:txBody>
    </xdr:sp>
    <xdr:clientData/>
  </xdr:oneCellAnchor>
  <xdr:oneCellAnchor>
    <xdr:from>
      <xdr:col>14</xdr:col>
      <xdr:colOff>118863</xdr:colOff>
      <xdr:row>93</xdr:row>
      <xdr:rowOff>141390</xdr:rowOff>
    </xdr:from>
    <xdr:ext cx="706540" cy="280205"/>
    <xdr:sp macro="" textlink="">
      <xdr:nvSpPr>
        <xdr:cNvPr id="359" name="TextBox 358">
          <a:extLst>
            <a:ext uri="{FF2B5EF4-FFF2-40B4-BE49-F238E27FC236}">
              <a16:creationId xmlns:a16="http://schemas.microsoft.com/office/drawing/2014/main" id="{1109A07B-661D-4761-96CF-2E2C4AF5C16E}"/>
            </a:ext>
          </a:extLst>
        </xdr:cNvPr>
        <xdr:cNvSpPr txBox="1"/>
      </xdr:nvSpPr>
      <xdr:spPr>
        <a:xfrm>
          <a:off x="3052563" y="17905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5N-12W</a:t>
          </a:r>
        </a:p>
      </xdr:txBody>
    </xdr:sp>
    <xdr:clientData/>
  </xdr:oneCellAnchor>
  <xdr:oneCellAnchor>
    <xdr:from>
      <xdr:col>8</xdr:col>
      <xdr:colOff>159931</xdr:colOff>
      <xdr:row>93</xdr:row>
      <xdr:rowOff>130400</xdr:rowOff>
    </xdr:from>
    <xdr:ext cx="706540" cy="280205"/>
    <xdr:sp macro="" textlink="">
      <xdr:nvSpPr>
        <xdr:cNvPr id="360" name="TextBox 359">
          <a:extLst>
            <a:ext uri="{FF2B5EF4-FFF2-40B4-BE49-F238E27FC236}">
              <a16:creationId xmlns:a16="http://schemas.microsoft.com/office/drawing/2014/main" id="{0E454F37-BAAC-4E86-94E1-4C226A0405D0}"/>
            </a:ext>
          </a:extLst>
        </xdr:cNvPr>
        <xdr:cNvSpPr txBox="1"/>
      </xdr:nvSpPr>
      <xdr:spPr>
        <a:xfrm>
          <a:off x="1836331" y="17894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5N-13W</a:t>
          </a:r>
        </a:p>
      </xdr:txBody>
    </xdr:sp>
    <xdr:clientData/>
  </xdr:oneCellAnchor>
  <xdr:oneCellAnchor>
    <xdr:from>
      <xdr:col>20</xdr:col>
      <xdr:colOff>175333</xdr:colOff>
      <xdr:row>93</xdr:row>
      <xdr:rowOff>145802</xdr:rowOff>
    </xdr:from>
    <xdr:ext cx="706540" cy="280205"/>
    <xdr:sp macro="" textlink="">
      <xdr:nvSpPr>
        <xdr:cNvPr id="361" name="TextBox 360">
          <a:extLst>
            <a:ext uri="{FF2B5EF4-FFF2-40B4-BE49-F238E27FC236}">
              <a16:creationId xmlns:a16="http://schemas.microsoft.com/office/drawing/2014/main" id="{3F79082C-FD6C-4766-869A-D982EAB93D53}"/>
            </a:ext>
          </a:extLst>
        </xdr:cNvPr>
        <xdr:cNvSpPr txBox="1"/>
      </xdr:nvSpPr>
      <xdr:spPr>
        <a:xfrm>
          <a:off x="4366333" y="17909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5N-11W</a:t>
          </a:r>
        </a:p>
      </xdr:txBody>
    </xdr:sp>
    <xdr:clientData/>
  </xdr:oneCellAnchor>
  <xdr:oneCellAnchor>
    <xdr:from>
      <xdr:col>32</xdr:col>
      <xdr:colOff>180218</xdr:colOff>
      <xdr:row>93</xdr:row>
      <xdr:rowOff>140895</xdr:rowOff>
    </xdr:from>
    <xdr:ext cx="628570" cy="280205"/>
    <xdr:sp macro="" textlink="">
      <xdr:nvSpPr>
        <xdr:cNvPr id="362" name="TextBox 361">
          <a:extLst>
            <a:ext uri="{FF2B5EF4-FFF2-40B4-BE49-F238E27FC236}">
              <a16:creationId xmlns:a16="http://schemas.microsoft.com/office/drawing/2014/main" id="{3C04A4A0-7CE4-491F-A38F-1EEE4EDAA1C5}"/>
            </a:ext>
          </a:extLst>
        </xdr:cNvPr>
        <xdr:cNvSpPr txBox="1"/>
      </xdr:nvSpPr>
      <xdr:spPr>
        <a:xfrm>
          <a:off x="6885818" y="17905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5N-9W</a:t>
          </a:r>
        </a:p>
      </xdr:txBody>
    </xdr:sp>
    <xdr:clientData/>
  </xdr:oneCellAnchor>
  <xdr:oneCellAnchor>
    <xdr:from>
      <xdr:col>26</xdr:col>
      <xdr:colOff>192629</xdr:colOff>
      <xdr:row>93</xdr:row>
      <xdr:rowOff>144853</xdr:rowOff>
    </xdr:from>
    <xdr:ext cx="706540" cy="280205"/>
    <xdr:sp macro="" textlink="">
      <xdr:nvSpPr>
        <xdr:cNvPr id="363" name="TextBox 362">
          <a:extLst>
            <a:ext uri="{FF2B5EF4-FFF2-40B4-BE49-F238E27FC236}">
              <a16:creationId xmlns:a16="http://schemas.microsoft.com/office/drawing/2014/main" id="{81496AAE-3C30-4240-A2DD-1681FBF2B008}"/>
            </a:ext>
          </a:extLst>
        </xdr:cNvPr>
        <xdr:cNvSpPr txBox="1"/>
      </xdr:nvSpPr>
      <xdr:spPr>
        <a:xfrm>
          <a:off x="5640929" y="17908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5N-10W</a:t>
          </a:r>
        </a:p>
      </xdr:txBody>
    </xdr:sp>
    <xdr:clientData/>
  </xdr:oneCellAnchor>
  <xdr:oneCellAnchor>
    <xdr:from>
      <xdr:col>38</xdr:col>
      <xdr:colOff>178342</xdr:colOff>
      <xdr:row>93</xdr:row>
      <xdr:rowOff>153243</xdr:rowOff>
    </xdr:from>
    <xdr:ext cx="628570" cy="280205"/>
    <xdr:sp macro="" textlink="">
      <xdr:nvSpPr>
        <xdr:cNvPr id="364" name="TextBox 363">
          <a:extLst>
            <a:ext uri="{FF2B5EF4-FFF2-40B4-BE49-F238E27FC236}">
              <a16:creationId xmlns:a16="http://schemas.microsoft.com/office/drawing/2014/main" id="{146D35FE-8692-4D88-B42F-E537293A5D9D}"/>
            </a:ext>
          </a:extLst>
        </xdr:cNvPr>
        <xdr:cNvSpPr txBox="1"/>
      </xdr:nvSpPr>
      <xdr:spPr>
        <a:xfrm>
          <a:off x="8141242" y="17917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5N-8W</a:t>
          </a:r>
        </a:p>
      </xdr:txBody>
    </xdr:sp>
    <xdr:clientData/>
  </xdr:oneCellAnchor>
  <xdr:oneCellAnchor>
    <xdr:from>
      <xdr:col>50</xdr:col>
      <xdr:colOff>169831</xdr:colOff>
      <xdr:row>93</xdr:row>
      <xdr:rowOff>142874</xdr:rowOff>
    </xdr:from>
    <xdr:ext cx="628570" cy="280205"/>
    <xdr:sp macro="" textlink="">
      <xdr:nvSpPr>
        <xdr:cNvPr id="365" name="TextBox 364">
          <a:extLst>
            <a:ext uri="{FF2B5EF4-FFF2-40B4-BE49-F238E27FC236}">
              <a16:creationId xmlns:a16="http://schemas.microsoft.com/office/drawing/2014/main" id="{1A2D3C20-5BA8-433B-9849-B52025EC8720}"/>
            </a:ext>
          </a:extLst>
        </xdr:cNvPr>
        <xdr:cNvSpPr txBox="1"/>
      </xdr:nvSpPr>
      <xdr:spPr>
        <a:xfrm>
          <a:off x="10647331" y="17906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5N-6W</a:t>
          </a:r>
        </a:p>
      </xdr:txBody>
    </xdr:sp>
    <xdr:clientData/>
  </xdr:oneCellAnchor>
  <xdr:oneCellAnchor>
    <xdr:from>
      <xdr:col>56</xdr:col>
      <xdr:colOff>149049</xdr:colOff>
      <xdr:row>93</xdr:row>
      <xdr:rowOff>146832</xdr:rowOff>
    </xdr:from>
    <xdr:ext cx="628570" cy="280205"/>
    <xdr:sp macro="" textlink="">
      <xdr:nvSpPr>
        <xdr:cNvPr id="366" name="TextBox 365">
          <a:extLst>
            <a:ext uri="{FF2B5EF4-FFF2-40B4-BE49-F238E27FC236}">
              <a16:creationId xmlns:a16="http://schemas.microsoft.com/office/drawing/2014/main" id="{48E7D913-B3A6-43B7-A3AB-AD92ECFF89DF}"/>
            </a:ext>
          </a:extLst>
        </xdr:cNvPr>
        <xdr:cNvSpPr txBox="1"/>
      </xdr:nvSpPr>
      <xdr:spPr>
        <a:xfrm>
          <a:off x="11883849" y="17910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5N-5W</a:t>
          </a:r>
        </a:p>
      </xdr:txBody>
    </xdr:sp>
    <xdr:clientData/>
  </xdr:oneCellAnchor>
  <xdr:twoCellAnchor>
    <xdr:from>
      <xdr:col>0</xdr:col>
      <xdr:colOff>9525</xdr:colOff>
      <xdr:row>98</xdr:row>
      <xdr:rowOff>9525</xdr:rowOff>
    </xdr:from>
    <xdr:to>
      <xdr:col>74</xdr:col>
      <xdr:colOff>61851</xdr:colOff>
      <xdr:row>98</xdr:row>
      <xdr:rowOff>12370</xdr:rowOff>
    </xdr:to>
    <xdr:cxnSp macro="">
      <xdr:nvCxnSpPr>
        <xdr:cNvPr id="367" name="Straight Connector 366">
          <a:extLst>
            <a:ext uri="{FF2B5EF4-FFF2-40B4-BE49-F238E27FC236}">
              <a16:creationId xmlns:a16="http://schemas.microsoft.com/office/drawing/2014/main" id="{E04C702A-D72C-4591-9CF8-B23D3832BABD}"/>
            </a:ext>
          </a:extLst>
        </xdr:cNvPr>
        <xdr:cNvCxnSpPr/>
      </xdr:nvCxnSpPr>
      <xdr:spPr>
        <a:xfrm>
          <a:off x="9525" y="18726150"/>
          <a:ext cx="15559026" cy="28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98576</xdr:colOff>
      <xdr:row>99</xdr:row>
      <xdr:rowOff>145843</xdr:rowOff>
    </xdr:from>
    <xdr:ext cx="706540" cy="280205"/>
    <xdr:sp macro="" textlink="">
      <xdr:nvSpPr>
        <xdr:cNvPr id="368" name="TextBox 367">
          <a:extLst>
            <a:ext uri="{FF2B5EF4-FFF2-40B4-BE49-F238E27FC236}">
              <a16:creationId xmlns:a16="http://schemas.microsoft.com/office/drawing/2014/main" id="{CD9F6AE1-5996-498E-896B-D242A27EB25D}"/>
            </a:ext>
          </a:extLst>
        </xdr:cNvPr>
        <xdr:cNvSpPr txBox="1"/>
      </xdr:nvSpPr>
      <xdr:spPr>
        <a:xfrm>
          <a:off x="517676" y="1905296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4N-14W</a:t>
          </a:r>
        </a:p>
      </xdr:txBody>
    </xdr:sp>
    <xdr:clientData/>
  </xdr:oneCellAnchor>
  <xdr:oneCellAnchor>
    <xdr:from>
      <xdr:col>44</xdr:col>
      <xdr:colOff>185208</xdr:colOff>
      <xdr:row>99</xdr:row>
      <xdr:rowOff>149801</xdr:rowOff>
    </xdr:from>
    <xdr:ext cx="628570" cy="280205"/>
    <xdr:sp macro="" textlink="">
      <xdr:nvSpPr>
        <xdr:cNvPr id="369" name="TextBox 368">
          <a:extLst>
            <a:ext uri="{FF2B5EF4-FFF2-40B4-BE49-F238E27FC236}">
              <a16:creationId xmlns:a16="http://schemas.microsoft.com/office/drawing/2014/main" id="{516F4C4B-783A-44B4-8372-B67FB81D789D}"/>
            </a:ext>
          </a:extLst>
        </xdr:cNvPr>
        <xdr:cNvSpPr txBox="1"/>
      </xdr:nvSpPr>
      <xdr:spPr>
        <a:xfrm>
          <a:off x="9405408" y="19056926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4N-7W</a:t>
          </a:r>
        </a:p>
      </xdr:txBody>
    </xdr:sp>
    <xdr:clientData/>
  </xdr:oneCellAnchor>
  <xdr:oneCellAnchor>
    <xdr:from>
      <xdr:col>14</xdr:col>
      <xdr:colOff>118863</xdr:colOff>
      <xdr:row>99</xdr:row>
      <xdr:rowOff>141390</xdr:rowOff>
    </xdr:from>
    <xdr:ext cx="706540" cy="280205"/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C4F0892-4FC8-457E-86EF-0ED841B923CA}"/>
            </a:ext>
          </a:extLst>
        </xdr:cNvPr>
        <xdr:cNvSpPr txBox="1"/>
      </xdr:nvSpPr>
      <xdr:spPr>
        <a:xfrm>
          <a:off x="3052563" y="1904851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4N-12W</a:t>
          </a:r>
        </a:p>
      </xdr:txBody>
    </xdr:sp>
    <xdr:clientData/>
  </xdr:oneCellAnchor>
  <xdr:oneCellAnchor>
    <xdr:from>
      <xdr:col>8</xdr:col>
      <xdr:colOff>159931</xdr:colOff>
      <xdr:row>99</xdr:row>
      <xdr:rowOff>130400</xdr:rowOff>
    </xdr:from>
    <xdr:ext cx="706540" cy="280205"/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4874FB0A-FC2F-44B7-82FB-19B2EBB911A4}"/>
            </a:ext>
          </a:extLst>
        </xdr:cNvPr>
        <xdr:cNvSpPr txBox="1"/>
      </xdr:nvSpPr>
      <xdr:spPr>
        <a:xfrm>
          <a:off x="1836331" y="19037525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4N-13W</a:t>
          </a:r>
        </a:p>
      </xdr:txBody>
    </xdr:sp>
    <xdr:clientData/>
  </xdr:oneCellAnchor>
  <xdr:oneCellAnchor>
    <xdr:from>
      <xdr:col>20</xdr:col>
      <xdr:colOff>175333</xdr:colOff>
      <xdr:row>99</xdr:row>
      <xdr:rowOff>145802</xdr:rowOff>
    </xdr:from>
    <xdr:ext cx="706540" cy="280205"/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EEF2D7DC-5C14-433F-BAA6-DDC7A616C3EB}"/>
            </a:ext>
          </a:extLst>
        </xdr:cNvPr>
        <xdr:cNvSpPr txBox="1"/>
      </xdr:nvSpPr>
      <xdr:spPr>
        <a:xfrm>
          <a:off x="4366333" y="19052927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4N-11W</a:t>
          </a:r>
        </a:p>
      </xdr:txBody>
    </xdr:sp>
    <xdr:clientData/>
  </xdr:oneCellAnchor>
  <xdr:oneCellAnchor>
    <xdr:from>
      <xdr:col>32</xdr:col>
      <xdr:colOff>180218</xdr:colOff>
      <xdr:row>99</xdr:row>
      <xdr:rowOff>140895</xdr:rowOff>
    </xdr:from>
    <xdr:ext cx="628570" cy="280205"/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EE298474-BFAA-4AF0-BF4E-B30F4F538B57}"/>
            </a:ext>
          </a:extLst>
        </xdr:cNvPr>
        <xdr:cNvSpPr txBox="1"/>
      </xdr:nvSpPr>
      <xdr:spPr>
        <a:xfrm>
          <a:off x="6885818" y="1904802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4N-9W</a:t>
          </a:r>
        </a:p>
      </xdr:txBody>
    </xdr:sp>
    <xdr:clientData/>
  </xdr:oneCellAnchor>
  <xdr:oneCellAnchor>
    <xdr:from>
      <xdr:col>26</xdr:col>
      <xdr:colOff>192629</xdr:colOff>
      <xdr:row>99</xdr:row>
      <xdr:rowOff>144853</xdr:rowOff>
    </xdr:from>
    <xdr:ext cx="706540" cy="280205"/>
    <xdr:sp macro="" textlink="">
      <xdr:nvSpPr>
        <xdr:cNvPr id="374" name="TextBox 373">
          <a:extLst>
            <a:ext uri="{FF2B5EF4-FFF2-40B4-BE49-F238E27FC236}">
              <a16:creationId xmlns:a16="http://schemas.microsoft.com/office/drawing/2014/main" id="{DFEF9414-CE8D-4E59-ADCC-15C86540679D}"/>
            </a:ext>
          </a:extLst>
        </xdr:cNvPr>
        <xdr:cNvSpPr txBox="1"/>
      </xdr:nvSpPr>
      <xdr:spPr>
        <a:xfrm>
          <a:off x="5640929" y="19051978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4N-10W</a:t>
          </a:r>
        </a:p>
      </xdr:txBody>
    </xdr:sp>
    <xdr:clientData/>
  </xdr:oneCellAnchor>
  <xdr:oneCellAnchor>
    <xdr:from>
      <xdr:col>38</xdr:col>
      <xdr:colOff>178342</xdr:colOff>
      <xdr:row>99</xdr:row>
      <xdr:rowOff>153243</xdr:rowOff>
    </xdr:from>
    <xdr:ext cx="628570" cy="280205"/>
    <xdr:sp macro="" textlink="">
      <xdr:nvSpPr>
        <xdr:cNvPr id="375" name="TextBox 374">
          <a:extLst>
            <a:ext uri="{FF2B5EF4-FFF2-40B4-BE49-F238E27FC236}">
              <a16:creationId xmlns:a16="http://schemas.microsoft.com/office/drawing/2014/main" id="{59F3657E-91AE-4ABD-B1A6-CADBA7782034}"/>
            </a:ext>
          </a:extLst>
        </xdr:cNvPr>
        <xdr:cNvSpPr txBox="1"/>
      </xdr:nvSpPr>
      <xdr:spPr>
        <a:xfrm>
          <a:off x="8141242" y="19060368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4N-8W</a:t>
          </a:r>
        </a:p>
      </xdr:txBody>
    </xdr:sp>
    <xdr:clientData/>
  </xdr:oneCellAnchor>
  <xdr:oneCellAnchor>
    <xdr:from>
      <xdr:col>50</xdr:col>
      <xdr:colOff>169831</xdr:colOff>
      <xdr:row>99</xdr:row>
      <xdr:rowOff>142874</xdr:rowOff>
    </xdr:from>
    <xdr:ext cx="628570" cy="280205"/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2D56408-500C-4F53-BCF8-265AE2DDD334}"/>
            </a:ext>
          </a:extLst>
        </xdr:cNvPr>
        <xdr:cNvSpPr txBox="1"/>
      </xdr:nvSpPr>
      <xdr:spPr>
        <a:xfrm>
          <a:off x="10647331" y="19049999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4N-6W</a:t>
          </a:r>
        </a:p>
      </xdr:txBody>
    </xdr:sp>
    <xdr:clientData/>
  </xdr:oneCellAnchor>
  <xdr:oneCellAnchor>
    <xdr:from>
      <xdr:col>56</xdr:col>
      <xdr:colOff>149049</xdr:colOff>
      <xdr:row>99</xdr:row>
      <xdr:rowOff>146832</xdr:rowOff>
    </xdr:from>
    <xdr:ext cx="628570" cy="280205"/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9FC6844-1D2B-4151-853F-52CD8389EFEC}"/>
            </a:ext>
          </a:extLst>
        </xdr:cNvPr>
        <xdr:cNvSpPr txBox="1"/>
      </xdr:nvSpPr>
      <xdr:spPr>
        <a:xfrm>
          <a:off x="11883849" y="19053957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4N-5W</a:t>
          </a:r>
        </a:p>
      </xdr:txBody>
    </xdr:sp>
    <xdr:clientData/>
  </xdr:oneCellAnchor>
  <xdr:oneCellAnchor>
    <xdr:from>
      <xdr:col>63</xdr:col>
      <xdr:colOff>147788</xdr:colOff>
      <xdr:row>78</xdr:row>
      <xdr:rowOff>47232</xdr:rowOff>
    </xdr:from>
    <xdr:ext cx="2121606" cy="718466"/>
    <xdr:sp macro="" textlink="">
      <xdr:nvSpPr>
        <xdr:cNvPr id="378" name="TextBox 377">
          <a:extLst>
            <a:ext uri="{FF2B5EF4-FFF2-40B4-BE49-F238E27FC236}">
              <a16:creationId xmlns:a16="http://schemas.microsoft.com/office/drawing/2014/main" id="{F194676F-90EA-403D-B3CC-2D3818CBB0AF}"/>
            </a:ext>
          </a:extLst>
        </xdr:cNvPr>
        <xdr:cNvSpPr txBox="1"/>
      </xdr:nvSpPr>
      <xdr:spPr>
        <a:xfrm>
          <a:off x="13349438" y="14953857"/>
          <a:ext cx="21216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McCLAIN</a:t>
          </a:r>
        </a:p>
      </xdr:txBody>
    </xdr:sp>
    <xdr:clientData/>
  </xdr:oneCellAnchor>
  <xdr:oneCellAnchor>
    <xdr:from>
      <xdr:col>63</xdr:col>
      <xdr:colOff>77611</xdr:colOff>
      <xdr:row>69</xdr:row>
      <xdr:rowOff>148419</xdr:rowOff>
    </xdr:from>
    <xdr:ext cx="628570" cy="280205"/>
    <xdr:sp macro="" textlink="">
      <xdr:nvSpPr>
        <xdr:cNvPr id="379" name="TextBox 378">
          <a:extLst>
            <a:ext uri="{FF2B5EF4-FFF2-40B4-BE49-F238E27FC236}">
              <a16:creationId xmlns:a16="http://schemas.microsoft.com/office/drawing/2014/main" id="{8D29AA6C-8AC4-41CD-82AB-F92FF25E0395}"/>
            </a:ext>
          </a:extLst>
        </xdr:cNvPr>
        <xdr:cNvSpPr txBox="1"/>
      </xdr:nvSpPr>
      <xdr:spPr>
        <a:xfrm>
          <a:off x="13279261" y="13340544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9N-4W</a:t>
          </a:r>
        </a:p>
      </xdr:txBody>
    </xdr:sp>
    <xdr:clientData/>
  </xdr:oneCellAnchor>
  <xdr:oneCellAnchor>
    <xdr:from>
      <xdr:col>63</xdr:col>
      <xdr:colOff>66675</xdr:colOff>
      <xdr:row>75</xdr:row>
      <xdr:rowOff>161925</xdr:rowOff>
    </xdr:from>
    <xdr:ext cx="628570" cy="280205"/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DB667636-20D2-4290-80B8-707770CAB17E}"/>
            </a:ext>
          </a:extLst>
        </xdr:cNvPr>
        <xdr:cNvSpPr txBox="1"/>
      </xdr:nvSpPr>
      <xdr:spPr>
        <a:xfrm>
          <a:off x="13268325" y="14497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8N-4W</a:t>
          </a:r>
        </a:p>
      </xdr:txBody>
    </xdr:sp>
    <xdr:clientData/>
  </xdr:oneCellAnchor>
  <xdr:oneCellAnchor>
    <xdr:from>
      <xdr:col>68</xdr:col>
      <xdr:colOff>180975</xdr:colOff>
      <xdr:row>70</xdr:row>
      <xdr:rowOff>161925</xdr:rowOff>
    </xdr:from>
    <xdr:ext cx="628570" cy="468077"/>
    <xdr:sp macro="" textlink="">
      <xdr:nvSpPr>
        <xdr:cNvPr id="381" name="TextBox 380">
          <a:extLst>
            <a:ext uri="{FF2B5EF4-FFF2-40B4-BE49-F238E27FC236}">
              <a16:creationId xmlns:a16="http://schemas.microsoft.com/office/drawing/2014/main" id="{24C77602-17E9-4094-A654-47C836D17A70}"/>
            </a:ext>
          </a:extLst>
        </xdr:cNvPr>
        <xdr:cNvSpPr txBox="1"/>
      </xdr:nvSpPr>
      <xdr:spPr>
        <a:xfrm>
          <a:off x="14430375" y="13544550"/>
          <a:ext cx="62857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9N-3W</a:t>
          </a:r>
        </a:p>
        <a:p>
          <a:endParaRPr lang="en-US" sz="1200" b="1"/>
        </a:p>
      </xdr:txBody>
    </xdr:sp>
    <xdr:clientData/>
  </xdr:oneCellAnchor>
  <xdr:oneCellAnchor>
    <xdr:from>
      <xdr:col>69</xdr:col>
      <xdr:colOff>19050</xdr:colOff>
      <xdr:row>76</xdr:row>
      <xdr:rowOff>0</xdr:rowOff>
    </xdr:from>
    <xdr:ext cx="628570" cy="280205"/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D12E2F77-EB70-416B-B00B-79FC57022575}"/>
            </a:ext>
          </a:extLst>
        </xdr:cNvPr>
        <xdr:cNvSpPr txBox="1"/>
      </xdr:nvSpPr>
      <xdr:spPr>
        <a:xfrm>
          <a:off x="14478000" y="14525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8N-3W</a:t>
          </a:r>
        </a:p>
      </xdr:txBody>
    </xdr:sp>
    <xdr:clientData/>
  </xdr:oneCellAnchor>
  <xdr:oneCellAnchor>
    <xdr:from>
      <xdr:col>62</xdr:col>
      <xdr:colOff>171450</xdr:colOff>
      <xdr:row>81</xdr:row>
      <xdr:rowOff>152400</xdr:rowOff>
    </xdr:from>
    <xdr:ext cx="628570" cy="280205"/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9769B03-339D-4827-B393-762AD9606E25}"/>
            </a:ext>
          </a:extLst>
        </xdr:cNvPr>
        <xdr:cNvSpPr txBox="1"/>
      </xdr:nvSpPr>
      <xdr:spPr>
        <a:xfrm>
          <a:off x="13163550" y="156305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7N-4W</a:t>
          </a:r>
        </a:p>
      </xdr:txBody>
    </xdr:sp>
    <xdr:clientData/>
  </xdr:oneCellAnchor>
  <xdr:oneCellAnchor>
    <xdr:from>
      <xdr:col>68</xdr:col>
      <xdr:colOff>85725</xdr:colOff>
      <xdr:row>81</xdr:row>
      <xdr:rowOff>161925</xdr:rowOff>
    </xdr:from>
    <xdr:ext cx="628570" cy="280205"/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0CEB655F-25F5-4446-90A1-53F788891E4F}"/>
            </a:ext>
          </a:extLst>
        </xdr:cNvPr>
        <xdr:cNvSpPr txBox="1"/>
      </xdr:nvSpPr>
      <xdr:spPr>
        <a:xfrm>
          <a:off x="14335125" y="15640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7N-3W</a:t>
          </a:r>
        </a:p>
      </xdr:txBody>
    </xdr:sp>
    <xdr:clientData/>
  </xdr:oneCellAnchor>
  <xdr:oneCellAnchor>
    <xdr:from>
      <xdr:col>62</xdr:col>
      <xdr:colOff>171450</xdr:colOff>
      <xdr:row>87</xdr:row>
      <xdr:rowOff>161925</xdr:rowOff>
    </xdr:from>
    <xdr:ext cx="628570" cy="280205"/>
    <xdr:sp macro="" textlink="">
      <xdr:nvSpPr>
        <xdr:cNvPr id="385" name="TextBox 384">
          <a:extLst>
            <a:ext uri="{FF2B5EF4-FFF2-40B4-BE49-F238E27FC236}">
              <a16:creationId xmlns:a16="http://schemas.microsoft.com/office/drawing/2014/main" id="{6B05D610-5B4C-4F7A-84AF-65C77DE758A8}"/>
            </a:ext>
          </a:extLst>
        </xdr:cNvPr>
        <xdr:cNvSpPr txBox="1"/>
      </xdr:nvSpPr>
      <xdr:spPr>
        <a:xfrm>
          <a:off x="13163550" y="1678305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6N-4W</a:t>
          </a:r>
        </a:p>
      </xdr:txBody>
    </xdr:sp>
    <xdr:clientData/>
  </xdr:oneCellAnchor>
  <xdr:oneCellAnchor>
    <xdr:from>
      <xdr:col>68</xdr:col>
      <xdr:colOff>123825</xdr:colOff>
      <xdr:row>88</xdr:row>
      <xdr:rowOff>0</xdr:rowOff>
    </xdr:from>
    <xdr:ext cx="628570" cy="280205"/>
    <xdr:sp macro="" textlink="">
      <xdr:nvSpPr>
        <xdr:cNvPr id="386" name="TextBox 385">
          <a:extLst>
            <a:ext uri="{FF2B5EF4-FFF2-40B4-BE49-F238E27FC236}">
              <a16:creationId xmlns:a16="http://schemas.microsoft.com/office/drawing/2014/main" id="{C2DC1C78-7463-4CAC-BBCB-450B23E9E74E}"/>
            </a:ext>
          </a:extLst>
        </xdr:cNvPr>
        <xdr:cNvSpPr txBox="1"/>
      </xdr:nvSpPr>
      <xdr:spPr>
        <a:xfrm>
          <a:off x="14373225" y="16811625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6N-3W</a:t>
          </a:r>
        </a:p>
      </xdr:txBody>
    </xdr:sp>
    <xdr:clientData/>
  </xdr:oneCellAnchor>
  <xdr:oneCellAnchor>
    <xdr:from>
      <xdr:col>62</xdr:col>
      <xdr:colOff>190500</xdr:colOff>
      <xdr:row>93</xdr:row>
      <xdr:rowOff>142875</xdr:rowOff>
    </xdr:from>
    <xdr:ext cx="628570" cy="280205"/>
    <xdr:sp macro="" textlink="">
      <xdr:nvSpPr>
        <xdr:cNvPr id="387" name="TextBox 386">
          <a:extLst>
            <a:ext uri="{FF2B5EF4-FFF2-40B4-BE49-F238E27FC236}">
              <a16:creationId xmlns:a16="http://schemas.microsoft.com/office/drawing/2014/main" id="{BB73A566-4F07-41A2-8F5A-2D80D4B9989D}"/>
            </a:ext>
          </a:extLst>
        </xdr:cNvPr>
        <xdr:cNvSpPr txBox="1"/>
      </xdr:nvSpPr>
      <xdr:spPr>
        <a:xfrm>
          <a:off x="13182600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5N-4W</a:t>
          </a:r>
        </a:p>
      </xdr:txBody>
    </xdr:sp>
    <xdr:clientData/>
  </xdr:oneCellAnchor>
  <xdr:oneCellAnchor>
    <xdr:from>
      <xdr:col>69</xdr:col>
      <xdr:colOff>9525</xdr:colOff>
      <xdr:row>93</xdr:row>
      <xdr:rowOff>142875</xdr:rowOff>
    </xdr:from>
    <xdr:ext cx="628570" cy="280205"/>
    <xdr:sp macro="" textlink="">
      <xdr:nvSpPr>
        <xdr:cNvPr id="388" name="TextBox 387">
          <a:extLst>
            <a:ext uri="{FF2B5EF4-FFF2-40B4-BE49-F238E27FC236}">
              <a16:creationId xmlns:a16="http://schemas.microsoft.com/office/drawing/2014/main" id="{4A1E3D1C-1300-4E31-B6DE-9D2527C07270}"/>
            </a:ext>
          </a:extLst>
        </xdr:cNvPr>
        <xdr:cNvSpPr txBox="1"/>
      </xdr:nvSpPr>
      <xdr:spPr>
        <a:xfrm>
          <a:off x="14468475" y="17907000"/>
          <a:ext cx="62857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5N-3W</a:t>
          </a:r>
        </a:p>
      </xdr:txBody>
    </xdr:sp>
    <xdr:clientData/>
  </xdr:oneCellAnchor>
  <xdr:twoCellAnchor>
    <xdr:from>
      <xdr:col>68</xdr:col>
      <xdr:colOff>47625</xdr:colOff>
      <xdr:row>68</xdr:row>
      <xdr:rowOff>142337</xdr:rowOff>
    </xdr:from>
    <xdr:to>
      <xdr:col>74</xdr:col>
      <xdr:colOff>76200</xdr:colOff>
      <xdr:row>75</xdr:row>
      <xdr:rowOff>161925</xdr:rowOff>
    </xdr:to>
    <xdr:sp macro="" textlink="">
      <xdr:nvSpPr>
        <xdr:cNvPr id="389" name="Freeform: Shape 388">
          <a:extLst>
            <a:ext uri="{FF2B5EF4-FFF2-40B4-BE49-F238E27FC236}">
              <a16:creationId xmlns:a16="http://schemas.microsoft.com/office/drawing/2014/main" id="{0D164DD2-6753-4548-B71A-A732C10172EC}"/>
            </a:ext>
          </a:extLst>
        </xdr:cNvPr>
        <xdr:cNvSpPr/>
      </xdr:nvSpPr>
      <xdr:spPr>
        <a:xfrm>
          <a:off x="14297025" y="13143962"/>
          <a:ext cx="1285875" cy="1353088"/>
        </a:xfrm>
        <a:custGeom>
          <a:avLst/>
          <a:gdLst>
            <a:gd name="connsiteX0" fmla="*/ 0 w 1285875"/>
            <a:gd name="connsiteY0" fmla="*/ 10063 h 1353088"/>
            <a:gd name="connsiteX1" fmla="*/ 57150 w 1285875"/>
            <a:gd name="connsiteY1" fmla="*/ 48163 h 1353088"/>
            <a:gd name="connsiteX2" fmla="*/ 38100 w 1285875"/>
            <a:gd name="connsiteY2" fmla="*/ 391063 h 1353088"/>
            <a:gd name="connsiteX3" fmla="*/ 47625 w 1285875"/>
            <a:gd name="connsiteY3" fmla="*/ 486313 h 1353088"/>
            <a:gd name="connsiteX4" fmla="*/ 66675 w 1285875"/>
            <a:gd name="connsiteY4" fmla="*/ 514888 h 1353088"/>
            <a:gd name="connsiteX5" fmla="*/ 76200 w 1285875"/>
            <a:gd name="connsiteY5" fmla="*/ 638713 h 1353088"/>
            <a:gd name="connsiteX6" fmla="*/ 85725 w 1285875"/>
            <a:gd name="connsiteY6" fmla="*/ 667288 h 1353088"/>
            <a:gd name="connsiteX7" fmla="*/ 114300 w 1285875"/>
            <a:gd name="connsiteY7" fmla="*/ 676813 h 1353088"/>
            <a:gd name="connsiteX8" fmla="*/ 161925 w 1285875"/>
            <a:gd name="connsiteY8" fmla="*/ 705388 h 1353088"/>
            <a:gd name="connsiteX9" fmla="*/ 219075 w 1285875"/>
            <a:gd name="connsiteY9" fmla="*/ 743488 h 1353088"/>
            <a:gd name="connsiteX10" fmla="*/ 285750 w 1285875"/>
            <a:gd name="connsiteY10" fmla="*/ 781588 h 1353088"/>
            <a:gd name="connsiteX11" fmla="*/ 304800 w 1285875"/>
            <a:gd name="connsiteY11" fmla="*/ 857788 h 1353088"/>
            <a:gd name="connsiteX12" fmla="*/ 314325 w 1285875"/>
            <a:gd name="connsiteY12" fmla="*/ 886363 h 1353088"/>
            <a:gd name="connsiteX13" fmla="*/ 342900 w 1285875"/>
            <a:gd name="connsiteY13" fmla="*/ 905413 h 1353088"/>
            <a:gd name="connsiteX14" fmla="*/ 390525 w 1285875"/>
            <a:gd name="connsiteY14" fmla="*/ 972088 h 1353088"/>
            <a:gd name="connsiteX15" fmla="*/ 409575 w 1285875"/>
            <a:gd name="connsiteY15" fmla="*/ 1000663 h 1353088"/>
            <a:gd name="connsiteX16" fmla="*/ 504825 w 1285875"/>
            <a:gd name="connsiteY16" fmla="*/ 1048288 h 1353088"/>
            <a:gd name="connsiteX17" fmla="*/ 609600 w 1285875"/>
            <a:gd name="connsiteY17" fmla="*/ 1067338 h 1353088"/>
            <a:gd name="connsiteX18" fmla="*/ 847725 w 1285875"/>
            <a:gd name="connsiteY18" fmla="*/ 1076863 h 1353088"/>
            <a:gd name="connsiteX19" fmla="*/ 971550 w 1285875"/>
            <a:gd name="connsiteY19" fmla="*/ 1134013 h 1353088"/>
            <a:gd name="connsiteX20" fmla="*/ 1009650 w 1285875"/>
            <a:gd name="connsiteY20" fmla="*/ 1153063 h 1353088"/>
            <a:gd name="connsiteX21" fmla="*/ 1038225 w 1285875"/>
            <a:gd name="connsiteY21" fmla="*/ 1162588 h 1353088"/>
            <a:gd name="connsiteX22" fmla="*/ 1085850 w 1285875"/>
            <a:gd name="connsiteY22" fmla="*/ 1181638 h 1353088"/>
            <a:gd name="connsiteX23" fmla="*/ 1123950 w 1285875"/>
            <a:gd name="connsiteY23" fmla="*/ 1191163 h 1353088"/>
            <a:gd name="connsiteX24" fmla="*/ 1143000 w 1285875"/>
            <a:gd name="connsiteY24" fmla="*/ 1229263 h 1353088"/>
            <a:gd name="connsiteX25" fmla="*/ 1200150 w 1285875"/>
            <a:gd name="connsiteY25" fmla="*/ 1276888 h 1353088"/>
            <a:gd name="connsiteX26" fmla="*/ 1247775 w 1285875"/>
            <a:gd name="connsiteY26" fmla="*/ 1324513 h 1353088"/>
            <a:gd name="connsiteX27" fmla="*/ 1285875 w 1285875"/>
            <a:gd name="connsiteY27" fmla="*/ 1353088 h 13530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285875" h="1353088">
              <a:moveTo>
                <a:pt x="0" y="10063"/>
              </a:moveTo>
              <a:cubicBezTo>
                <a:pt x="50800" y="-97"/>
                <a:pt x="57150" y="-17877"/>
                <a:pt x="57150" y="48163"/>
              </a:cubicBezTo>
              <a:cubicBezTo>
                <a:pt x="57150" y="292205"/>
                <a:pt x="61232" y="252270"/>
                <a:pt x="38100" y="391063"/>
              </a:cubicBezTo>
              <a:cubicBezTo>
                <a:pt x="41275" y="422813"/>
                <a:pt x="40450" y="455222"/>
                <a:pt x="47625" y="486313"/>
              </a:cubicBezTo>
              <a:cubicBezTo>
                <a:pt x="50199" y="497467"/>
                <a:pt x="64565" y="503636"/>
                <a:pt x="66675" y="514888"/>
              </a:cubicBezTo>
              <a:cubicBezTo>
                <a:pt x="74304" y="555576"/>
                <a:pt x="71065" y="597636"/>
                <a:pt x="76200" y="638713"/>
              </a:cubicBezTo>
              <a:cubicBezTo>
                <a:pt x="77445" y="648676"/>
                <a:pt x="78625" y="660188"/>
                <a:pt x="85725" y="667288"/>
              </a:cubicBezTo>
              <a:cubicBezTo>
                <a:pt x="92825" y="674388"/>
                <a:pt x="105320" y="672323"/>
                <a:pt x="114300" y="676813"/>
              </a:cubicBezTo>
              <a:cubicBezTo>
                <a:pt x="130859" y="685092"/>
                <a:pt x="146306" y="695449"/>
                <a:pt x="161925" y="705388"/>
              </a:cubicBezTo>
              <a:cubicBezTo>
                <a:pt x="181241" y="717680"/>
                <a:pt x="198597" y="733249"/>
                <a:pt x="219075" y="743488"/>
              </a:cubicBezTo>
              <a:cubicBezTo>
                <a:pt x="267414" y="767658"/>
                <a:pt x="245361" y="754662"/>
                <a:pt x="285750" y="781588"/>
              </a:cubicBezTo>
              <a:cubicBezTo>
                <a:pt x="292100" y="806988"/>
                <a:pt x="297911" y="832529"/>
                <a:pt x="304800" y="857788"/>
              </a:cubicBezTo>
              <a:cubicBezTo>
                <a:pt x="307442" y="867474"/>
                <a:pt x="308053" y="878523"/>
                <a:pt x="314325" y="886363"/>
              </a:cubicBezTo>
              <a:cubicBezTo>
                <a:pt x="321476" y="895302"/>
                <a:pt x="333375" y="899063"/>
                <a:pt x="342900" y="905413"/>
              </a:cubicBezTo>
              <a:cubicBezTo>
                <a:pt x="360402" y="957918"/>
                <a:pt x="341216" y="914561"/>
                <a:pt x="390525" y="972088"/>
              </a:cubicBezTo>
              <a:cubicBezTo>
                <a:pt x="397975" y="980780"/>
                <a:pt x="400960" y="993125"/>
                <a:pt x="409575" y="1000663"/>
              </a:cubicBezTo>
              <a:cubicBezTo>
                <a:pt x="459955" y="1044745"/>
                <a:pt x="454612" y="1033942"/>
                <a:pt x="504825" y="1048288"/>
              </a:cubicBezTo>
              <a:cubicBezTo>
                <a:pt x="559198" y="1063823"/>
                <a:pt x="519577" y="1061882"/>
                <a:pt x="609600" y="1067338"/>
              </a:cubicBezTo>
              <a:cubicBezTo>
                <a:pt x="688893" y="1072144"/>
                <a:pt x="768350" y="1073688"/>
                <a:pt x="847725" y="1076863"/>
              </a:cubicBezTo>
              <a:cubicBezTo>
                <a:pt x="909976" y="1097613"/>
                <a:pt x="867320" y="1081898"/>
                <a:pt x="971550" y="1134013"/>
              </a:cubicBezTo>
              <a:cubicBezTo>
                <a:pt x="984250" y="1140363"/>
                <a:pt x="996180" y="1148573"/>
                <a:pt x="1009650" y="1153063"/>
              </a:cubicBezTo>
              <a:cubicBezTo>
                <a:pt x="1019175" y="1156238"/>
                <a:pt x="1028824" y="1159063"/>
                <a:pt x="1038225" y="1162588"/>
              </a:cubicBezTo>
              <a:cubicBezTo>
                <a:pt x="1054234" y="1168591"/>
                <a:pt x="1069630" y="1176231"/>
                <a:pt x="1085850" y="1181638"/>
              </a:cubicBezTo>
              <a:cubicBezTo>
                <a:pt x="1098269" y="1185778"/>
                <a:pt x="1111250" y="1187988"/>
                <a:pt x="1123950" y="1191163"/>
              </a:cubicBezTo>
              <a:cubicBezTo>
                <a:pt x="1130300" y="1203863"/>
                <a:pt x="1134747" y="1217709"/>
                <a:pt x="1143000" y="1229263"/>
              </a:cubicBezTo>
              <a:cubicBezTo>
                <a:pt x="1159668" y="1252598"/>
                <a:pt x="1177365" y="1261698"/>
                <a:pt x="1200150" y="1276888"/>
              </a:cubicBezTo>
              <a:cubicBezTo>
                <a:pt x="1227859" y="1318452"/>
                <a:pt x="1207366" y="1295649"/>
                <a:pt x="1247775" y="1324513"/>
              </a:cubicBezTo>
              <a:cubicBezTo>
                <a:pt x="1260693" y="1333740"/>
                <a:pt x="1285875" y="1353088"/>
                <a:pt x="1285875" y="1353088"/>
              </a:cubicBezTo>
            </a:path>
          </a:pathLst>
        </a:custGeom>
        <a:ln w="1111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62</xdr:col>
      <xdr:colOff>207635</xdr:colOff>
      <xdr:row>63</xdr:row>
      <xdr:rowOff>147224</xdr:rowOff>
    </xdr:from>
    <xdr:ext cx="706540" cy="280205"/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5E94F9D4-4E85-4647-BD93-3E38BBFF8336}"/>
            </a:ext>
          </a:extLst>
        </xdr:cNvPr>
        <xdr:cNvSpPr txBox="1"/>
      </xdr:nvSpPr>
      <xdr:spPr>
        <a:xfrm>
          <a:off x="13199735" y="12196349"/>
          <a:ext cx="70654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10N-4W</a:t>
          </a:r>
        </a:p>
      </xdr:txBody>
    </xdr:sp>
    <xdr:clientData/>
  </xdr:oneCellAnchor>
  <xdr:twoCellAnchor>
    <xdr:from>
      <xdr:col>62</xdr:col>
      <xdr:colOff>20783</xdr:colOff>
      <xdr:row>61</xdr:row>
      <xdr:rowOff>173182</xdr:rowOff>
    </xdr:from>
    <xdr:to>
      <xdr:col>80</xdr:col>
      <xdr:colOff>85725</xdr:colOff>
      <xdr:row>62</xdr:row>
      <xdr:rowOff>19050</xdr:rowOff>
    </xdr:to>
    <xdr:cxnSp macro="">
      <xdr:nvCxnSpPr>
        <xdr:cNvPr id="391" name="Straight Connector 390">
          <a:extLst>
            <a:ext uri="{FF2B5EF4-FFF2-40B4-BE49-F238E27FC236}">
              <a16:creationId xmlns:a16="http://schemas.microsoft.com/office/drawing/2014/main" id="{C6769713-D108-42E1-9D2B-034357C82563}"/>
            </a:ext>
          </a:extLst>
        </xdr:cNvPr>
        <xdr:cNvCxnSpPr/>
      </xdr:nvCxnSpPr>
      <xdr:spPr>
        <a:xfrm flipH="1" flipV="1">
          <a:off x="13012883" y="11841307"/>
          <a:ext cx="3836842" cy="36368"/>
        </a:xfrm>
        <a:prstGeom prst="line">
          <a:avLst/>
        </a:prstGeom>
        <a:ln w="127000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69</xdr:col>
      <xdr:colOff>128738</xdr:colOff>
      <xdr:row>63</xdr:row>
      <xdr:rowOff>152007</xdr:rowOff>
    </xdr:from>
    <xdr:ext cx="2271006" cy="718466"/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582B237F-33FA-4511-B593-459F927C5586}"/>
            </a:ext>
          </a:extLst>
        </xdr:cNvPr>
        <xdr:cNvSpPr txBox="1"/>
      </xdr:nvSpPr>
      <xdr:spPr>
        <a:xfrm>
          <a:off x="14587688" y="12201132"/>
          <a:ext cx="2271006" cy="718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 b="1"/>
            <a:t>Cleveland</a:t>
          </a:r>
        </a:p>
      </xdr:txBody>
    </xdr:sp>
    <xdr:clientData/>
  </xdr:oneCellAnchor>
  <xdr:oneCellAnchor>
    <xdr:from>
      <xdr:col>15</xdr:col>
      <xdr:colOff>2967</xdr:colOff>
      <xdr:row>27</xdr:row>
      <xdr:rowOff>163782</xdr:rowOff>
    </xdr:from>
    <xdr:ext cx="784510" cy="280205"/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C628CE8B-3A5D-4B20-8897-0B826FBF7E8D}"/>
            </a:ext>
          </a:extLst>
        </xdr:cNvPr>
        <xdr:cNvSpPr txBox="1"/>
      </xdr:nvSpPr>
      <xdr:spPr>
        <a:xfrm>
          <a:off x="4367149" y="645028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  <xdr:oneCellAnchor>
    <xdr:from>
      <xdr:col>15</xdr:col>
      <xdr:colOff>2967</xdr:colOff>
      <xdr:row>27</xdr:row>
      <xdr:rowOff>163782</xdr:rowOff>
    </xdr:from>
    <xdr:ext cx="784510" cy="280205"/>
    <xdr:sp macro="" textlink="">
      <xdr:nvSpPr>
        <xdr:cNvPr id="408" name="TextBox 407">
          <a:extLst>
            <a:ext uri="{FF2B5EF4-FFF2-40B4-BE49-F238E27FC236}">
              <a16:creationId xmlns:a16="http://schemas.microsoft.com/office/drawing/2014/main" id="{82CC20EB-6A67-4627-946E-C22EC83D8A82}"/>
            </a:ext>
          </a:extLst>
        </xdr:cNvPr>
        <xdr:cNvSpPr txBox="1"/>
      </xdr:nvSpPr>
      <xdr:spPr>
        <a:xfrm>
          <a:off x="4367149" y="6450282"/>
          <a:ext cx="7845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15N-11W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Z104"/>
  <sheetViews>
    <sheetView topLeftCell="A3" zoomScale="37" zoomScaleNormal="37" workbookViewId="0">
      <selection activeCell="T18" sqref="T18"/>
    </sheetView>
  </sheetViews>
  <sheetFormatPr defaultColWidth="3.140625" defaultRowHeight="15" customHeight="1" x14ac:dyDescent="0.25"/>
  <cols>
    <col min="47" max="47" width="3.140625" customWidth="1"/>
    <col min="57" max="57" width="3.28515625" customWidth="1"/>
    <col min="93" max="93" width="6.28515625" bestFit="1" customWidth="1"/>
    <col min="104" max="104" width="6.28515625" bestFit="1" customWidth="1"/>
  </cols>
  <sheetData>
    <row r="1" spans="1:104" ht="15" customHeight="1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9"/>
      <c r="CA1" s="9"/>
      <c r="CB1" s="9"/>
    </row>
    <row r="2" spans="1:104" ht="15" customHeight="1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9"/>
      <c r="CA2" s="9"/>
      <c r="CB2" s="9"/>
    </row>
    <row r="3" spans="1:104" ht="15" customHeight="1" x14ac:dyDescent="0.25">
      <c r="A3" s="8"/>
      <c r="B3" s="8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8"/>
      <c r="BX3" s="8"/>
      <c r="BY3" s="8"/>
      <c r="BZ3" s="9"/>
      <c r="CA3" s="9"/>
      <c r="CB3" s="9"/>
    </row>
    <row r="4" spans="1:104" ht="15" customHeight="1" x14ac:dyDescent="0.25">
      <c r="A4" s="8"/>
      <c r="B4" s="8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8"/>
      <c r="BX4" s="8"/>
      <c r="BY4" s="8"/>
      <c r="BZ4" s="9"/>
      <c r="CA4" s="9"/>
      <c r="CB4" s="9"/>
    </row>
    <row r="5" spans="1:104" ht="15" customHeight="1" x14ac:dyDescent="0.3">
      <c r="A5" s="8"/>
      <c r="B5" s="8"/>
      <c r="C5" s="10"/>
      <c r="D5" s="10"/>
      <c r="E5" s="10"/>
      <c r="F5" s="11" t="s">
        <v>2138</v>
      </c>
      <c r="G5" s="11"/>
      <c r="H5" s="11"/>
      <c r="I5" s="19"/>
      <c r="J5" s="11" t="s">
        <v>1764</v>
      </c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8"/>
      <c r="BX5" s="8"/>
      <c r="BY5" s="8"/>
      <c r="BZ5" s="9"/>
      <c r="CA5" s="9"/>
      <c r="CB5" s="9"/>
    </row>
    <row r="6" spans="1:104" ht="15" customHeight="1" x14ac:dyDescent="0.3">
      <c r="A6" s="8"/>
      <c r="B6" s="8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8"/>
      <c r="BX6" s="8"/>
      <c r="BY6" s="8"/>
      <c r="BZ6" s="9"/>
      <c r="CA6" s="9"/>
      <c r="CB6" s="9"/>
      <c r="CD6" s="11" t="s">
        <v>2744</v>
      </c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>
        <f>ColorFunction(AN21,AG9:BJ38,FALSE)</f>
        <v>568</v>
      </c>
      <c r="CP6" s="11" t="s">
        <v>2745</v>
      </c>
      <c r="CQ6" s="11"/>
      <c r="CR6" s="12"/>
      <c r="CS6" s="12"/>
      <c r="CT6" s="12"/>
      <c r="CU6" s="12"/>
      <c r="CV6" s="12"/>
      <c r="CW6" s="12"/>
      <c r="CX6" s="12"/>
      <c r="CY6" s="12"/>
      <c r="CZ6" s="12">
        <f>(900-CO6)</f>
        <v>332</v>
      </c>
    </row>
    <row r="7" spans="1:104" ht="15" customHeight="1" x14ac:dyDescent="0.3">
      <c r="A7" s="8"/>
      <c r="B7" s="8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8"/>
      <c r="BX7" s="8"/>
      <c r="BY7" s="8"/>
      <c r="BZ7" s="9"/>
      <c r="CA7" s="9"/>
      <c r="CB7" s="9"/>
      <c r="CD7" s="11" t="s">
        <v>2746</v>
      </c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>
        <f>SUM(CO17:CO18)</f>
        <v>264</v>
      </c>
      <c r="CP7" s="11" t="s">
        <v>2745</v>
      </c>
      <c r="CQ7" s="12"/>
      <c r="CR7" s="12"/>
      <c r="CS7" s="12"/>
      <c r="CT7" s="12"/>
      <c r="CU7" s="12"/>
      <c r="CV7" s="12"/>
      <c r="CW7" s="12"/>
      <c r="CX7" s="12"/>
      <c r="CY7" s="12"/>
      <c r="CZ7" s="12">
        <f>((36*26)-CO7)</f>
        <v>672</v>
      </c>
    </row>
    <row r="8" spans="1:104" ht="15" customHeight="1" x14ac:dyDescent="0.3">
      <c r="A8" s="8"/>
      <c r="B8" s="8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8"/>
      <c r="BX8" s="8"/>
      <c r="BY8" s="8"/>
      <c r="BZ8" s="9"/>
      <c r="CA8" s="9"/>
      <c r="CB8" s="9"/>
      <c r="CD8" s="11" t="s">
        <v>3008</v>
      </c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>
        <f>SUM(CO20:CO21)</f>
        <v>223</v>
      </c>
      <c r="CP8" s="11" t="s">
        <v>2745</v>
      </c>
      <c r="CQ8" s="12"/>
      <c r="CR8" s="12"/>
      <c r="CS8" s="12"/>
      <c r="CT8" s="12"/>
      <c r="CU8" s="12"/>
      <c r="CV8" s="12"/>
      <c r="CW8" s="12"/>
      <c r="CX8" s="12"/>
      <c r="CY8" s="12"/>
      <c r="CZ8" s="12">
        <f>((24*36)+49-CO8)</f>
        <v>690</v>
      </c>
    </row>
    <row r="9" spans="1:104" ht="15" customHeight="1" x14ac:dyDescent="0.25">
      <c r="A9" s="8"/>
      <c r="B9" s="8"/>
      <c r="C9" s="10"/>
      <c r="D9" s="10"/>
      <c r="E9" s="10"/>
      <c r="F9" s="10"/>
      <c r="G9" s="10"/>
      <c r="H9" s="10"/>
      <c r="I9" s="10"/>
      <c r="J9" s="10"/>
      <c r="K9" s="10"/>
      <c r="L9" s="10"/>
      <c r="M9" s="19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9"/>
      <c r="AD9" s="10"/>
      <c r="AE9" s="10"/>
      <c r="AF9" s="10"/>
      <c r="AG9" s="10"/>
      <c r="AH9" s="10"/>
      <c r="AI9" s="10"/>
      <c r="AJ9" s="19"/>
      <c r="AK9" s="10"/>
      <c r="AL9" s="19"/>
      <c r="AM9" s="10"/>
      <c r="AN9" s="10"/>
      <c r="AO9" s="19"/>
      <c r="AP9" s="19"/>
      <c r="AQ9" s="19"/>
      <c r="AR9" s="10"/>
      <c r="AS9" s="10"/>
      <c r="AT9" s="19"/>
      <c r="AU9" s="10"/>
      <c r="AV9" s="10"/>
      <c r="AW9" s="10"/>
      <c r="AX9" s="10"/>
      <c r="AY9" s="19"/>
      <c r="AZ9" s="10"/>
      <c r="BA9" s="10"/>
      <c r="BB9" s="10"/>
      <c r="BC9" s="10"/>
      <c r="BD9" s="19"/>
      <c r="BE9" s="19"/>
      <c r="BF9" s="19"/>
      <c r="BG9" s="10"/>
      <c r="BH9" s="19"/>
      <c r="BI9" s="19"/>
      <c r="BJ9" s="19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8"/>
      <c r="BX9" s="8"/>
      <c r="BY9" s="8"/>
      <c r="BZ9" s="9"/>
      <c r="CA9" s="9"/>
      <c r="CB9" s="9"/>
    </row>
    <row r="10" spans="1:104" ht="15" customHeight="1" x14ac:dyDescent="0.25">
      <c r="A10" s="8"/>
      <c r="B10" s="8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9"/>
      <c r="AJ10" s="19"/>
      <c r="AK10" s="19"/>
      <c r="AL10" s="19"/>
      <c r="AM10" s="19"/>
      <c r="AN10" s="10"/>
      <c r="AO10" s="10"/>
      <c r="AP10" s="10"/>
      <c r="AQ10" s="19"/>
      <c r="AR10" s="19"/>
      <c r="AS10" s="19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9"/>
      <c r="BE10" s="19"/>
      <c r="BF10" s="10"/>
      <c r="BG10" s="10"/>
      <c r="BH10" s="10"/>
      <c r="BI10" s="10"/>
      <c r="BJ10" s="19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8"/>
      <c r="BX10" s="8"/>
      <c r="BY10" s="8"/>
      <c r="BZ10" s="9"/>
      <c r="CA10" s="9"/>
      <c r="CB10" s="9"/>
    </row>
    <row r="11" spans="1:104" ht="15" customHeight="1" x14ac:dyDescent="0.25">
      <c r="A11" s="8"/>
      <c r="B11" s="8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9"/>
      <c r="R11" s="10"/>
      <c r="S11" s="10"/>
      <c r="T11" s="10"/>
      <c r="U11" s="10"/>
      <c r="V11" s="18"/>
      <c r="W11" s="18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0"/>
      <c r="AN11" s="10"/>
      <c r="AO11" s="19"/>
      <c r="AP11" s="10"/>
      <c r="AQ11" s="19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9"/>
      <c r="BE11" s="10"/>
      <c r="BF11" s="19"/>
      <c r="BG11" s="19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8"/>
      <c r="BX11" s="8"/>
      <c r="BY11" s="8"/>
      <c r="BZ11" s="9"/>
      <c r="CA11" s="9"/>
      <c r="CB11" s="9"/>
    </row>
    <row r="12" spans="1:104" ht="15" customHeight="1" x14ac:dyDescent="0.25">
      <c r="A12" s="8"/>
      <c r="B12" s="8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9"/>
      <c r="Q12" s="19"/>
      <c r="R12" s="10"/>
      <c r="S12" s="10"/>
      <c r="T12" s="10"/>
      <c r="U12" s="10"/>
      <c r="V12" s="18"/>
      <c r="W12" s="18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9"/>
      <c r="AK12" s="19"/>
      <c r="AL12" s="10"/>
      <c r="AM12" s="19"/>
      <c r="AN12" s="19"/>
      <c r="AO12" s="19"/>
      <c r="AP12" s="10"/>
      <c r="AQ12" s="19"/>
      <c r="AR12" s="10"/>
      <c r="AS12" s="10"/>
      <c r="AT12" s="19"/>
      <c r="AU12" s="10"/>
      <c r="AV12" s="10"/>
      <c r="AW12" s="10"/>
      <c r="AX12" s="10"/>
      <c r="AY12" s="10"/>
      <c r="AZ12" s="10"/>
      <c r="BA12" s="10"/>
      <c r="BB12" s="10"/>
      <c r="BC12" s="10"/>
      <c r="BD12" s="19"/>
      <c r="BE12" s="10"/>
      <c r="BF12" s="19"/>
      <c r="BG12" s="19"/>
      <c r="BH12" s="19"/>
      <c r="BI12" s="10"/>
      <c r="BJ12" s="19"/>
      <c r="BK12" s="10"/>
      <c r="BL12" s="10"/>
      <c r="BM12" s="10"/>
      <c r="BN12" s="10"/>
      <c r="BO12" s="10"/>
      <c r="BP12" s="10"/>
      <c r="BQ12" s="10"/>
      <c r="BR12" s="20"/>
      <c r="BS12" s="10"/>
      <c r="BT12" s="10"/>
      <c r="BU12" s="10"/>
      <c r="BV12" s="10"/>
      <c r="BW12" s="8"/>
      <c r="BX12" s="8"/>
      <c r="BY12" s="8"/>
      <c r="BZ12" s="9"/>
      <c r="CA12" s="9"/>
      <c r="CB12" s="9"/>
    </row>
    <row r="13" spans="1:104" ht="15" customHeight="1" x14ac:dyDescent="0.25">
      <c r="A13" s="8"/>
      <c r="B13" s="8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9"/>
      <c r="AL13" s="10"/>
      <c r="AM13" s="19"/>
      <c r="AN13" s="19"/>
      <c r="AO13" s="19"/>
      <c r="AP13" s="10"/>
      <c r="AQ13" s="10"/>
      <c r="AR13" s="10"/>
      <c r="AS13" s="19"/>
      <c r="AT13" s="19"/>
      <c r="AU13" s="19"/>
      <c r="AV13" s="19"/>
      <c r="AW13" s="10"/>
      <c r="AX13" s="10"/>
      <c r="AY13" s="10"/>
      <c r="AZ13" s="10"/>
      <c r="BA13" s="10"/>
      <c r="BB13" s="19"/>
      <c r="BC13" s="10"/>
      <c r="BD13" s="19"/>
      <c r="BE13" s="19"/>
      <c r="BF13" s="10"/>
      <c r="BG13" s="19"/>
      <c r="BH13" s="19"/>
      <c r="BI13" s="19"/>
      <c r="BJ13" s="19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8"/>
      <c r="BX13" s="8"/>
      <c r="BY13" s="8"/>
      <c r="BZ13" s="9"/>
      <c r="CA13" s="9"/>
      <c r="CB13" s="9"/>
    </row>
    <row r="14" spans="1:104" ht="15" customHeight="1" x14ac:dyDescent="0.25">
      <c r="A14" s="8"/>
      <c r="B14" s="8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9"/>
      <c r="AN14" s="10"/>
      <c r="AO14" s="10"/>
      <c r="AP14" s="19"/>
      <c r="AQ14" s="10"/>
      <c r="AR14" s="19"/>
      <c r="AS14" s="19"/>
      <c r="AT14" s="10"/>
      <c r="AU14" s="10"/>
      <c r="AV14" s="10"/>
      <c r="AW14" s="19"/>
      <c r="AX14" s="10"/>
      <c r="AY14" s="10"/>
      <c r="AZ14" s="19"/>
      <c r="BA14" s="10"/>
      <c r="BB14" s="13"/>
      <c r="BC14" s="19"/>
      <c r="BD14" s="19"/>
      <c r="BE14" s="19"/>
      <c r="BF14" s="10"/>
      <c r="BG14" s="19"/>
      <c r="BH14" s="19"/>
      <c r="BI14" s="19"/>
      <c r="BJ14" s="19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8"/>
      <c r="BX14" s="8"/>
      <c r="BY14" s="8"/>
      <c r="BZ14" s="9"/>
      <c r="CA14" s="9"/>
      <c r="CB14" s="9"/>
    </row>
    <row r="15" spans="1:104" ht="15" customHeight="1" x14ac:dyDescent="0.25">
      <c r="A15" s="8"/>
      <c r="B15" s="8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9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9"/>
      <c r="AN15" s="10"/>
      <c r="AO15" s="10"/>
      <c r="AP15" s="19"/>
      <c r="AQ15" s="19"/>
      <c r="AR15" s="19"/>
      <c r="AS15" s="19"/>
      <c r="AT15" s="10"/>
      <c r="AU15" s="19"/>
      <c r="AV15" s="10"/>
      <c r="AW15" s="10"/>
      <c r="AX15" s="10"/>
      <c r="AY15" s="13"/>
      <c r="AZ15" s="13"/>
      <c r="BA15" s="19"/>
      <c r="BB15" s="19"/>
      <c r="BC15" s="19"/>
      <c r="BD15" s="19"/>
      <c r="BE15" s="19"/>
      <c r="BF15" s="19"/>
      <c r="BG15" s="19"/>
      <c r="BH15" s="10"/>
      <c r="BI15" s="19"/>
      <c r="BJ15" s="19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8"/>
      <c r="BX15" s="8"/>
      <c r="BY15" s="8"/>
      <c r="BZ15" s="9"/>
      <c r="CA15" s="9"/>
      <c r="CB15" s="9"/>
    </row>
    <row r="16" spans="1:104" ht="15" customHeight="1" x14ac:dyDescent="0.25">
      <c r="A16" s="8"/>
      <c r="B16" s="8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9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9"/>
      <c r="AH16" s="10"/>
      <c r="AI16" s="10"/>
      <c r="AJ16" s="10"/>
      <c r="AK16" s="10"/>
      <c r="AL16" s="10"/>
      <c r="AM16" s="10"/>
      <c r="AN16" s="10"/>
      <c r="AO16" s="10"/>
      <c r="AP16" s="19"/>
      <c r="AQ16" s="10"/>
      <c r="AR16" s="19"/>
      <c r="AS16" s="19"/>
      <c r="AT16" s="10"/>
      <c r="AU16" s="10"/>
      <c r="AV16" s="10"/>
      <c r="AW16" s="10"/>
      <c r="AX16" s="10"/>
      <c r="AY16" s="13"/>
      <c r="AZ16" s="19"/>
      <c r="BA16" s="13"/>
      <c r="BB16" s="19"/>
      <c r="BC16" s="19"/>
      <c r="BD16" s="19"/>
      <c r="BE16" s="19"/>
      <c r="BF16" s="19"/>
      <c r="BG16" s="19"/>
      <c r="BH16" s="19"/>
      <c r="BI16" s="19"/>
      <c r="BJ16" s="19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8"/>
      <c r="BX16" s="8"/>
      <c r="BY16" s="8"/>
      <c r="BZ16" s="9"/>
      <c r="CA16" s="9"/>
      <c r="CB16" s="9"/>
    </row>
    <row r="17" spans="1:93" ht="15" customHeight="1" x14ac:dyDescent="0.25">
      <c r="A17" s="8"/>
      <c r="B17" s="8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9"/>
      <c r="R17" s="10"/>
      <c r="S17" s="10"/>
      <c r="T17" s="19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9"/>
      <c r="AH17" s="19"/>
      <c r="AI17" s="10"/>
      <c r="AJ17" s="10"/>
      <c r="AK17" s="10"/>
      <c r="AL17" s="19"/>
      <c r="AM17" s="10"/>
      <c r="AN17" s="10"/>
      <c r="AO17" s="10"/>
      <c r="AP17" s="10"/>
      <c r="AQ17" s="10"/>
      <c r="AR17" s="10"/>
      <c r="AS17" s="19"/>
      <c r="AT17" s="19"/>
      <c r="AU17" s="10"/>
      <c r="AV17" s="13"/>
      <c r="AW17" s="13"/>
      <c r="AX17" s="13"/>
      <c r="AY17" s="13"/>
      <c r="AZ17" s="19"/>
      <c r="BA17" s="19"/>
      <c r="BB17" s="13"/>
      <c r="BC17" s="19"/>
      <c r="BD17" s="19"/>
      <c r="BE17" s="19"/>
      <c r="BF17" s="13"/>
      <c r="BG17" s="13"/>
      <c r="BH17" s="19"/>
      <c r="BI17" s="19"/>
      <c r="BJ17" s="13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8"/>
      <c r="BX17" s="8"/>
      <c r="BY17" s="8"/>
      <c r="BZ17" s="9"/>
      <c r="CA17" s="9"/>
      <c r="CB17" s="9"/>
      <c r="CE17" s="6" t="s">
        <v>2747</v>
      </c>
      <c r="CO17" s="12">
        <f>ColorFunction(AN32,I9:AF38,FALSE)</f>
        <v>218</v>
      </c>
    </row>
    <row r="18" spans="1:93" ht="15" customHeight="1" x14ac:dyDescent="0.25">
      <c r="A18" s="8"/>
      <c r="B18" s="8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9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9"/>
      <c r="AL18" s="10"/>
      <c r="AM18" s="10"/>
      <c r="AN18" s="10"/>
      <c r="AO18" s="10"/>
      <c r="AP18" s="10"/>
      <c r="AQ18" s="10"/>
      <c r="AR18" s="10"/>
      <c r="AS18" s="19"/>
      <c r="AT18" s="19"/>
      <c r="AU18" s="19"/>
      <c r="AV18" s="13"/>
      <c r="AW18" s="13"/>
      <c r="AX18" s="13"/>
      <c r="AY18" s="19"/>
      <c r="AZ18" s="19"/>
      <c r="BA18" s="19"/>
      <c r="BB18" s="19"/>
      <c r="BC18" s="13"/>
      <c r="BD18" s="13"/>
      <c r="BE18" s="13"/>
      <c r="BF18" s="19"/>
      <c r="BG18" s="19"/>
      <c r="BH18" s="19"/>
      <c r="BI18" s="19"/>
      <c r="BJ18" s="13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8"/>
      <c r="BX18" s="8"/>
      <c r="BY18" s="8"/>
      <c r="BZ18" s="9"/>
      <c r="CA18" s="9"/>
      <c r="CB18" s="9"/>
      <c r="CO18" s="12">
        <f>ColorFunction(AN33,I39:Z50,FALSE)</f>
        <v>46</v>
      </c>
    </row>
    <row r="19" spans="1:93" ht="15" customHeight="1" x14ac:dyDescent="0.25">
      <c r="A19" s="8"/>
      <c r="B19" s="8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9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3"/>
      <c r="AI19" s="13"/>
      <c r="AJ19" s="13"/>
      <c r="AK19" s="19"/>
      <c r="AL19" s="19"/>
      <c r="AM19" s="19"/>
      <c r="AN19" s="19"/>
      <c r="AO19" s="19"/>
      <c r="AP19" s="19"/>
      <c r="AQ19" s="13"/>
      <c r="AR19" s="13"/>
      <c r="AS19" s="13"/>
      <c r="AT19" s="19"/>
      <c r="AU19" s="19"/>
      <c r="AV19" s="13"/>
      <c r="AW19" s="13"/>
      <c r="AX19" s="19"/>
      <c r="AY19" s="19"/>
      <c r="AZ19" s="19"/>
      <c r="BA19" s="19"/>
      <c r="BB19" s="19"/>
      <c r="BC19" s="14"/>
      <c r="BD19" s="13"/>
      <c r="BE19" s="13"/>
      <c r="BF19" s="13"/>
      <c r="BG19" s="13"/>
      <c r="BH19" s="10"/>
      <c r="BI19" s="19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8"/>
      <c r="BX19" s="8"/>
      <c r="BY19" s="8"/>
      <c r="BZ19" s="9"/>
      <c r="CA19" s="9"/>
      <c r="CB19" s="9"/>
    </row>
    <row r="20" spans="1:93" ht="15" customHeight="1" x14ac:dyDescent="0.25">
      <c r="A20" s="8"/>
      <c r="B20" s="8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9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9"/>
      <c r="AA20" s="10"/>
      <c r="AB20" s="10"/>
      <c r="AC20" s="10"/>
      <c r="AD20" s="19"/>
      <c r="AE20" s="13"/>
      <c r="AF20" s="13"/>
      <c r="AG20" s="13"/>
      <c r="AH20" s="13"/>
      <c r="AI20" s="19"/>
      <c r="AJ20" s="19"/>
      <c r="AK20" s="19"/>
      <c r="AL20" s="19"/>
      <c r="AM20" s="19"/>
      <c r="AN20" s="19"/>
      <c r="AO20" s="19"/>
      <c r="AP20" s="19"/>
      <c r="AQ20" s="13"/>
      <c r="AR20" s="13"/>
      <c r="AS20" s="13"/>
      <c r="AT20" s="19"/>
      <c r="AU20" s="19"/>
      <c r="AV20" s="13"/>
      <c r="AW20" s="13"/>
      <c r="AX20" s="19"/>
      <c r="AY20" s="19"/>
      <c r="AZ20" s="19"/>
      <c r="BA20" s="19"/>
      <c r="BB20" s="19"/>
      <c r="BC20" s="19"/>
      <c r="BD20" s="19"/>
      <c r="BE20" s="13"/>
      <c r="BF20" s="13"/>
      <c r="BG20" s="13"/>
      <c r="BH20" s="10"/>
      <c r="BI20" s="19"/>
      <c r="BJ20" s="19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8"/>
      <c r="BX20" s="8"/>
      <c r="BY20" s="8"/>
      <c r="BZ20" s="9"/>
      <c r="CA20" s="9"/>
      <c r="CB20" s="9"/>
      <c r="CO20" s="12">
        <f>ColorFunction(AP32,AA39:BJ62,FALSE)</f>
        <v>201</v>
      </c>
    </row>
    <row r="21" spans="1:93" ht="15" customHeight="1" x14ac:dyDescent="0.25">
      <c r="A21" s="8"/>
      <c r="B21" s="8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9"/>
      <c r="P21" s="19"/>
      <c r="Q21" s="19"/>
      <c r="R21" s="10"/>
      <c r="S21" s="10"/>
      <c r="T21" s="10"/>
      <c r="U21" s="10"/>
      <c r="V21" s="10"/>
      <c r="W21" s="10"/>
      <c r="X21" s="19"/>
      <c r="Y21" s="10"/>
      <c r="Z21" s="10"/>
      <c r="AA21" s="10"/>
      <c r="AB21" s="19"/>
      <c r="AC21" s="10"/>
      <c r="AD21" s="13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3"/>
      <c r="AU21" s="13"/>
      <c r="AV21" s="14"/>
      <c r="AW21" s="19"/>
      <c r="AX21" s="14"/>
      <c r="AY21" s="19"/>
      <c r="AZ21" s="19"/>
      <c r="BA21" s="19"/>
      <c r="BB21" s="14"/>
      <c r="BC21" s="14"/>
      <c r="BD21" s="19"/>
      <c r="BE21" s="19"/>
      <c r="BF21" s="19"/>
      <c r="BG21" s="19"/>
      <c r="BH21" s="10"/>
      <c r="BI21" s="19"/>
      <c r="BJ21" s="19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8"/>
      <c r="BX21" s="8"/>
      <c r="BY21" s="8"/>
      <c r="BZ21" s="9"/>
      <c r="CA21" s="9"/>
      <c r="CB21" s="9"/>
      <c r="CO21" s="12">
        <v>22</v>
      </c>
    </row>
    <row r="22" spans="1:93" ht="15" customHeight="1" x14ac:dyDescent="0.25">
      <c r="A22" s="8"/>
      <c r="B22" s="8"/>
      <c r="C22" s="10"/>
      <c r="D22" s="10"/>
      <c r="E22" s="10"/>
      <c r="F22" s="10"/>
      <c r="G22" s="10"/>
      <c r="H22" s="10"/>
      <c r="I22" s="19"/>
      <c r="J22" s="19"/>
      <c r="K22" s="10"/>
      <c r="L22" s="19"/>
      <c r="M22" s="19"/>
      <c r="N22" s="10"/>
      <c r="O22" s="10"/>
      <c r="P22" s="19"/>
      <c r="Q22" s="10"/>
      <c r="R22" s="10"/>
      <c r="S22" s="10"/>
      <c r="T22" s="19"/>
      <c r="U22" s="19"/>
      <c r="V22" s="10"/>
      <c r="W22" s="10"/>
      <c r="X22" s="10"/>
      <c r="Y22" s="19"/>
      <c r="Z22" s="10"/>
      <c r="AA22" s="10"/>
      <c r="AB22" s="19"/>
      <c r="AC22" s="19"/>
      <c r="AD22" s="13"/>
      <c r="AE22" s="19"/>
      <c r="AF22" s="19"/>
      <c r="AG22" s="19"/>
      <c r="AH22" s="19"/>
      <c r="AI22" s="19"/>
      <c r="AJ22" s="13"/>
      <c r="AK22" s="19"/>
      <c r="AL22" s="19"/>
      <c r="AM22" s="19"/>
      <c r="AN22" s="19"/>
      <c r="AO22" s="19"/>
      <c r="AP22" s="19"/>
      <c r="AQ22" s="19"/>
      <c r="AR22" s="13"/>
      <c r="AS22" s="19"/>
      <c r="AT22" s="13"/>
      <c r="AU22" s="13"/>
      <c r="AV22" s="14"/>
      <c r="AW22" s="19"/>
      <c r="AX22" s="19"/>
      <c r="AY22" s="19"/>
      <c r="AZ22" s="19"/>
      <c r="BA22" s="19"/>
      <c r="BB22" s="19"/>
      <c r="BC22" s="19"/>
      <c r="BD22" s="14"/>
      <c r="BE22" s="13"/>
      <c r="BF22" s="19"/>
      <c r="BG22" s="19"/>
      <c r="BH22" s="19"/>
      <c r="BI22" s="19"/>
      <c r="BJ22" s="19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8"/>
      <c r="BX22" s="8"/>
      <c r="BY22" s="8"/>
      <c r="BZ22" s="9"/>
      <c r="CA22" s="9"/>
      <c r="CB22" s="9"/>
    </row>
    <row r="23" spans="1:93" ht="15" customHeight="1" x14ac:dyDescent="0.25">
      <c r="A23" s="8"/>
      <c r="B23" s="8"/>
      <c r="C23" s="10"/>
      <c r="D23" s="10"/>
      <c r="E23" s="10"/>
      <c r="F23" s="10"/>
      <c r="G23" s="10"/>
      <c r="H23" s="10"/>
      <c r="I23" s="10"/>
      <c r="J23" s="19"/>
      <c r="K23" s="10"/>
      <c r="L23" s="19"/>
      <c r="M23" s="10"/>
      <c r="N23" s="10"/>
      <c r="O23" s="10"/>
      <c r="P23" s="10"/>
      <c r="Q23" s="19"/>
      <c r="R23" s="10"/>
      <c r="S23" s="10"/>
      <c r="T23" s="19"/>
      <c r="U23" s="19"/>
      <c r="V23" s="10"/>
      <c r="W23" s="10"/>
      <c r="X23" s="10"/>
      <c r="Y23" s="10"/>
      <c r="Z23" s="10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4"/>
      <c r="AW23" s="14"/>
      <c r="AX23" s="19"/>
      <c r="AY23" s="19"/>
      <c r="AZ23" s="19"/>
      <c r="BA23" s="19"/>
      <c r="BB23" s="19"/>
      <c r="BC23" s="19"/>
      <c r="BD23" s="19"/>
      <c r="BE23" s="13"/>
      <c r="BF23" s="19"/>
      <c r="BG23" s="19"/>
      <c r="BH23" s="13"/>
      <c r="BI23" s="19"/>
      <c r="BJ23" s="19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8"/>
      <c r="BX23" s="8"/>
      <c r="BY23" s="8"/>
      <c r="BZ23" s="9"/>
      <c r="CA23" s="9"/>
      <c r="CB23" s="9"/>
    </row>
    <row r="24" spans="1:93" ht="15" customHeight="1" x14ac:dyDescent="0.25">
      <c r="A24" s="8"/>
      <c r="B24" s="8"/>
      <c r="C24" s="10"/>
      <c r="D24" s="10"/>
      <c r="E24" s="10"/>
      <c r="F24" s="10"/>
      <c r="G24" s="10"/>
      <c r="H24" s="10"/>
      <c r="I24" s="10"/>
      <c r="J24" s="19"/>
      <c r="K24" s="10"/>
      <c r="L24" s="10"/>
      <c r="M24" s="19"/>
      <c r="N24" s="10"/>
      <c r="O24" s="10"/>
      <c r="P24" s="19"/>
      <c r="Q24" s="19"/>
      <c r="R24" s="10"/>
      <c r="S24" s="10"/>
      <c r="T24" s="19"/>
      <c r="U24" s="19"/>
      <c r="V24" s="19"/>
      <c r="W24" s="19"/>
      <c r="X24" s="14"/>
      <c r="Y24" s="14"/>
      <c r="Z24" s="19"/>
      <c r="AA24" s="19"/>
      <c r="AB24" s="19"/>
      <c r="AC24" s="14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4"/>
      <c r="AX24" s="19"/>
      <c r="AY24" s="19"/>
      <c r="AZ24" s="19"/>
      <c r="BA24" s="19"/>
      <c r="BB24" s="19"/>
      <c r="BC24" s="14"/>
      <c r="BD24" s="19"/>
      <c r="BE24" s="13"/>
      <c r="BF24" s="19"/>
      <c r="BG24" s="19"/>
      <c r="BH24" s="19"/>
      <c r="BI24" s="13"/>
      <c r="BJ24" s="19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8"/>
      <c r="BX24" s="8"/>
      <c r="BY24" s="8"/>
      <c r="BZ24" s="9"/>
      <c r="CA24" s="9"/>
      <c r="CB24" s="9"/>
    </row>
    <row r="25" spans="1:93" ht="15" customHeight="1" x14ac:dyDescent="0.25">
      <c r="A25" s="8"/>
      <c r="B25" s="8"/>
      <c r="C25" s="10"/>
      <c r="D25" s="10"/>
      <c r="E25" s="10"/>
      <c r="F25" s="10"/>
      <c r="G25" s="10"/>
      <c r="H25" s="10"/>
      <c r="I25" s="10"/>
      <c r="J25" s="10"/>
      <c r="K25" s="10"/>
      <c r="L25" s="19"/>
      <c r="M25" s="10"/>
      <c r="N25" s="19"/>
      <c r="O25" s="10"/>
      <c r="P25" s="19"/>
      <c r="Q25" s="19"/>
      <c r="R25" s="19"/>
      <c r="S25" s="14"/>
      <c r="T25" s="14"/>
      <c r="U25" s="14"/>
      <c r="V25" s="19"/>
      <c r="W25" s="19"/>
      <c r="X25" s="14"/>
      <c r="Y25" s="19"/>
      <c r="Z25" s="19"/>
      <c r="AA25" s="14"/>
      <c r="AB25" s="14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4"/>
      <c r="AU25" s="19"/>
      <c r="AV25" s="19"/>
      <c r="AW25" s="19"/>
      <c r="AX25" s="14"/>
      <c r="AY25" s="19"/>
      <c r="AZ25" s="19"/>
      <c r="BA25" s="19"/>
      <c r="BB25" s="19"/>
      <c r="BC25" s="19"/>
      <c r="BD25" s="19"/>
      <c r="BE25" s="13"/>
      <c r="BF25" s="13"/>
      <c r="BG25" s="19"/>
      <c r="BH25" s="19"/>
      <c r="BI25" s="19"/>
      <c r="BJ25" s="19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8"/>
      <c r="BX25" s="8"/>
      <c r="BY25" s="8"/>
      <c r="BZ25" s="9"/>
      <c r="CA25" s="9"/>
      <c r="CB25" s="9"/>
    </row>
    <row r="26" spans="1:93" ht="15" customHeight="1" x14ac:dyDescent="0.25">
      <c r="A26" s="8"/>
      <c r="B26" s="8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4"/>
      <c r="P26" s="19"/>
      <c r="Q26" s="14"/>
      <c r="R26" s="19"/>
      <c r="S26" s="14"/>
      <c r="T26" s="19"/>
      <c r="U26" s="15"/>
      <c r="V26" s="19"/>
      <c r="W26" s="19"/>
      <c r="X26" s="15"/>
      <c r="Y26" s="19"/>
      <c r="Z26" s="19"/>
      <c r="AA26" s="19"/>
      <c r="AB26" s="19"/>
      <c r="AC26" s="19"/>
      <c r="AD26" s="15"/>
      <c r="AE26" s="15"/>
      <c r="AF26" s="19"/>
      <c r="AG26" s="19"/>
      <c r="AH26" s="19"/>
      <c r="AI26" s="19"/>
      <c r="AJ26" s="19"/>
      <c r="AK26" s="15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4"/>
      <c r="AW26" s="19"/>
      <c r="AX26" s="19"/>
      <c r="AY26" s="19"/>
      <c r="AZ26" s="14"/>
      <c r="BA26" s="19"/>
      <c r="BB26" s="19"/>
      <c r="BC26" s="14"/>
      <c r="BD26" s="14"/>
      <c r="BE26" s="19"/>
      <c r="BF26" s="19"/>
      <c r="BG26" s="19"/>
      <c r="BH26" s="13"/>
      <c r="BI26" s="19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8"/>
      <c r="BX26" s="8"/>
      <c r="BY26" s="8"/>
      <c r="BZ26" s="9"/>
      <c r="CA26" s="9"/>
      <c r="CB26" s="9"/>
    </row>
    <row r="27" spans="1:93" ht="15" customHeight="1" x14ac:dyDescent="0.25">
      <c r="A27" s="8"/>
      <c r="B27" s="8"/>
      <c r="C27" s="10"/>
      <c r="D27" s="10"/>
      <c r="E27" s="10"/>
      <c r="F27" s="10"/>
      <c r="G27" s="10"/>
      <c r="H27" s="10"/>
      <c r="I27" s="10"/>
      <c r="J27" s="10"/>
      <c r="K27" s="10"/>
      <c r="L27" s="19"/>
      <c r="M27" s="10"/>
      <c r="N27" s="19"/>
      <c r="O27" s="14"/>
      <c r="P27" s="19"/>
      <c r="Q27" s="19"/>
      <c r="R27" s="14"/>
      <c r="S27" s="14"/>
      <c r="T27" s="19"/>
      <c r="U27" s="15"/>
      <c r="V27" s="19"/>
      <c r="W27" s="19"/>
      <c r="X27" s="15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5"/>
      <c r="AT27" s="19"/>
      <c r="AU27" s="19"/>
      <c r="AV27" s="19"/>
      <c r="AW27" s="19"/>
      <c r="AX27" s="19"/>
      <c r="AY27" s="19"/>
      <c r="AZ27" s="19"/>
      <c r="BA27" s="19"/>
      <c r="BB27" s="19"/>
      <c r="BC27" s="13"/>
      <c r="BD27" s="13"/>
      <c r="BE27" s="19"/>
      <c r="BF27" s="19"/>
      <c r="BG27" s="19"/>
      <c r="BH27" s="19"/>
      <c r="BI27" s="19"/>
      <c r="BJ27" s="19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8"/>
      <c r="BX27" s="8"/>
      <c r="BY27" s="8"/>
      <c r="BZ27" s="9"/>
      <c r="CA27" s="9"/>
      <c r="CB27" s="9"/>
    </row>
    <row r="28" spans="1:93" ht="15" customHeight="1" x14ac:dyDescent="0.25">
      <c r="A28" s="8"/>
      <c r="B28" s="8"/>
      <c r="C28" s="10"/>
      <c r="D28" s="10"/>
      <c r="E28" s="10"/>
      <c r="F28" s="10"/>
      <c r="G28" s="10"/>
      <c r="H28" s="10"/>
      <c r="I28" s="19"/>
      <c r="J28" s="10"/>
      <c r="K28" s="10"/>
      <c r="L28" s="19"/>
      <c r="M28" s="14"/>
      <c r="N28" s="14"/>
      <c r="O28" s="19"/>
      <c r="P28" s="19"/>
      <c r="Q28" s="19"/>
      <c r="R28" s="15"/>
      <c r="S28" s="15"/>
      <c r="T28" s="19"/>
      <c r="U28" s="19"/>
      <c r="V28" s="19"/>
      <c r="W28" s="19"/>
      <c r="X28" s="19"/>
      <c r="Y28" s="19"/>
      <c r="Z28" s="19"/>
      <c r="AA28" s="19"/>
      <c r="AB28" s="15"/>
      <c r="AC28" s="19"/>
      <c r="AD28" s="19"/>
      <c r="AE28" s="19"/>
      <c r="AF28" s="19"/>
      <c r="AG28" s="19"/>
      <c r="AH28" s="19"/>
      <c r="AI28" s="15"/>
      <c r="AJ28" s="15"/>
      <c r="AK28" s="19"/>
      <c r="AL28" s="19"/>
      <c r="AM28" s="19"/>
      <c r="AN28" s="19"/>
      <c r="AO28" s="19"/>
      <c r="AP28" s="19"/>
      <c r="AQ28" s="19"/>
      <c r="AR28" s="19"/>
      <c r="AS28" s="15"/>
      <c r="AT28" s="19"/>
      <c r="AU28" s="19"/>
      <c r="AV28" s="19"/>
      <c r="AW28" s="19"/>
      <c r="AX28" s="19"/>
      <c r="AY28" s="19"/>
      <c r="AZ28" s="19"/>
      <c r="BA28" s="19"/>
      <c r="BB28" s="13"/>
      <c r="BC28" s="19"/>
      <c r="BD28" s="19"/>
      <c r="BE28" s="19"/>
      <c r="BF28" s="13"/>
      <c r="BG28" s="19"/>
      <c r="BH28" s="19"/>
      <c r="BI28" s="19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8"/>
      <c r="BX28" s="8"/>
      <c r="BY28" s="8"/>
      <c r="BZ28" s="9"/>
      <c r="CA28" s="9"/>
      <c r="CB28" s="9"/>
    </row>
    <row r="29" spans="1:93" ht="15" customHeight="1" x14ac:dyDescent="0.25">
      <c r="A29" s="8"/>
      <c r="B29" s="8"/>
      <c r="C29" s="10"/>
      <c r="D29" s="10"/>
      <c r="E29" s="10"/>
      <c r="F29" s="10"/>
      <c r="G29" s="10"/>
      <c r="H29" s="10"/>
      <c r="I29" s="10"/>
      <c r="J29" s="10"/>
      <c r="K29" s="10"/>
      <c r="L29" s="19"/>
      <c r="M29" s="14"/>
      <c r="N29" s="14"/>
      <c r="O29" s="19"/>
      <c r="P29" s="19"/>
      <c r="Q29" s="19"/>
      <c r="R29" s="19"/>
      <c r="S29" s="19"/>
      <c r="T29" s="19"/>
      <c r="U29" s="19"/>
      <c r="V29" s="16"/>
      <c r="W29" s="16"/>
      <c r="X29" s="16"/>
      <c r="Y29" s="16"/>
      <c r="Z29" s="19"/>
      <c r="AA29" s="19"/>
      <c r="AB29" s="16"/>
      <c r="AC29" s="19"/>
      <c r="AD29" s="19"/>
      <c r="AE29" s="19"/>
      <c r="AF29" s="19"/>
      <c r="AG29" s="19"/>
      <c r="AH29" s="16"/>
      <c r="AI29" s="16"/>
      <c r="AJ29" s="19"/>
      <c r="AK29" s="16"/>
      <c r="AL29" s="19"/>
      <c r="AM29" s="19"/>
      <c r="AN29" s="19"/>
      <c r="AO29" s="19"/>
      <c r="AP29" s="19"/>
      <c r="AQ29" s="19"/>
      <c r="AR29" s="15"/>
      <c r="AS29" s="19"/>
      <c r="AT29" s="19"/>
      <c r="AU29" s="19"/>
      <c r="AV29" s="14"/>
      <c r="AW29" s="19"/>
      <c r="AX29" s="19"/>
      <c r="AY29" s="19"/>
      <c r="AZ29" s="19"/>
      <c r="BA29" s="19"/>
      <c r="BB29" s="19"/>
      <c r="BC29" s="19"/>
      <c r="BD29" s="13"/>
      <c r="BE29" s="19"/>
      <c r="BF29" s="19"/>
      <c r="BG29" s="19"/>
      <c r="BH29" s="19"/>
      <c r="BI29" s="19"/>
      <c r="BJ29" s="19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8"/>
      <c r="BX29" s="8"/>
      <c r="BY29" s="8"/>
      <c r="BZ29" s="9"/>
      <c r="CA29" s="9"/>
      <c r="CB29" s="9"/>
    </row>
    <row r="30" spans="1:93" ht="15" customHeight="1" x14ac:dyDescent="0.25">
      <c r="A30" s="8"/>
      <c r="B30" s="8"/>
      <c r="C30" s="10"/>
      <c r="D30" s="10"/>
      <c r="E30" s="10"/>
      <c r="F30" s="10"/>
      <c r="G30" s="10"/>
      <c r="H30" s="10"/>
      <c r="I30" s="10"/>
      <c r="J30" s="14"/>
      <c r="K30" s="14"/>
      <c r="L30" s="19"/>
      <c r="M30" s="19"/>
      <c r="N30" s="14"/>
      <c r="O30" s="19"/>
      <c r="P30" s="19"/>
      <c r="Q30" s="19"/>
      <c r="R30" s="19"/>
      <c r="S30" s="15"/>
      <c r="T30" s="19"/>
      <c r="U30" s="16"/>
      <c r="V30" s="16"/>
      <c r="W30" s="16"/>
      <c r="X30" s="16"/>
      <c r="Y30" s="16"/>
      <c r="Z30" s="19"/>
      <c r="AA30" s="19"/>
      <c r="AB30" s="16"/>
      <c r="AC30" s="16"/>
      <c r="AD30" s="19"/>
      <c r="AE30" s="19"/>
      <c r="AF30" s="19"/>
      <c r="AG30" s="19"/>
      <c r="AH30" s="19"/>
      <c r="AI30" s="19"/>
      <c r="AJ30" s="16"/>
      <c r="AK30" s="16"/>
      <c r="AL30" s="19"/>
      <c r="AM30" s="19"/>
      <c r="AN30" s="19"/>
      <c r="AO30" s="19"/>
      <c r="AP30" s="19"/>
      <c r="AQ30" s="19"/>
      <c r="AR30" s="19"/>
      <c r="AS30" s="15"/>
      <c r="AT30" s="19"/>
      <c r="AU30" s="19"/>
      <c r="AV30" s="14"/>
      <c r="AW30" s="19"/>
      <c r="AX30" s="19"/>
      <c r="AY30" s="19"/>
      <c r="AZ30" s="14"/>
      <c r="BA30" s="19"/>
      <c r="BB30" s="19"/>
      <c r="BC30" s="13"/>
      <c r="BD30" s="13"/>
      <c r="BE30" s="19"/>
      <c r="BF30" s="13"/>
      <c r="BG30" s="13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8"/>
      <c r="BX30" s="8"/>
      <c r="BY30" s="8"/>
      <c r="BZ30" s="9"/>
      <c r="CA30" s="9"/>
      <c r="CB30" s="9"/>
    </row>
    <row r="31" spans="1:93" ht="15" customHeight="1" x14ac:dyDescent="0.25">
      <c r="A31" s="8"/>
      <c r="B31" s="8"/>
      <c r="C31" s="10"/>
      <c r="D31" s="10"/>
      <c r="E31" s="10"/>
      <c r="F31" s="10"/>
      <c r="G31" s="10"/>
      <c r="H31" s="13"/>
      <c r="I31" s="14"/>
      <c r="J31" s="14"/>
      <c r="K31" s="19"/>
      <c r="L31" s="14"/>
      <c r="M31" s="19"/>
      <c r="N31" s="14"/>
      <c r="O31" s="19"/>
      <c r="P31" s="15"/>
      <c r="Q31" s="19"/>
      <c r="R31" s="15"/>
      <c r="S31" s="15"/>
      <c r="T31" s="15"/>
      <c r="U31" s="19"/>
      <c r="V31" s="16"/>
      <c r="W31" s="16"/>
      <c r="X31" s="19"/>
      <c r="Y31" s="19"/>
      <c r="Z31" s="19"/>
      <c r="AA31" s="19"/>
      <c r="AB31" s="16"/>
      <c r="AC31" s="16"/>
      <c r="AD31" s="16"/>
      <c r="AE31" s="19"/>
      <c r="AF31" s="19"/>
      <c r="AG31" s="19"/>
      <c r="AH31" s="19"/>
      <c r="AI31" s="19"/>
      <c r="AJ31" s="19"/>
      <c r="AK31" s="19"/>
      <c r="AL31" s="16"/>
      <c r="AM31" s="19"/>
      <c r="AN31" s="19"/>
      <c r="AO31" s="19"/>
      <c r="AP31" s="19"/>
      <c r="AQ31" s="19"/>
      <c r="AR31" s="15"/>
      <c r="AS31" s="19"/>
      <c r="AT31" s="15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3"/>
      <c r="BG31" s="19"/>
      <c r="BH31" s="19"/>
      <c r="BI31" s="19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8"/>
      <c r="BX31" s="8"/>
      <c r="BY31" s="8"/>
      <c r="BZ31" s="9"/>
      <c r="CA31" s="9"/>
      <c r="CB31" s="9"/>
    </row>
    <row r="32" spans="1:93" ht="15" customHeight="1" x14ac:dyDescent="0.25">
      <c r="A32" s="8"/>
      <c r="B32" s="8"/>
      <c r="C32" s="10"/>
      <c r="D32" s="10"/>
      <c r="E32" s="10"/>
      <c r="F32" s="13"/>
      <c r="G32" s="13"/>
      <c r="H32" s="13"/>
      <c r="I32" s="14"/>
      <c r="J32" s="14"/>
      <c r="K32" s="14"/>
      <c r="L32" s="14"/>
      <c r="M32" s="19"/>
      <c r="N32" s="14"/>
      <c r="O32" s="19"/>
      <c r="P32" s="19"/>
      <c r="Q32" s="19"/>
      <c r="R32" s="15"/>
      <c r="S32" s="15"/>
      <c r="T32" s="15"/>
      <c r="U32" s="19"/>
      <c r="V32" s="19"/>
      <c r="W32" s="19"/>
      <c r="X32" s="19"/>
      <c r="Y32" s="16"/>
      <c r="Z32" s="19"/>
      <c r="AA32" s="19"/>
      <c r="AB32" s="19"/>
      <c r="AC32" s="19"/>
      <c r="AD32" s="16"/>
      <c r="AE32" s="19"/>
      <c r="AF32" s="16"/>
      <c r="AG32" s="19"/>
      <c r="AH32" s="16"/>
      <c r="AI32" s="16"/>
      <c r="AJ32" s="19"/>
      <c r="AK32" s="16"/>
      <c r="AL32" s="19"/>
      <c r="AM32" s="16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3"/>
      <c r="BC32" s="13"/>
      <c r="BD32" s="13"/>
      <c r="BE32" s="19"/>
      <c r="BF32" s="13"/>
      <c r="BG32" s="13"/>
      <c r="BH32" s="19"/>
      <c r="BI32" s="19"/>
      <c r="BJ32" s="19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8"/>
      <c r="BX32" s="8"/>
      <c r="BY32" s="8"/>
      <c r="BZ32" s="9"/>
      <c r="CA32" s="9"/>
      <c r="CB32" s="9"/>
    </row>
    <row r="33" spans="1:80" ht="15" customHeight="1" x14ac:dyDescent="0.25">
      <c r="A33" s="8"/>
      <c r="B33" s="8"/>
      <c r="C33" s="10"/>
      <c r="D33" s="10"/>
      <c r="E33" s="13"/>
      <c r="F33" s="13"/>
      <c r="G33" s="13"/>
      <c r="H33" s="13"/>
      <c r="I33" s="14"/>
      <c r="J33" s="14"/>
      <c r="K33" s="14"/>
      <c r="L33" s="14"/>
      <c r="M33" s="14"/>
      <c r="N33" s="19"/>
      <c r="O33" s="19"/>
      <c r="P33" s="15"/>
      <c r="Q33" s="19"/>
      <c r="R33" s="15"/>
      <c r="S33" s="15"/>
      <c r="T33" s="15"/>
      <c r="U33" s="16"/>
      <c r="V33" s="16"/>
      <c r="W33" s="19"/>
      <c r="X33" s="19"/>
      <c r="Y33" s="16"/>
      <c r="Z33" s="16"/>
      <c r="AA33" s="16"/>
      <c r="AB33" s="19"/>
      <c r="AC33" s="19"/>
      <c r="AD33" s="19"/>
      <c r="AE33" s="16"/>
      <c r="AF33" s="16"/>
      <c r="AG33" s="19"/>
      <c r="AH33" s="16"/>
      <c r="AI33" s="16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4"/>
      <c r="AV33" s="19"/>
      <c r="AW33" s="19"/>
      <c r="AX33" s="19"/>
      <c r="AY33" s="19"/>
      <c r="AZ33" s="19"/>
      <c r="BA33" s="19"/>
      <c r="BB33" s="19"/>
      <c r="BC33" s="19"/>
      <c r="BD33" s="19"/>
      <c r="BE33" s="13"/>
      <c r="BF33" s="19"/>
      <c r="BG33" s="19"/>
      <c r="BH33" s="19"/>
      <c r="BI33" s="13"/>
      <c r="BJ33" s="13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8"/>
      <c r="BX33" s="8"/>
      <c r="BY33" s="8"/>
      <c r="BZ33" s="9"/>
      <c r="CA33" s="9"/>
      <c r="CB33" s="9"/>
    </row>
    <row r="34" spans="1:80" ht="15" customHeight="1" x14ac:dyDescent="0.25">
      <c r="A34" s="8"/>
      <c r="B34" s="8"/>
      <c r="C34" s="10"/>
      <c r="D34" s="10"/>
      <c r="E34" s="13"/>
      <c r="F34" s="13"/>
      <c r="G34" s="13"/>
      <c r="H34" s="13"/>
      <c r="I34" s="14"/>
      <c r="J34" s="14"/>
      <c r="K34" s="19"/>
      <c r="L34" s="14"/>
      <c r="M34" s="14"/>
      <c r="N34" s="14"/>
      <c r="O34" s="14"/>
      <c r="P34" s="15"/>
      <c r="Q34" s="15"/>
      <c r="R34" s="15"/>
      <c r="S34" s="19"/>
      <c r="T34" s="15"/>
      <c r="U34" s="16"/>
      <c r="V34" s="16"/>
      <c r="W34" s="19"/>
      <c r="X34" s="19"/>
      <c r="Y34" s="19"/>
      <c r="Z34" s="19"/>
      <c r="AA34" s="16"/>
      <c r="AB34" s="19"/>
      <c r="AC34" s="19"/>
      <c r="AD34" s="16"/>
      <c r="AE34" s="19"/>
      <c r="AF34" s="19"/>
      <c r="AG34" s="19"/>
      <c r="AH34" s="19"/>
      <c r="AI34" s="19"/>
      <c r="AJ34" s="19"/>
      <c r="AK34" s="16"/>
      <c r="AL34" s="19"/>
      <c r="AM34" s="19"/>
      <c r="AN34" s="19"/>
      <c r="AO34" s="19"/>
      <c r="AP34" s="19"/>
      <c r="AQ34" s="19"/>
      <c r="AR34" s="19"/>
      <c r="AS34" s="19"/>
      <c r="AT34" s="19"/>
      <c r="AU34" s="14"/>
      <c r="AV34" s="19"/>
      <c r="AW34" s="19"/>
      <c r="AX34" s="19"/>
      <c r="AY34" s="19"/>
      <c r="AZ34" s="19"/>
      <c r="BA34" s="14"/>
      <c r="BB34" s="19"/>
      <c r="BC34" s="13"/>
      <c r="BD34" s="19"/>
      <c r="BE34" s="19"/>
      <c r="BF34" s="19"/>
      <c r="BG34" s="19"/>
      <c r="BH34" s="13"/>
      <c r="BI34" s="13"/>
      <c r="BJ34" s="13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8"/>
      <c r="BX34" s="8"/>
      <c r="BY34" s="8"/>
      <c r="BZ34" s="9"/>
      <c r="CA34" s="9"/>
      <c r="CB34" s="9"/>
    </row>
    <row r="35" spans="1:80" ht="15" customHeight="1" x14ac:dyDescent="0.25">
      <c r="A35" s="8"/>
      <c r="B35" s="8"/>
      <c r="C35" s="10"/>
      <c r="D35" s="10"/>
      <c r="E35" s="13"/>
      <c r="F35" s="13"/>
      <c r="G35" s="13"/>
      <c r="H35" s="13"/>
      <c r="I35" s="14"/>
      <c r="J35" s="19"/>
      <c r="K35" s="14"/>
      <c r="L35" s="14"/>
      <c r="M35" s="19"/>
      <c r="N35" s="19"/>
      <c r="O35" s="14"/>
      <c r="P35" s="15"/>
      <c r="Q35" s="15"/>
      <c r="R35" s="15"/>
      <c r="S35" s="15"/>
      <c r="T35" s="15"/>
      <c r="U35" s="19"/>
      <c r="V35" s="16"/>
      <c r="W35" s="19"/>
      <c r="X35" s="19"/>
      <c r="Y35" s="19"/>
      <c r="Z35" s="16"/>
      <c r="AA35" s="16"/>
      <c r="AB35" s="16"/>
      <c r="AC35" s="19"/>
      <c r="AD35" s="19"/>
      <c r="AE35" s="16"/>
      <c r="AF35" s="19"/>
      <c r="AG35" s="19"/>
      <c r="AH35" s="19"/>
      <c r="AI35" s="19"/>
      <c r="AJ35" s="19"/>
      <c r="AK35" s="16"/>
      <c r="AL35" s="19"/>
      <c r="AM35" s="19"/>
      <c r="AN35" s="16"/>
      <c r="AO35" s="15"/>
      <c r="AP35" s="19"/>
      <c r="AQ35" s="19"/>
      <c r="AR35" s="19"/>
      <c r="AS35" s="15"/>
      <c r="AT35" s="19"/>
      <c r="AU35" s="19"/>
      <c r="AV35" s="14"/>
      <c r="AW35" s="19"/>
      <c r="AX35" s="19"/>
      <c r="AY35" s="19"/>
      <c r="AZ35" s="19"/>
      <c r="BA35" s="19"/>
      <c r="BB35" s="19"/>
      <c r="BC35" s="19"/>
      <c r="BD35" s="19"/>
      <c r="BE35" s="13"/>
      <c r="BF35" s="19"/>
      <c r="BG35" s="19"/>
      <c r="BH35" s="19"/>
      <c r="BI35" s="19"/>
      <c r="BJ35" s="13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8"/>
      <c r="BX35" s="8"/>
      <c r="BY35" s="8"/>
      <c r="BZ35" s="9"/>
      <c r="CA35" s="9"/>
      <c r="CB35" s="9"/>
    </row>
    <row r="36" spans="1:80" ht="15" customHeight="1" x14ac:dyDescent="0.25">
      <c r="A36" s="8"/>
      <c r="B36" s="8"/>
      <c r="C36" s="10"/>
      <c r="D36" s="10"/>
      <c r="E36" s="13"/>
      <c r="F36" s="13"/>
      <c r="G36" s="13"/>
      <c r="H36" s="13"/>
      <c r="I36" s="14"/>
      <c r="J36" s="19"/>
      <c r="K36" s="19"/>
      <c r="L36" s="14"/>
      <c r="M36" s="19"/>
      <c r="N36" s="14"/>
      <c r="O36" s="14"/>
      <c r="P36" s="15"/>
      <c r="Q36" s="15"/>
      <c r="R36" s="15"/>
      <c r="S36" s="15"/>
      <c r="T36" s="15"/>
      <c r="U36" s="19"/>
      <c r="V36" s="19"/>
      <c r="W36" s="19"/>
      <c r="X36" s="16"/>
      <c r="Y36" s="19"/>
      <c r="Z36" s="19"/>
      <c r="AA36" s="16"/>
      <c r="AB36" s="16"/>
      <c r="AC36" s="19"/>
      <c r="AD36" s="19"/>
      <c r="AE36" s="16"/>
      <c r="AF36" s="19"/>
      <c r="AG36" s="16"/>
      <c r="AH36" s="16"/>
      <c r="AI36" s="16"/>
      <c r="AJ36" s="16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3"/>
      <c r="BF36" s="13"/>
      <c r="BG36" s="13"/>
      <c r="BH36" s="13"/>
      <c r="BI36" s="13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8"/>
      <c r="BX36" s="8"/>
      <c r="BY36" s="8"/>
      <c r="BZ36" s="9"/>
      <c r="CA36" s="9"/>
      <c r="CB36" s="9"/>
    </row>
    <row r="37" spans="1:80" ht="15" customHeight="1" x14ac:dyDescent="0.25">
      <c r="A37" s="8"/>
      <c r="B37" s="8"/>
      <c r="C37" s="10"/>
      <c r="D37" s="10"/>
      <c r="E37" s="13"/>
      <c r="F37" s="13"/>
      <c r="G37" s="13"/>
      <c r="H37" s="13"/>
      <c r="I37" s="14"/>
      <c r="J37" s="14"/>
      <c r="K37" s="19"/>
      <c r="L37" s="14"/>
      <c r="M37" s="19"/>
      <c r="N37" s="19"/>
      <c r="O37" s="14"/>
      <c r="P37" s="15"/>
      <c r="Q37" s="15"/>
      <c r="R37" s="15"/>
      <c r="S37" s="19"/>
      <c r="T37" s="15"/>
      <c r="U37" s="16"/>
      <c r="V37" s="16"/>
      <c r="W37" s="19"/>
      <c r="X37" s="16"/>
      <c r="Y37" s="19"/>
      <c r="Z37" s="19"/>
      <c r="AA37" s="16"/>
      <c r="AB37" s="16"/>
      <c r="AC37" s="16"/>
      <c r="AD37" s="19"/>
      <c r="AE37" s="16"/>
      <c r="AF37" s="16"/>
      <c r="AG37" s="19"/>
      <c r="AH37" s="16"/>
      <c r="AI37" s="16"/>
      <c r="AJ37" s="19"/>
      <c r="AK37" s="16"/>
      <c r="AL37" s="16"/>
      <c r="AM37" s="16"/>
      <c r="AN37" s="19"/>
      <c r="AO37" s="19"/>
      <c r="AP37" s="15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3"/>
      <c r="BE37" s="13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8"/>
      <c r="BX37" s="8"/>
      <c r="BY37" s="8"/>
      <c r="BZ37" s="9"/>
      <c r="CA37" s="9"/>
      <c r="CB37" s="9"/>
    </row>
    <row r="38" spans="1:80" ht="15" customHeight="1" x14ac:dyDescent="0.25">
      <c r="A38" s="8"/>
      <c r="B38" s="8"/>
      <c r="C38" s="10"/>
      <c r="D38" s="10"/>
      <c r="E38" s="13"/>
      <c r="F38" s="13"/>
      <c r="G38" s="13"/>
      <c r="H38" s="13"/>
      <c r="I38" s="14"/>
      <c r="J38" s="14"/>
      <c r="K38" s="19"/>
      <c r="L38" s="14"/>
      <c r="M38" s="14"/>
      <c r="N38" s="19"/>
      <c r="O38" s="14"/>
      <c r="P38" s="15"/>
      <c r="Q38" s="15"/>
      <c r="R38" s="15"/>
      <c r="S38" s="19"/>
      <c r="T38" s="15"/>
      <c r="U38" s="19"/>
      <c r="V38" s="16"/>
      <c r="W38" s="16"/>
      <c r="X38" s="19"/>
      <c r="Y38" s="19"/>
      <c r="Z38" s="16"/>
      <c r="AA38" s="16"/>
      <c r="AB38" s="16"/>
      <c r="AC38" s="16"/>
      <c r="AD38" s="19"/>
      <c r="AE38" s="16"/>
      <c r="AF38" s="16"/>
      <c r="AG38" s="19"/>
      <c r="AH38" s="19"/>
      <c r="AI38" s="16"/>
      <c r="AJ38" s="19"/>
      <c r="AK38" s="16"/>
      <c r="AL38" s="16"/>
      <c r="AM38" s="19"/>
      <c r="AN38" s="16"/>
      <c r="AO38" s="15"/>
      <c r="AP38" s="19"/>
      <c r="AQ38" s="19"/>
      <c r="AR38" s="15"/>
      <c r="AS38" s="19"/>
      <c r="AT38" s="15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3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8"/>
      <c r="BX38" s="8"/>
      <c r="BY38" s="8"/>
      <c r="BZ38" s="9"/>
      <c r="CA38" s="9"/>
      <c r="CB38" s="9"/>
    </row>
    <row r="39" spans="1:80" ht="15" customHeight="1" x14ac:dyDescent="0.25">
      <c r="A39" s="8"/>
      <c r="B39" s="8"/>
      <c r="C39" s="10"/>
      <c r="D39" s="10"/>
      <c r="E39" s="13"/>
      <c r="F39" s="13"/>
      <c r="G39" s="13"/>
      <c r="H39" s="13"/>
      <c r="I39" s="14"/>
      <c r="J39" s="14"/>
      <c r="K39" s="19"/>
      <c r="L39" s="14"/>
      <c r="M39" s="14"/>
      <c r="N39" s="14"/>
      <c r="O39" s="14"/>
      <c r="P39" s="15"/>
      <c r="Q39" s="15"/>
      <c r="R39" s="15"/>
      <c r="S39" s="19"/>
      <c r="T39" s="15"/>
      <c r="U39" s="16"/>
      <c r="V39" s="16"/>
      <c r="W39" s="16"/>
      <c r="X39" s="16"/>
      <c r="Y39" s="16"/>
      <c r="Z39" s="16"/>
      <c r="AA39" s="16"/>
      <c r="AB39" s="19"/>
      <c r="AC39" s="19"/>
      <c r="AD39" s="16"/>
      <c r="AE39" s="16"/>
      <c r="AF39" s="19"/>
      <c r="AG39" s="19"/>
      <c r="AH39" s="19"/>
      <c r="AI39" s="16"/>
      <c r="AJ39" s="16"/>
      <c r="AK39" s="16"/>
      <c r="AL39" s="16"/>
      <c r="AM39" s="16"/>
      <c r="AN39" s="16"/>
      <c r="AO39" s="19"/>
      <c r="AP39" s="19"/>
      <c r="AQ39" s="19"/>
      <c r="AR39" s="15"/>
      <c r="AS39" s="14"/>
      <c r="AT39" s="19"/>
      <c r="AU39" s="14"/>
      <c r="AV39" s="14"/>
      <c r="AW39" s="19"/>
      <c r="AX39" s="14"/>
      <c r="AY39" s="19"/>
      <c r="AZ39" s="19"/>
      <c r="BA39" s="19"/>
      <c r="BB39" s="13"/>
      <c r="BC39" s="19"/>
      <c r="BD39" s="13"/>
      <c r="BE39" s="13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8"/>
      <c r="BX39" s="8"/>
      <c r="BY39" s="8"/>
      <c r="BZ39" s="9"/>
      <c r="CA39" s="9"/>
      <c r="CB39" s="9"/>
    </row>
    <row r="40" spans="1:80" ht="15" customHeight="1" x14ac:dyDescent="0.25">
      <c r="A40" s="8"/>
      <c r="B40" s="8"/>
      <c r="C40" s="10"/>
      <c r="D40" s="10"/>
      <c r="E40" s="13"/>
      <c r="F40" s="13"/>
      <c r="G40" s="13"/>
      <c r="H40" s="13"/>
      <c r="I40" s="14"/>
      <c r="J40" s="14"/>
      <c r="K40" s="14"/>
      <c r="L40" s="14"/>
      <c r="M40" s="14"/>
      <c r="N40" s="14"/>
      <c r="O40" s="14"/>
      <c r="P40" s="19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9"/>
      <c r="AI40" s="15"/>
      <c r="AJ40" s="19"/>
      <c r="AK40" s="15"/>
      <c r="AL40" s="15"/>
      <c r="AM40" s="15"/>
      <c r="AN40" s="19"/>
      <c r="AO40" s="19"/>
      <c r="AP40" s="15"/>
      <c r="AQ40" s="15"/>
      <c r="AR40" s="19"/>
      <c r="AS40" s="14"/>
      <c r="AT40" s="19"/>
      <c r="AU40" s="19"/>
      <c r="AV40" s="19"/>
      <c r="AW40" s="19"/>
      <c r="AX40" s="19"/>
      <c r="AY40" s="19"/>
      <c r="AZ40" s="19"/>
      <c r="BA40" s="19"/>
      <c r="BB40" s="19"/>
      <c r="BC40" s="13"/>
      <c r="BD40" s="13"/>
      <c r="BE40" s="13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8"/>
      <c r="BX40" s="8"/>
      <c r="BY40" s="8"/>
      <c r="BZ40" s="9"/>
      <c r="CA40" s="9"/>
      <c r="CB40" s="9"/>
    </row>
    <row r="41" spans="1:80" ht="15" customHeight="1" x14ac:dyDescent="0.25">
      <c r="A41" s="8"/>
      <c r="B41" s="8"/>
      <c r="C41" s="10"/>
      <c r="D41" s="10"/>
      <c r="E41" s="13"/>
      <c r="F41" s="13"/>
      <c r="G41" s="13"/>
      <c r="H41" s="13"/>
      <c r="I41" s="14"/>
      <c r="J41" s="14"/>
      <c r="K41" s="14"/>
      <c r="L41" s="14"/>
      <c r="M41" s="14"/>
      <c r="N41" s="14"/>
      <c r="O41" s="14"/>
      <c r="P41" s="15"/>
      <c r="Q41" s="15"/>
      <c r="R41" s="19"/>
      <c r="S41" s="15"/>
      <c r="T41" s="19"/>
      <c r="U41" s="19"/>
      <c r="V41" s="15"/>
      <c r="W41" s="15"/>
      <c r="X41" s="15"/>
      <c r="Y41" s="15"/>
      <c r="Z41" s="15"/>
      <c r="AA41" s="15"/>
      <c r="AB41" s="19"/>
      <c r="AC41" s="15"/>
      <c r="AD41" s="15"/>
      <c r="AE41" s="19"/>
      <c r="AF41" s="15"/>
      <c r="AG41" s="15"/>
      <c r="AH41" s="19"/>
      <c r="AI41" s="19"/>
      <c r="AJ41" s="19"/>
      <c r="AK41" s="15"/>
      <c r="AL41" s="19"/>
      <c r="AM41" s="15"/>
      <c r="AN41" s="19"/>
      <c r="AO41" s="19"/>
      <c r="AP41" s="19"/>
      <c r="AQ41" s="19"/>
      <c r="AR41" s="19"/>
      <c r="AS41" s="19"/>
      <c r="AT41" s="19"/>
      <c r="AU41" s="19"/>
      <c r="AV41" s="19"/>
      <c r="AW41" s="14"/>
      <c r="AX41" s="19"/>
      <c r="AY41" s="19"/>
      <c r="AZ41" s="19"/>
      <c r="BA41" s="19"/>
      <c r="BB41" s="19"/>
      <c r="BC41" s="19"/>
      <c r="BD41" s="13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8"/>
      <c r="BX41" s="8"/>
      <c r="BY41" s="8"/>
      <c r="BZ41" s="9"/>
      <c r="CA41" s="9"/>
      <c r="CB41" s="9"/>
    </row>
    <row r="42" spans="1:80" ht="15" customHeight="1" x14ac:dyDescent="0.25">
      <c r="A42" s="8"/>
      <c r="B42" s="8"/>
      <c r="C42" s="10"/>
      <c r="D42" s="10"/>
      <c r="E42" s="10"/>
      <c r="F42" s="13"/>
      <c r="G42" s="13"/>
      <c r="H42" s="13"/>
      <c r="I42" s="14"/>
      <c r="J42" s="19"/>
      <c r="K42" s="14"/>
      <c r="L42" s="14"/>
      <c r="M42" s="14"/>
      <c r="N42" s="14"/>
      <c r="O42" s="14"/>
      <c r="P42" s="15"/>
      <c r="Q42" s="15"/>
      <c r="R42" s="19"/>
      <c r="S42" s="15"/>
      <c r="T42" s="15"/>
      <c r="U42" s="15"/>
      <c r="V42" s="15"/>
      <c r="W42" s="15"/>
      <c r="X42" s="15"/>
      <c r="Y42" s="15"/>
      <c r="Z42" s="15"/>
      <c r="AA42" s="15"/>
      <c r="AB42" s="19"/>
      <c r="AC42" s="15"/>
      <c r="AD42" s="15"/>
      <c r="AE42" s="15"/>
      <c r="AF42" s="15"/>
      <c r="AG42" s="15"/>
      <c r="AH42" s="15"/>
      <c r="AI42" s="19"/>
      <c r="AJ42" s="19"/>
      <c r="AK42" s="15"/>
      <c r="AL42" s="15"/>
      <c r="AM42" s="15"/>
      <c r="AN42" s="15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3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8"/>
      <c r="BX42" s="8"/>
      <c r="BY42" s="8"/>
      <c r="BZ42" s="9"/>
      <c r="CA42" s="9"/>
      <c r="CB42" s="9"/>
    </row>
    <row r="43" spans="1:80" ht="15" customHeight="1" x14ac:dyDescent="0.25">
      <c r="A43" s="8"/>
      <c r="B43" s="8"/>
      <c r="C43" s="10"/>
      <c r="D43" s="10"/>
      <c r="E43" s="10"/>
      <c r="F43" s="10"/>
      <c r="G43" s="13"/>
      <c r="H43" s="13"/>
      <c r="I43" s="19"/>
      <c r="J43" s="19"/>
      <c r="K43" s="14"/>
      <c r="L43" s="14"/>
      <c r="M43" s="19"/>
      <c r="N43" s="14"/>
      <c r="O43" s="14"/>
      <c r="P43" s="15"/>
      <c r="Q43" s="15"/>
      <c r="R43" s="19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9"/>
      <c r="AM43" s="15"/>
      <c r="AN43" s="19"/>
      <c r="AO43" s="15"/>
      <c r="AP43" s="15"/>
      <c r="AQ43" s="19"/>
      <c r="AR43" s="19"/>
      <c r="AS43" s="19"/>
      <c r="AT43" s="19"/>
      <c r="AU43" s="19"/>
      <c r="AV43" s="14"/>
      <c r="AW43" s="19"/>
      <c r="AX43" s="19"/>
      <c r="AY43" s="19"/>
      <c r="AZ43" s="19"/>
      <c r="BA43" s="19"/>
      <c r="BB43" s="19"/>
      <c r="BC43" s="13"/>
      <c r="BD43" s="13"/>
      <c r="BE43" s="10"/>
      <c r="BF43" s="10"/>
      <c r="BG43" s="10"/>
      <c r="BH43" s="19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8"/>
      <c r="BX43" s="8"/>
      <c r="BY43" s="8"/>
      <c r="BZ43" s="9"/>
      <c r="CA43" s="9"/>
      <c r="CB43" s="9"/>
    </row>
    <row r="44" spans="1:80" ht="15" customHeight="1" x14ac:dyDescent="0.25">
      <c r="A44" s="8"/>
      <c r="B44" s="8"/>
      <c r="C44" s="10"/>
      <c r="D44" s="10"/>
      <c r="E44" s="10"/>
      <c r="F44" s="10"/>
      <c r="G44" s="10"/>
      <c r="H44" s="13"/>
      <c r="I44" s="14"/>
      <c r="J44" s="19"/>
      <c r="K44" s="14"/>
      <c r="L44" s="14"/>
      <c r="M44" s="14"/>
      <c r="N44" s="14"/>
      <c r="O44" s="14"/>
      <c r="P44" s="14"/>
      <c r="Q44" s="19"/>
      <c r="R44" s="14"/>
      <c r="S44" s="19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9"/>
      <c r="AO44" s="14"/>
      <c r="AP44" s="14"/>
      <c r="AQ44" s="19"/>
      <c r="AR44" s="19"/>
      <c r="AS44" s="19"/>
      <c r="AT44" s="19"/>
      <c r="AU44" s="19"/>
      <c r="AV44" s="19"/>
      <c r="AW44" s="19"/>
      <c r="AX44" s="19"/>
      <c r="AY44" s="13"/>
      <c r="AZ44" s="13"/>
      <c r="BA44" s="10"/>
      <c r="BB44" s="19"/>
      <c r="BC44" s="10"/>
      <c r="BD44" s="10"/>
      <c r="BE44" s="10"/>
      <c r="BF44" s="10"/>
      <c r="BG44" s="10"/>
      <c r="BH44" s="19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8"/>
      <c r="BX44" s="8"/>
      <c r="BY44" s="8"/>
      <c r="BZ44" s="9"/>
      <c r="CA44" s="9"/>
      <c r="CB44" s="9"/>
    </row>
    <row r="45" spans="1:80" ht="15" customHeight="1" x14ac:dyDescent="0.25">
      <c r="A45" s="8"/>
      <c r="B45" s="8"/>
      <c r="C45" s="10"/>
      <c r="D45" s="10"/>
      <c r="E45" s="10"/>
      <c r="F45" s="10"/>
      <c r="G45" s="10"/>
      <c r="H45" s="10"/>
      <c r="I45" s="19"/>
      <c r="J45" s="19"/>
      <c r="K45" s="19"/>
      <c r="L45" s="14"/>
      <c r="M45" s="14"/>
      <c r="N45" s="14"/>
      <c r="O45" s="14"/>
      <c r="P45" s="19"/>
      <c r="Q45" s="19"/>
      <c r="R45" s="14"/>
      <c r="S45" s="14"/>
      <c r="T45" s="14"/>
      <c r="U45" s="14"/>
      <c r="V45" s="14"/>
      <c r="W45" s="19"/>
      <c r="X45" s="19"/>
      <c r="Y45" s="14"/>
      <c r="Z45" s="19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9"/>
      <c r="AO45" s="19"/>
      <c r="AP45" s="14"/>
      <c r="AQ45" s="19"/>
      <c r="AR45" s="19"/>
      <c r="AS45" s="14"/>
      <c r="AT45" s="14"/>
      <c r="AU45" s="19"/>
      <c r="AV45" s="19"/>
      <c r="AW45" s="19"/>
      <c r="AX45" s="19"/>
      <c r="AY45" s="13"/>
      <c r="AZ45" s="13"/>
      <c r="BA45" s="10"/>
      <c r="BB45" s="10"/>
      <c r="BC45" s="19"/>
      <c r="BD45" s="19"/>
      <c r="BE45" s="10"/>
      <c r="BF45" s="10"/>
      <c r="BG45" s="10"/>
      <c r="BH45" s="19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8"/>
      <c r="BX45" s="8"/>
      <c r="BY45" s="8"/>
      <c r="BZ45" s="9"/>
      <c r="CA45" s="9"/>
      <c r="CB45" s="9"/>
    </row>
    <row r="46" spans="1:80" ht="15" customHeight="1" x14ac:dyDescent="0.25">
      <c r="A46" s="8"/>
      <c r="B46" s="8"/>
      <c r="C46" s="10"/>
      <c r="D46" s="10"/>
      <c r="E46" s="10"/>
      <c r="F46" s="10"/>
      <c r="G46" s="10"/>
      <c r="H46" s="10"/>
      <c r="I46" s="19"/>
      <c r="J46" s="19"/>
      <c r="K46" s="19"/>
      <c r="L46" s="10"/>
      <c r="M46" s="10"/>
      <c r="N46" s="10"/>
      <c r="O46" s="10"/>
      <c r="P46" s="19"/>
      <c r="Q46" s="19"/>
      <c r="R46" s="10"/>
      <c r="S46" s="10"/>
      <c r="T46" s="19"/>
      <c r="U46" s="10"/>
      <c r="V46" s="10"/>
      <c r="W46" s="10"/>
      <c r="X46" s="10"/>
      <c r="Y46" s="10"/>
      <c r="Z46" s="19"/>
      <c r="AA46" s="10"/>
      <c r="AB46" s="14"/>
      <c r="AC46" s="14"/>
      <c r="AD46" s="14"/>
      <c r="AE46" s="14"/>
      <c r="AF46" s="14"/>
      <c r="AG46" s="14"/>
      <c r="AH46" s="14"/>
      <c r="AI46" s="19"/>
      <c r="AJ46" s="14"/>
      <c r="AK46" s="14"/>
      <c r="AL46" s="14"/>
      <c r="AM46" s="19"/>
      <c r="AN46" s="14"/>
      <c r="AO46" s="14"/>
      <c r="AP46" s="14"/>
      <c r="AQ46" s="14"/>
      <c r="AR46" s="14"/>
      <c r="AS46" s="14"/>
      <c r="AT46" s="14"/>
      <c r="AU46" s="19"/>
      <c r="AV46" s="19"/>
      <c r="AW46" s="19"/>
      <c r="AX46" s="19"/>
      <c r="AY46" s="13"/>
      <c r="AZ46" s="13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8"/>
      <c r="BX46" s="8"/>
      <c r="BY46" s="8"/>
      <c r="BZ46" s="9"/>
      <c r="CA46" s="9"/>
      <c r="CB46" s="9"/>
    </row>
    <row r="47" spans="1:80" ht="15" customHeight="1" x14ac:dyDescent="0.25">
      <c r="A47" s="8"/>
      <c r="B47" s="8"/>
      <c r="C47" s="10"/>
      <c r="D47" s="10"/>
      <c r="E47" s="10"/>
      <c r="F47" s="10"/>
      <c r="G47" s="10"/>
      <c r="H47" s="10"/>
      <c r="I47" s="19"/>
      <c r="J47" s="10"/>
      <c r="K47" s="10"/>
      <c r="L47" s="10"/>
      <c r="M47" s="19"/>
      <c r="N47" s="10"/>
      <c r="O47" s="19"/>
      <c r="P47" s="10"/>
      <c r="Q47" s="10"/>
      <c r="R47" s="10"/>
      <c r="S47" s="10"/>
      <c r="T47" s="19"/>
      <c r="U47" s="10"/>
      <c r="V47" s="10"/>
      <c r="W47" s="10"/>
      <c r="X47" s="10"/>
      <c r="Y47" s="10"/>
      <c r="Z47" s="10"/>
      <c r="AA47" s="10"/>
      <c r="AB47" s="10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9"/>
      <c r="AO47" s="14"/>
      <c r="AP47" s="14"/>
      <c r="AQ47" s="19"/>
      <c r="AR47" s="14"/>
      <c r="AS47" s="14"/>
      <c r="AT47" s="14"/>
      <c r="AU47" s="14"/>
      <c r="AV47" s="14"/>
      <c r="AW47" s="19"/>
      <c r="AX47" s="19"/>
      <c r="AY47" s="19"/>
      <c r="AZ47" s="19"/>
      <c r="BA47" s="10"/>
      <c r="BB47" s="19"/>
      <c r="BC47" s="10"/>
      <c r="BD47" s="19"/>
      <c r="BE47" s="19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8"/>
      <c r="BX47" s="8"/>
      <c r="BY47" s="8"/>
      <c r="BZ47" s="9"/>
      <c r="CA47" s="9"/>
      <c r="CB47" s="9"/>
    </row>
    <row r="48" spans="1:80" ht="15" customHeight="1" x14ac:dyDescent="0.25">
      <c r="A48" s="8"/>
      <c r="B48" s="8"/>
      <c r="C48" s="10"/>
      <c r="D48" s="10"/>
      <c r="E48" s="10"/>
      <c r="F48" s="10"/>
      <c r="G48" s="10"/>
      <c r="H48" s="10"/>
      <c r="I48" s="19"/>
      <c r="J48" s="19"/>
      <c r="K48" s="19"/>
      <c r="L48" s="10"/>
      <c r="M48" s="19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4"/>
      <c r="AE48" s="14"/>
      <c r="AF48" s="14"/>
      <c r="AG48" s="14"/>
      <c r="AH48" s="14"/>
      <c r="AI48" s="14"/>
      <c r="AJ48" s="14"/>
      <c r="AK48" s="14"/>
      <c r="AL48" s="14"/>
      <c r="AM48" s="19"/>
      <c r="AN48" s="14"/>
      <c r="AO48" s="14"/>
      <c r="AP48" s="14"/>
      <c r="AQ48" s="14"/>
      <c r="AR48" s="14"/>
      <c r="AS48" s="19"/>
      <c r="AT48" s="19"/>
      <c r="AU48" s="19"/>
      <c r="AV48" s="19"/>
      <c r="AW48" s="19"/>
      <c r="AX48" s="19"/>
      <c r="AY48" s="13"/>
      <c r="AZ48" s="19"/>
      <c r="BA48" s="10"/>
      <c r="BB48" s="19"/>
      <c r="BC48" s="10"/>
      <c r="BD48" s="10"/>
      <c r="BE48" s="19"/>
      <c r="BF48" s="10"/>
      <c r="BG48" s="10"/>
      <c r="BH48" s="10"/>
      <c r="BI48" s="19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8"/>
      <c r="BX48" s="8"/>
      <c r="BY48" s="8"/>
      <c r="BZ48" s="9"/>
      <c r="CA48" s="9"/>
      <c r="CB48" s="9"/>
    </row>
    <row r="49" spans="1:80" ht="15" customHeight="1" x14ac:dyDescent="0.25">
      <c r="A49" s="8"/>
      <c r="B49" s="8"/>
      <c r="C49" s="10"/>
      <c r="D49" s="10"/>
      <c r="E49" s="10"/>
      <c r="F49" s="10"/>
      <c r="G49" s="10"/>
      <c r="H49" s="10"/>
      <c r="I49" s="19"/>
      <c r="J49" s="19"/>
      <c r="K49" s="10"/>
      <c r="L49" s="19"/>
      <c r="M49" s="10"/>
      <c r="N49" s="10"/>
      <c r="O49" s="10"/>
      <c r="P49" s="19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4"/>
      <c r="AF49" s="14"/>
      <c r="AG49" s="14"/>
      <c r="AH49" s="14"/>
      <c r="AI49" s="14"/>
      <c r="AJ49" s="14"/>
      <c r="AK49" s="14"/>
      <c r="AL49" s="14"/>
      <c r="AM49" s="19"/>
      <c r="AN49" s="19"/>
      <c r="AO49" s="14"/>
      <c r="AP49" s="14"/>
      <c r="AQ49" s="14"/>
      <c r="AR49" s="14"/>
      <c r="AS49" s="14"/>
      <c r="AT49" s="19"/>
      <c r="AU49" s="19"/>
      <c r="AV49" s="19"/>
      <c r="AW49" s="19"/>
      <c r="AX49" s="14"/>
      <c r="AY49" s="13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8"/>
      <c r="BX49" s="8"/>
      <c r="BY49" s="8"/>
      <c r="BZ49" s="9"/>
      <c r="CA49" s="9"/>
      <c r="CB49" s="9"/>
    </row>
    <row r="50" spans="1:80" ht="15" customHeight="1" x14ac:dyDescent="0.25">
      <c r="A50" s="8"/>
      <c r="B50" s="8"/>
      <c r="C50" s="10"/>
      <c r="D50" s="10"/>
      <c r="E50" s="10"/>
      <c r="F50" s="10"/>
      <c r="G50" s="10"/>
      <c r="H50" s="10"/>
      <c r="I50" s="10"/>
      <c r="J50" s="10"/>
      <c r="K50" s="19"/>
      <c r="L50" s="19"/>
      <c r="M50" s="10"/>
      <c r="N50" s="19"/>
      <c r="O50" s="10"/>
      <c r="P50" s="19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4"/>
      <c r="AF50" s="19"/>
      <c r="AG50" s="14"/>
      <c r="AH50" s="14"/>
      <c r="AI50" s="19"/>
      <c r="AJ50" s="14"/>
      <c r="AK50" s="14"/>
      <c r="AL50" s="14"/>
      <c r="AM50" s="14"/>
      <c r="AN50" s="19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3"/>
      <c r="AZ50" s="10"/>
      <c r="BA50" s="19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8"/>
      <c r="BX50" s="8"/>
      <c r="BY50" s="8"/>
      <c r="BZ50" s="9"/>
      <c r="CA50" s="9"/>
      <c r="CB50" s="9"/>
    </row>
    <row r="51" spans="1:80" ht="15" customHeight="1" x14ac:dyDescent="0.25">
      <c r="A51" s="8"/>
      <c r="B51" s="8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7"/>
      <c r="AF51" s="17"/>
      <c r="AG51" s="17"/>
      <c r="AH51" s="17"/>
      <c r="AI51" s="19"/>
      <c r="AJ51" s="17"/>
      <c r="AK51" s="19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0"/>
      <c r="BA51" s="19"/>
      <c r="BB51" s="19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8"/>
      <c r="BX51" s="8"/>
      <c r="BY51" s="8"/>
      <c r="BZ51" s="9"/>
      <c r="CA51" s="9"/>
      <c r="CB51" s="9"/>
    </row>
    <row r="52" spans="1:80" ht="15" customHeight="1" x14ac:dyDescent="0.25">
      <c r="A52" s="8"/>
      <c r="B52" s="8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8"/>
      <c r="BX52" s="8"/>
      <c r="BY52" s="8"/>
      <c r="BZ52" s="9"/>
      <c r="CA52" s="9"/>
      <c r="CB52" s="9"/>
    </row>
    <row r="53" spans="1:80" ht="15" customHeight="1" x14ac:dyDescent="0.25">
      <c r="A53" s="8"/>
      <c r="B53" s="8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7"/>
      <c r="AI53" s="17"/>
      <c r="AJ53" s="17"/>
      <c r="AK53" s="17"/>
      <c r="AL53" s="17"/>
      <c r="AM53" s="17"/>
      <c r="AN53" s="17"/>
      <c r="AO53" s="17"/>
      <c r="AP53" s="19"/>
      <c r="AQ53" s="17"/>
      <c r="AR53" s="17"/>
      <c r="AS53" s="17"/>
      <c r="AT53" s="17"/>
      <c r="AU53" s="19"/>
      <c r="AV53" s="17"/>
      <c r="AW53" s="17"/>
      <c r="AX53" s="17"/>
      <c r="AY53" s="17"/>
      <c r="AZ53" s="17"/>
      <c r="BA53" s="19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8"/>
      <c r="BX53" s="8"/>
      <c r="BY53" s="8"/>
      <c r="BZ53" s="9"/>
      <c r="CA53" s="9"/>
      <c r="CB53" s="9"/>
    </row>
    <row r="54" spans="1:80" ht="15" customHeight="1" x14ac:dyDescent="0.25">
      <c r="A54" s="8"/>
      <c r="B54" s="8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9"/>
      <c r="AC54" s="10"/>
      <c r="AD54" s="19"/>
      <c r="AE54" s="10"/>
      <c r="AF54" s="10"/>
      <c r="AG54" s="10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9"/>
      <c r="AS54" s="17"/>
      <c r="AT54" s="19"/>
      <c r="AU54" s="17"/>
      <c r="AV54" s="17"/>
      <c r="AW54" s="17"/>
      <c r="AX54" s="17"/>
      <c r="AY54" s="17"/>
      <c r="AZ54" s="17"/>
      <c r="BA54" s="10"/>
      <c r="BB54" s="10"/>
      <c r="BC54" s="10"/>
      <c r="BD54" s="19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8"/>
      <c r="BX54" s="8"/>
      <c r="BY54" s="8"/>
      <c r="BZ54" s="9"/>
      <c r="CA54" s="9"/>
      <c r="CB54" s="9"/>
    </row>
    <row r="55" spans="1:80" ht="15" customHeight="1" x14ac:dyDescent="0.25">
      <c r="A55" s="8"/>
      <c r="B55" s="8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7"/>
      <c r="AJ55" s="17"/>
      <c r="AK55" s="19"/>
      <c r="AL55" s="17"/>
      <c r="AM55" s="17"/>
      <c r="AN55" s="19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8"/>
      <c r="BX55" s="8"/>
      <c r="BY55" s="8"/>
      <c r="BZ55" s="9"/>
      <c r="CA55" s="9"/>
      <c r="CB55" s="9"/>
    </row>
    <row r="56" spans="1:80" ht="15" customHeight="1" x14ac:dyDescent="0.25">
      <c r="A56" s="8"/>
      <c r="B56" s="8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9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9"/>
      <c r="AX56" s="19"/>
      <c r="AY56" s="17"/>
      <c r="AZ56" s="17"/>
      <c r="BA56" s="19"/>
      <c r="BB56" s="17"/>
      <c r="BC56" s="10"/>
      <c r="BD56" s="10"/>
      <c r="BE56" s="19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8"/>
      <c r="BX56" s="8"/>
      <c r="BY56" s="8"/>
      <c r="BZ56" s="9"/>
      <c r="CA56" s="9"/>
      <c r="CB56" s="9"/>
    </row>
    <row r="57" spans="1:80" ht="15" customHeight="1" x14ac:dyDescent="0.25">
      <c r="A57" s="8"/>
      <c r="B57" s="8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8"/>
      <c r="BX57" s="8"/>
      <c r="BY57" s="8"/>
      <c r="BZ57" s="9"/>
      <c r="CA57" s="9"/>
      <c r="CB57" s="9"/>
    </row>
    <row r="58" spans="1:80" ht="15" customHeight="1" x14ac:dyDescent="0.25">
      <c r="A58" s="8"/>
      <c r="B58" s="8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9"/>
      <c r="AL58" s="19"/>
      <c r="AM58" s="17"/>
      <c r="AN58" s="17"/>
      <c r="AO58" s="17"/>
      <c r="AP58" s="17"/>
      <c r="AQ58" s="17"/>
      <c r="AR58" s="19"/>
      <c r="AS58" s="19"/>
      <c r="AT58" s="17"/>
      <c r="AU58" s="19"/>
      <c r="AV58" s="17"/>
      <c r="AW58" s="19"/>
      <c r="AX58" s="19"/>
      <c r="AY58" s="17"/>
      <c r="AZ58" s="17"/>
      <c r="BA58" s="19"/>
      <c r="BB58" s="17"/>
      <c r="BC58" s="19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8"/>
      <c r="BX58" s="8"/>
      <c r="BY58" s="8"/>
      <c r="BZ58" s="9"/>
      <c r="CA58" s="9"/>
      <c r="CB58" s="9"/>
    </row>
    <row r="59" spans="1:80" ht="15" customHeight="1" x14ac:dyDescent="0.25">
      <c r="A59" s="8"/>
      <c r="B59" s="8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7"/>
      <c r="AO59" s="17"/>
      <c r="AP59" s="19"/>
      <c r="AQ59" s="19"/>
      <c r="AR59" s="19"/>
      <c r="AS59" s="17"/>
      <c r="AT59" s="19"/>
      <c r="AU59" s="19"/>
      <c r="AV59" s="17"/>
      <c r="AW59" s="17"/>
      <c r="AX59" s="19"/>
      <c r="AY59" s="17"/>
      <c r="AZ59" s="19"/>
      <c r="BA59" s="19"/>
      <c r="BB59" s="19"/>
      <c r="BC59" s="19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8"/>
      <c r="BX59" s="8"/>
      <c r="BY59" s="8"/>
      <c r="BZ59" s="9"/>
      <c r="CA59" s="9"/>
      <c r="CB59" s="9"/>
    </row>
    <row r="60" spans="1:80" ht="15" customHeight="1" x14ac:dyDescent="0.25">
      <c r="A60" s="8"/>
      <c r="B60" s="8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9"/>
      <c r="AB60" s="19"/>
      <c r="AC60" s="19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9"/>
      <c r="AP60" s="19"/>
      <c r="AQ60" s="17"/>
      <c r="AR60" s="19"/>
      <c r="AS60" s="19"/>
      <c r="AT60" s="19"/>
      <c r="AU60" s="19"/>
      <c r="AV60" s="17"/>
      <c r="AW60" s="17"/>
      <c r="AX60" s="17"/>
      <c r="AY60" s="17"/>
      <c r="AZ60" s="17"/>
      <c r="BA60" s="19"/>
      <c r="BB60" s="17"/>
      <c r="BC60" s="10"/>
      <c r="BD60" s="19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8"/>
      <c r="BX60" s="8"/>
      <c r="BY60" s="8"/>
      <c r="BZ60" s="9"/>
      <c r="CA60" s="9"/>
      <c r="CB60" s="9"/>
    </row>
    <row r="61" spans="1:80" ht="15" customHeight="1" x14ac:dyDescent="0.25">
      <c r="A61" s="8"/>
      <c r="B61" s="8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9"/>
      <c r="AM61" s="10"/>
      <c r="AN61" s="10"/>
      <c r="AO61" s="19"/>
      <c r="AP61" s="19"/>
      <c r="AQ61" s="17"/>
      <c r="AR61" s="17"/>
      <c r="AS61" s="19"/>
      <c r="AT61" s="19"/>
      <c r="AU61" s="19"/>
      <c r="AV61" s="17"/>
      <c r="AW61" s="17"/>
      <c r="AX61" s="17"/>
      <c r="AY61" s="17"/>
      <c r="AZ61" s="17"/>
      <c r="BA61" s="17"/>
      <c r="BB61" s="19"/>
      <c r="BC61" s="10"/>
      <c r="BD61" s="19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8"/>
      <c r="BX61" s="8"/>
      <c r="BY61" s="8"/>
      <c r="BZ61" s="9"/>
      <c r="CA61" s="9"/>
      <c r="CB61" s="9"/>
    </row>
    <row r="62" spans="1:80" ht="15" customHeight="1" x14ac:dyDescent="0.25">
      <c r="A62" s="8"/>
      <c r="B62" s="8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9"/>
      <c r="AO62" s="10"/>
      <c r="AP62" s="17"/>
      <c r="AQ62" s="17"/>
      <c r="AR62" s="19"/>
      <c r="AS62" s="17"/>
      <c r="AT62" s="17"/>
      <c r="AU62" s="19"/>
      <c r="AV62" s="19"/>
      <c r="AW62" s="17"/>
      <c r="AX62" s="17"/>
      <c r="AY62" s="19"/>
      <c r="AZ62" s="17"/>
      <c r="BA62" s="17"/>
      <c r="BB62" s="17"/>
      <c r="BC62" s="17"/>
      <c r="BD62" s="17"/>
      <c r="BE62" s="17"/>
      <c r="BF62" s="17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8"/>
      <c r="BX62" s="8"/>
      <c r="BY62" s="8"/>
      <c r="BZ62" s="9"/>
      <c r="CA62" s="9"/>
      <c r="CB62" s="9"/>
    </row>
    <row r="63" spans="1:80" ht="15" customHeight="1" x14ac:dyDescent="0.25">
      <c r="A63" s="8"/>
      <c r="B63" s="8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9"/>
      <c r="AO63" s="10"/>
      <c r="AP63" s="10"/>
      <c r="AQ63" s="17"/>
      <c r="AR63" s="19"/>
      <c r="AS63" s="17"/>
      <c r="AT63" s="17"/>
      <c r="AU63" s="17"/>
      <c r="AV63" s="19"/>
      <c r="AW63" s="17"/>
      <c r="AX63" s="17"/>
      <c r="AY63" s="17"/>
      <c r="AZ63" s="17"/>
      <c r="BA63" s="19"/>
      <c r="BB63" s="17"/>
      <c r="BC63" s="17"/>
      <c r="BD63" s="17"/>
      <c r="BE63" s="19"/>
      <c r="BF63" s="19"/>
      <c r="BG63" s="17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8"/>
      <c r="BX63" s="8"/>
      <c r="BY63" s="8"/>
      <c r="BZ63" s="9"/>
      <c r="CA63" s="9"/>
      <c r="CB63" s="9"/>
    </row>
    <row r="64" spans="1:80" ht="15" customHeight="1" x14ac:dyDescent="0.25">
      <c r="A64" s="8"/>
      <c r="B64" s="8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9"/>
      <c r="AP64" s="19"/>
      <c r="AQ64" s="19"/>
      <c r="AR64" s="17"/>
      <c r="AS64" s="19"/>
      <c r="AT64" s="17"/>
      <c r="AU64" s="17"/>
      <c r="AV64" s="17"/>
      <c r="AW64" s="17"/>
      <c r="AX64" s="19"/>
      <c r="AY64" s="19"/>
      <c r="AZ64" s="17"/>
      <c r="BA64" s="19"/>
      <c r="BB64" s="19"/>
      <c r="BC64" s="19"/>
      <c r="BD64" s="19"/>
      <c r="BE64" s="19"/>
      <c r="BF64" s="19"/>
      <c r="BG64" s="19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8"/>
      <c r="BX64" s="8"/>
      <c r="BY64" s="8"/>
      <c r="BZ64" s="9"/>
      <c r="CA64" s="9"/>
      <c r="CB64" s="9"/>
    </row>
    <row r="65" spans="1:80" ht="15" customHeight="1" x14ac:dyDescent="0.25">
      <c r="A65" s="8"/>
      <c r="B65" s="8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9"/>
      <c r="AR65" s="10"/>
      <c r="AS65" s="17"/>
      <c r="AT65" s="19"/>
      <c r="AU65" s="17"/>
      <c r="AV65" s="17"/>
      <c r="AW65" s="17"/>
      <c r="AX65" s="17"/>
      <c r="AY65" s="17"/>
      <c r="AZ65" s="17"/>
      <c r="BA65" s="17"/>
      <c r="BB65" s="19"/>
      <c r="BC65" s="19"/>
      <c r="BD65" s="19"/>
      <c r="BE65" s="19"/>
      <c r="BF65" s="19"/>
      <c r="BG65" s="19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8"/>
      <c r="BX65" s="8"/>
      <c r="BY65" s="8"/>
      <c r="BZ65" s="9"/>
      <c r="CA65" s="9"/>
      <c r="CB65" s="9"/>
    </row>
    <row r="66" spans="1:80" ht="15" customHeight="1" x14ac:dyDescent="0.25">
      <c r="A66" s="8"/>
      <c r="B66" s="8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7"/>
      <c r="AU66" s="17"/>
      <c r="AV66" s="17"/>
      <c r="AW66" s="17"/>
      <c r="AX66" s="17"/>
      <c r="AY66" s="17"/>
      <c r="AZ66" s="17"/>
      <c r="BA66" s="19"/>
      <c r="BB66" s="19"/>
      <c r="BC66" s="17"/>
      <c r="BD66" s="19"/>
      <c r="BE66" s="17"/>
      <c r="BF66" s="19"/>
      <c r="BG66" s="19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8"/>
      <c r="BX66" s="8"/>
      <c r="BY66" s="8"/>
      <c r="BZ66" s="9"/>
      <c r="CA66" s="9"/>
      <c r="CB66" s="9"/>
    </row>
    <row r="67" spans="1:80" ht="15" customHeight="1" x14ac:dyDescent="0.25">
      <c r="A67" s="8"/>
      <c r="B67" s="8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7"/>
      <c r="AV67" s="19"/>
      <c r="AW67" s="17"/>
      <c r="AX67" s="17"/>
      <c r="AY67" s="19"/>
      <c r="AZ67" s="19"/>
      <c r="BA67" s="17"/>
      <c r="BB67" s="17"/>
      <c r="BC67" s="17"/>
      <c r="BD67" s="19"/>
      <c r="BE67" s="19"/>
      <c r="BF67" s="17"/>
      <c r="BG67" s="19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8"/>
      <c r="BX67" s="8"/>
      <c r="BY67" s="8"/>
      <c r="BZ67" s="9"/>
      <c r="CA67" s="9"/>
      <c r="CB67" s="9"/>
    </row>
    <row r="68" spans="1:80" ht="15" customHeight="1" x14ac:dyDescent="0.25">
      <c r="A68" s="8"/>
      <c r="B68" s="8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9"/>
      <c r="AT68" s="19"/>
      <c r="AU68" s="19"/>
      <c r="AV68" s="10"/>
      <c r="AW68" s="17"/>
      <c r="AX68" s="19"/>
      <c r="AY68" s="17"/>
      <c r="AZ68" s="17"/>
      <c r="BA68" s="17"/>
      <c r="BB68" s="17"/>
      <c r="BC68" s="17"/>
      <c r="BD68" s="19"/>
      <c r="BE68" s="19"/>
      <c r="BF68" s="19"/>
      <c r="BG68" s="19"/>
      <c r="BH68" s="17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8"/>
      <c r="BX68" s="8"/>
      <c r="BY68" s="8"/>
      <c r="BZ68" s="9"/>
      <c r="CA68" s="9"/>
      <c r="CB68" s="9"/>
    </row>
    <row r="69" spans="1:80" ht="15" customHeight="1" x14ac:dyDescent="0.25">
      <c r="A69" s="8"/>
      <c r="B69" s="8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7"/>
      <c r="AZ69" s="17"/>
      <c r="BA69" s="17"/>
      <c r="BB69" s="17"/>
      <c r="BC69" s="17"/>
      <c r="BD69" s="17"/>
      <c r="BE69" s="17"/>
      <c r="BF69" s="17"/>
      <c r="BG69" s="17"/>
      <c r="BH69" s="17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8"/>
      <c r="BX69" s="8"/>
      <c r="BY69" s="8"/>
      <c r="BZ69" s="9"/>
      <c r="CA69" s="9"/>
      <c r="CB69" s="9"/>
    </row>
    <row r="70" spans="1:80" ht="15" customHeight="1" x14ac:dyDescent="0.25">
      <c r="A70" s="8"/>
      <c r="B70" s="8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7"/>
      <c r="AZ70" s="17"/>
      <c r="BA70" s="17"/>
      <c r="BB70" s="17"/>
      <c r="BC70" s="17"/>
      <c r="BD70" s="17"/>
      <c r="BE70" s="17"/>
      <c r="BF70" s="17"/>
      <c r="BG70" s="17"/>
      <c r="BH70" s="17"/>
      <c r="BI70" s="17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8"/>
      <c r="BX70" s="8"/>
      <c r="BY70" s="8"/>
      <c r="BZ70" s="9"/>
      <c r="CA70" s="9"/>
      <c r="CB70" s="9"/>
    </row>
    <row r="71" spans="1:80" ht="15" customHeight="1" x14ac:dyDescent="0.25">
      <c r="A71" s="8"/>
      <c r="B71" s="8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7"/>
      <c r="AZ71" s="17"/>
      <c r="BA71" s="17"/>
      <c r="BB71" s="17"/>
      <c r="BC71" s="17"/>
      <c r="BD71" s="17"/>
      <c r="BE71" s="17"/>
      <c r="BF71" s="17"/>
      <c r="BG71" s="17"/>
      <c r="BH71" s="17"/>
      <c r="BI71" s="17"/>
      <c r="BJ71" s="17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8"/>
      <c r="BX71" s="8"/>
      <c r="BY71" s="8"/>
      <c r="BZ71" s="9"/>
      <c r="CA71" s="9"/>
      <c r="CB71" s="9"/>
    </row>
    <row r="72" spans="1:80" ht="15" customHeight="1" x14ac:dyDescent="0.25">
      <c r="A72" s="8"/>
      <c r="B72" s="8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8"/>
      <c r="BX72" s="8"/>
      <c r="BY72" s="8"/>
      <c r="BZ72" s="9"/>
      <c r="CA72" s="9"/>
      <c r="CB72" s="9"/>
    </row>
    <row r="73" spans="1:80" ht="15" customHeight="1" x14ac:dyDescent="0.25">
      <c r="A73" s="8"/>
      <c r="B73" s="8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7"/>
      <c r="BA73" s="17"/>
      <c r="BB73" s="17"/>
      <c r="BC73" s="10"/>
      <c r="BD73" s="10"/>
      <c r="BE73" s="10"/>
      <c r="BF73" s="17"/>
      <c r="BG73" s="17"/>
      <c r="BH73" s="17"/>
      <c r="BI73" s="17"/>
      <c r="BJ73" s="17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8"/>
      <c r="BX73" s="8"/>
      <c r="BY73" s="8"/>
      <c r="BZ73" s="9"/>
      <c r="CA73" s="9"/>
      <c r="CB73" s="9"/>
    </row>
    <row r="74" spans="1:80" ht="15" customHeight="1" x14ac:dyDescent="0.25">
      <c r="A74" s="8"/>
      <c r="B74" s="8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7"/>
      <c r="BB74" s="17"/>
      <c r="BC74" s="10"/>
      <c r="BD74" s="10"/>
      <c r="BE74" s="10"/>
      <c r="BF74" s="10"/>
      <c r="BG74" s="18"/>
      <c r="BH74" s="17"/>
      <c r="BI74" s="17"/>
      <c r="BJ74" s="17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8"/>
      <c r="BX74" s="8"/>
      <c r="BY74" s="8"/>
      <c r="BZ74" s="9"/>
      <c r="CA74" s="9"/>
      <c r="CB74" s="9"/>
    </row>
    <row r="75" spans="1:80" ht="15" customHeight="1" x14ac:dyDescent="0.25">
      <c r="A75" s="8"/>
      <c r="B75" s="8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8"/>
      <c r="BX75" s="8"/>
      <c r="BY75" s="8"/>
      <c r="BZ75" s="9"/>
      <c r="CA75" s="9"/>
      <c r="CB75" s="9"/>
    </row>
    <row r="76" spans="1:80" ht="15" customHeight="1" x14ac:dyDescent="0.25">
      <c r="A76" s="8"/>
      <c r="B76" s="8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8"/>
      <c r="BX76" s="8"/>
      <c r="BY76" s="8"/>
      <c r="BZ76" s="9"/>
      <c r="CA76" s="9"/>
      <c r="CB76" s="9"/>
    </row>
    <row r="77" spans="1:80" ht="15" customHeight="1" x14ac:dyDescent="0.25">
      <c r="A77" s="8"/>
      <c r="B77" s="8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8"/>
      <c r="BX77" s="8"/>
      <c r="BY77" s="8"/>
      <c r="BZ77" s="9"/>
      <c r="CA77" s="9"/>
      <c r="CB77" s="9"/>
    </row>
    <row r="78" spans="1:80" ht="15" customHeight="1" x14ac:dyDescent="0.25">
      <c r="A78" s="8"/>
      <c r="B78" s="8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8"/>
      <c r="BX78" s="8"/>
      <c r="BY78" s="8"/>
      <c r="BZ78" s="9"/>
      <c r="CA78" s="9"/>
      <c r="CB78" s="9"/>
    </row>
    <row r="79" spans="1:80" ht="15" customHeight="1" x14ac:dyDescent="0.25">
      <c r="A79" s="8"/>
      <c r="B79" s="8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8"/>
      <c r="BX79" s="8"/>
      <c r="BY79" s="8"/>
      <c r="BZ79" s="9"/>
      <c r="CA79" s="9"/>
      <c r="CB79" s="9"/>
    </row>
    <row r="80" spans="1:80" ht="15" customHeight="1" x14ac:dyDescent="0.25">
      <c r="A80" s="8"/>
      <c r="B80" s="8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8"/>
      <c r="BX80" s="8"/>
      <c r="BY80" s="8"/>
      <c r="BZ80" s="9"/>
      <c r="CA80" s="9"/>
      <c r="CB80" s="9"/>
    </row>
    <row r="81" spans="1:80" ht="15" customHeight="1" x14ac:dyDescent="0.25">
      <c r="A81" s="8"/>
      <c r="B81" s="8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8"/>
      <c r="BX81" s="8"/>
      <c r="BY81" s="8"/>
      <c r="BZ81" s="9"/>
      <c r="CA81" s="9"/>
      <c r="CB81" s="9"/>
    </row>
    <row r="82" spans="1:80" ht="15" customHeight="1" x14ac:dyDescent="0.25">
      <c r="A82" s="8"/>
      <c r="B82" s="8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8"/>
      <c r="BX82" s="8"/>
      <c r="BY82" s="8"/>
      <c r="BZ82" s="9"/>
      <c r="CA82" s="9"/>
      <c r="CB82" s="9"/>
    </row>
    <row r="83" spans="1:80" ht="15" customHeight="1" x14ac:dyDescent="0.25">
      <c r="A83" s="8"/>
      <c r="B83" s="8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8"/>
      <c r="BX83" s="8"/>
      <c r="BY83" s="8"/>
      <c r="BZ83" s="9"/>
      <c r="CA83" s="9"/>
      <c r="CB83" s="9"/>
    </row>
    <row r="84" spans="1:80" ht="15" customHeight="1" x14ac:dyDescent="0.25">
      <c r="A84" s="8"/>
      <c r="B84" s="8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8"/>
      <c r="BX84" s="8"/>
      <c r="BY84" s="8"/>
      <c r="BZ84" s="9"/>
      <c r="CA84" s="9"/>
      <c r="CB84" s="9"/>
    </row>
    <row r="85" spans="1:80" ht="15" customHeight="1" x14ac:dyDescent="0.25">
      <c r="A85" s="8"/>
      <c r="B85" s="8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8"/>
      <c r="BX85" s="8"/>
      <c r="BY85" s="8"/>
      <c r="BZ85" s="9"/>
      <c r="CA85" s="9"/>
      <c r="CB85" s="9"/>
    </row>
    <row r="86" spans="1:80" ht="15" customHeight="1" x14ac:dyDescent="0.25">
      <c r="A86" s="8"/>
      <c r="B86" s="8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8"/>
      <c r="BX86" s="8"/>
      <c r="BY86" s="8"/>
      <c r="BZ86" s="9"/>
      <c r="CA86" s="9"/>
      <c r="CB86" s="9"/>
    </row>
    <row r="87" spans="1:80" ht="15" customHeight="1" x14ac:dyDescent="0.25">
      <c r="A87" s="8"/>
      <c r="B87" s="8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8"/>
      <c r="BX87" s="8"/>
      <c r="BY87" s="8"/>
      <c r="BZ87" s="9"/>
      <c r="CA87" s="9"/>
      <c r="CB87" s="9"/>
    </row>
    <row r="88" spans="1:80" ht="15" customHeight="1" x14ac:dyDescent="0.25">
      <c r="A88" s="8"/>
      <c r="B88" s="8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8"/>
      <c r="BX88" s="8"/>
      <c r="BY88" s="8"/>
      <c r="BZ88" s="9"/>
      <c r="CA88" s="9"/>
      <c r="CB88" s="9"/>
    </row>
    <row r="89" spans="1:80" ht="15" customHeight="1" x14ac:dyDescent="0.25">
      <c r="A89" s="8"/>
      <c r="B89" s="8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8"/>
      <c r="BX89" s="8"/>
      <c r="BY89" s="8"/>
      <c r="BZ89" s="9"/>
      <c r="CA89" s="9"/>
      <c r="CB89" s="9"/>
    </row>
    <row r="90" spans="1:80" ht="15" customHeight="1" x14ac:dyDescent="0.25">
      <c r="A90" s="8"/>
      <c r="B90" s="8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8"/>
      <c r="BX90" s="8"/>
      <c r="BY90" s="8"/>
      <c r="BZ90" s="9"/>
      <c r="CA90" s="9"/>
      <c r="CB90" s="9"/>
    </row>
    <row r="91" spans="1:80" ht="15" customHeight="1" x14ac:dyDescent="0.25">
      <c r="A91" s="8"/>
      <c r="B91" s="8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8"/>
      <c r="BX91" s="8"/>
      <c r="BY91" s="8"/>
      <c r="BZ91" s="9"/>
      <c r="CA91" s="9"/>
      <c r="CB91" s="9"/>
    </row>
    <row r="92" spans="1:80" ht="15" customHeight="1" x14ac:dyDescent="0.25">
      <c r="A92" s="8"/>
      <c r="B92" s="8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8"/>
      <c r="BX92" s="8"/>
      <c r="BY92" s="8"/>
      <c r="BZ92" s="9"/>
      <c r="CA92" s="9"/>
      <c r="CB92" s="9"/>
    </row>
    <row r="93" spans="1:80" ht="15" customHeight="1" x14ac:dyDescent="0.25">
      <c r="A93" s="8"/>
      <c r="B93" s="8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8"/>
      <c r="BX93" s="8"/>
      <c r="BY93" s="8"/>
      <c r="BZ93" s="9"/>
      <c r="CA93" s="9"/>
      <c r="CB93" s="9"/>
    </row>
    <row r="94" spans="1:80" ht="15" customHeight="1" x14ac:dyDescent="0.25">
      <c r="A94" s="8"/>
      <c r="B94" s="8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8"/>
      <c r="BX94" s="8"/>
      <c r="BY94" s="8"/>
      <c r="BZ94" s="9"/>
      <c r="CA94" s="9"/>
      <c r="CB94" s="9"/>
    </row>
    <row r="95" spans="1:80" ht="15" customHeight="1" x14ac:dyDescent="0.25">
      <c r="A95" s="8"/>
      <c r="B95" s="8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8"/>
      <c r="BX95" s="8"/>
      <c r="BY95" s="8"/>
      <c r="BZ95" s="9"/>
      <c r="CA95" s="9"/>
      <c r="CB95" s="9"/>
    </row>
    <row r="96" spans="1:80" ht="15" customHeight="1" x14ac:dyDescent="0.25">
      <c r="A96" s="8"/>
      <c r="B96" s="8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8"/>
      <c r="BX96" s="8"/>
      <c r="BY96" s="8"/>
      <c r="BZ96" s="9"/>
      <c r="CA96" s="9"/>
      <c r="CB96" s="9"/>
    </row>
    <row r="97" spans="1:80" ht="15" customHeight="1" x14ac:dyDescent="0.25">
      <c r="A97" s="8"/>
      <c r="B97" s="8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8"/>
      <c r="BX97" s="8"/>
      <c r="BY97" s="8"/>
      <c r="BZ97" s="9"/>
      <c r="CA97" s="9"/>
      <c r="CB97" s="9"/>
    </row>
    <row r="98" spans="1:80" ht="15" customHeight="1" x14ac:dyDescent="0.25">
      <c r="A98" s="8"/>
      <c r="B98" s="8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8"/>
      <c r="BX98" s="8"/>
      <c r="BY98" s="8"/>
      <c r="BZ98" s="9"/>
      <c r="CA98" s="9"/>
      <c r="CB98" s="9"/>
    </row>
    <row r="99" spans="1:80" ht="15" customHeight="1" x14ac:dyDescent="0.25">
      <c r="A99" s="8"/>
      <c r="B99" s="8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8"/>
      <c r="BX99" s="8"/>
      <c r="BY99" s="8"/>
      <c r="BZ99" s="9"/>
      <c r="CA99" s="9"/>
      <c r="CB99" s="9"/>
    </row>
    <row r="100" spans="1:80" ht="15" customHeight="1" x14ac:dyDescent="0.25">
      <c r="A100" s="8"/>
      <c r="B100" s="8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8"/>
      <c r="BX100" s="8"/>
      <c r="BY100" s="8"/>
      <c r="BZ100" s="9"/>
      <c r="CA100" s="9"/>
      <c r="CB100" s="9"/>
    </row>
    <row r="101" spans="1:80" ht="15" customHeight="1" x14ac:dyDescent="0.25">
      <c r="A101" s="8"/>
      <c r="B101" s="8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8"/>
      <c r="BX101" s="8"/>
      <c r="BY101" s="8"/>
      <c r="BZ101" s="9"/>
      <c r="CA101" s="9"/>
      <c r="CB101" s="9"/>
    </row>
    <row r="102" spans="1:80" ht="15" customHeight="1" x14ac:dyDescent="0.25">
      <c r="A102" s="8"/>
      <c r="B102" s="8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8"/>
      <c r="BX102" s="8"/>
      <c r="BY102" s="8"/>
      <c r="BZ102" s="9"/>
      <c r="CA102" s="9"/>
      <c r="CB102" s="9"/>
    </row>
    <row r="103" spans="1:80" ht="15" customHeight="1" x14ac:dyDescent="0.25">
      <c r="A103" s="8"/>
      <c r="B103" s="8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8"/>
      <c r="BX103" s="8"/>
      <c r="BY103" s="8"/>
      <c r="BZ103" s="9"/>
      <c r="CA103" s="9"/>
      <c r="CB103" s="9"/>
    </row>
    <row r="104" spans="1:80" ht="15" customHeight="1" x14ac:dyDescent="0.25">
      <c r="A104" s="8"/>
      <c r="B104" s="8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8"/>
      <c r="BX104" s="8"/>
      <c r="BY104" s="8"/>
      <c r="BZ104" s="9"/>
      <c r="CA104" s="9"/>
      <c r="CB104" s="9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2" sqref="C2:O15"/>
    </sheetView>
  </sheetViews>
  <sheetFormatPr defaultRowHeight="15" x14ac:dyDescent="0.25"/>
  <cols>
    <col min="7" max="7" width="15" customWidth="1"/>
    <col min="8" max="8" width="17.28515625" customWidth="1"/>
    <col min="9" max="9" width="13.7109375" customWidth="1"/>
  </cols>
  <sheetData>
    <row r="1" spans="1:1" x14ac:dyDescent="0.25">
      <c r="A1" t="s">
        <v>13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O3031"/>
  <sheetViews>
    <sheetView tabSelected="1" topLeftCell="A1670" zoomScaleNormal="100" workbookViewId="0">
      <selection activeCell="D1684" sqref="D1684"/>
    </sheetView>
  </sheetViews>
  <sheetFormatPr defaultRowHeight="15" x14ac:dyDescent="0.25"/>
  <cols>
    <col min="2" max="2" width="15.85546875" customWidth="1"/>
    <col min="3" max="3" width="14" customWidth="1"/>
    <col min="4" max="4" width="20.140625" customWidth="1"/>
    <col min="5" max="5" width="16.7109375" customWidth="1"/>
    <col min="6" max="6" width="20" customWidth="1"/>
    <col min="7" max="7" width="18.42578125" customWidth="1"/>
    <col min="8" max="8" width="13.28515625" customWidth="1"/>
    <col min="12" max="12" width="10.7109375" bestFit="1" customWidth="1"/>
    <col min="13" max="13" width="9.7109375" bestFit="1" customWidth="1"/>
  </cols>
  <sheetData>
    <row r="1" spans="2:15" x14ac:dyDescent="0.25">
      <c r="B1" t="s">
        <v>2</v>
      </c>
      <c r="C1" t="s">
        <v>3</v>
      </c>
      <c r="D1" t="s">
        <v>14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15</v>
      </c>
      <c r="O1" t="s">
        <v>16</v>
      </c>
    </row>
    <row r="3" spans="2:15" x14ac:dyDescent="0.25">
      <c r="B3" t="s">
        <v>3053</v>
      </c>
      <c r="C3" t="s">
        <v>0</v>
      </c>
      <c r="D3" t="s">
        <v>1</v>
      </c>
      <c r="E3">
        <v>650564</v>
      </c>
      <c r="F3" t="s">
        <v>3010</v>
      </c>
      <c r="H3" t="s">
        <v>3054</v>
      </c>
      <c r="L3" s="1">
        <v>42327</v>
      </c>
      <c r="M3" s="1">
        <v>42437</v>
      </c>
    </row>
    <row r="4" spans="2:15" x14ac:dyDescent="0.25">
      <c r="B4" t="s">
        <v>3051</v>
      </c>
      <c r="C4" t="s">
        <v>0</v>
      </c>
      <c r="D4" t="s">
        <v>1</v>
      </c>
      <c r="E4">
        <v>642849</v>
      </c>
      <c r="F4" t="s">
        <v>3010</v>
      </c>
      <c r="H4" t="s">
        <v>3052</v>
      </c>
      <c r="L4" s="1">
        <v>42125</v>
      </c>
      <c r="M4" s="1">
        <v>42193</v>
      </c>
    </row>
    <row r="5" spans="2:15" x14ac:dyDescent="0.25">
      <c r="B5" t="s">
        <v>3049</v>
      </c>
      <c r="C5" t="s">
        <v>0</v>
      </c>
      <c r="D5" t="s">
        <v>1</v>
      </c>
      <c r="E5">
        <v>652962</v>
      </c>
      <c r="F5" t="s">
        <v>3010</v>
      </c>
      <c r="H5" t="s">
        <v>3050</v>
      </c>
      <c r="L5" s="1">
        <v>42327</v>
      </c>
      <c r="M5" s="1">
        <v>42515</v>
      </c>
    </row>
    <row r="6" spans="2:15" x14ac:dyDescent="0.25">
      <c r="B6" t="s">
        <v>3047</v>
      </c>
      <c r="C6" t="s">
        <v>0</v>
      </c>
      <c r="D6" t="s">
        <v>1</v>
      </c>
      <c r="E6">
        <v>649848</v>
      </c>
      <c r="F6" t="s">
        <v>3010</v>
      </c>
      <c r="H6" t="s">
        <v>3048</v>
      </c>
      <c r="L6" s="1">
        <v>42327</v>
      </c>
      <c r="M6" s="1">
        <v>42416</v>
      </c>
    </row>
    <row r="7" spans="2:15" x14ac:dyDescent="0.25">
      <c r="B7" t="s">
        <v>3045</v>
      </c>
      <c r="C7" t="s">
        <v>0</v>
      </c>
      <c r="D7" t="s">
        <v>1</v>
      </c>
      <c r="E7">
        <v>650611</v>
      </c>
      <c r="F7" t="s">
        <v>3010</v>
      </c>
      <c r="H7" t="s">
        <v>3046</v>
      </c>
      <c r="L7" s="1">
        <v>42345</v>
      </c>
      <c r="M7" s="1">
        <v>42438</v>
      </c>
    </row>
    <row r="8" spans="2:15" x14ac:dyDescent="0.25">
      <c r="B8" t="s">
        <v>3043</v>
      </c>
      <c r="C8" t="s">
        <v>0</v>
      </c>
      <c r="D8" t="s">
        <v>1</v>
      </c>
      <c r="E8">
        <v>653077</v>
      </c>
      <c r="F8" t="s">
        <v>3010</v>
      </c>
      <c r="H8" t="s">
        <v>3044</v>
      </c>
      <c r="L8" s="1">
        <v>42440</v>
      </c>
      <c r="M8" s="1">
        <v>42521</v>
      </c>
    </row>
    <row r="9" spans="2:15" x14ac:dyDescent="0.25">
      <c r="B9" t="s">
        <v>3042</v>
      </c>
      <c r="C9" t="s">
        <v>100</v>
      </c>
      <c r="D9" t="s">
        <v>50</v>
      </c>
      <c r="E9">
        <v>647129</v>
      </c>
      <c r="F9" t="s">
        <v>3041</v>
      </c>
      <c r="H9" t="s">
        <v>3032</v>
      </c>
      <c r="L9" s="1">
        <v>42325</v>
      </c>
    </row>
    <row r="10" spans="2:15" x14ac:dyDescent="0.25">
      <c r="B10" t="s">
        <v>3040</v>
      </c>
      <c r="C10" t="s">
        <v>100</v>
      </c>
      <c r="D10" t="s">
        <v>50</v>
      </c>
      <c r="E10">
        <v>648263</v>
      </c>
      <c r="F10" t="s">
        <v>3041</v>
      </c>
      <c r="H10" t="s">
        <v>3039</v>
      </c>
      <c r="L10" s="1">
        <v>42325</v>
      </c>
    </row>
    <row r="11" spans="2:15" x14ac:dyDescent="0.25">
      <c r="B11" t="s">
        <v>3038</v>
      </c>
      <c r="C11" t="s">
        <v>0</v>
      </c>
      <c r="D11" t="s">
        <v>1</v>
      </c>
      <c r="E11">
        <v>644714</v>
      </c>
      <c r="F11" t="s">
        <v>3010</v>
      </c>
      <c r="H11" t="s">
        <v>3039</v>
      </c>
      <c r="L11" s="1">
        <v>42144</v>
      </c>
      <c r="M11" s="1">
        <v>42247</v>
      </c>
    </row>
    <row r="12" spans="2:15" x14ac:dyDescent="0.25">
      <c r="B12" t="s">
        <v>3037</v>
      </c>
      <c r="C12" t="s">
        <v>0</v>
      </c>
      <c r="D12" t="s">
        <v>1</v>
      </c>
      <c r="E12">
        <v>655572</v>
      </c>
      <c r="F12" t="s">
        <v>3010</v>
      </c>
      <c r="H12" t="s">
        <v>3030</v>
      </c>
      <c r="L12" s="1">
        <v>42531</v>
      </c>
      <c r="M12" s="1">
        <v>42607</v>
      </c>
    </row>
    <row r="13" spans="2:15" x14ac:dyDescent="0.25">
      <c r="B13" t="s">
        <v>3035</v>
      </c>
      <c r="C13" t="s">
        <v>100</v>
      </c>
      <c r="D13" t="s">
        <v>50</v>
      </c>
      <c r="E13">
        <v>648264</v>
      </c>
      <c r="F13" t="s">
        <v>3036</v>
      </c>
      <c r="H13" t="s">
        <v>3032</v>
      </c>
      <c r="L13" s="1">
        <v>42326</v>
      </c>
    </row>
    <row r="14" spans="2:15" x14ac:dyDescent="0.25">
      <c r="B14" t="s">
        <v>3033</v>
      </c>
      <c r="C14" t="s">
        <v>100</v>
      </c>
      <c r="D14" t="s">
        <v>50</v>
      </c>
      <c r="E14">
        <v>647709</v>
      </c>
      <c r="F14" t="s">
        <v>3034</v>
      </c>
      <c r="H14" t="s">
        <v>3032</v>
      </c>
      <c r="L14" s="1">
        <v>42321</v>
      </c>
    </row>
    <row r="15" spans="2:15" x14ac:dyDescent="0.25">
      <c r="B15" t="s">
        <v>3031</v>
      </c>
      <c r="C15" t="s">
        <v>0</v>
      </c>
      <c r="D15" t="s">
        <v>1</v>
      </c>
      <c r="E15">
        <v>644715</v>
      </c>
      <c r="F15" t="s">
        <v>3010</v>
      </c>
      <c r="H15" t="s">
        <v>3032</v>
      </c>
      <c r="L15" s="1">
        <v>42144</v>
      </c>
      <c r="M15" s="1">
        <v>42247</v>
      </c>
    </row>
    <row r="16" spans="2:15" x14ac:dyDescent="0.25">
      <c r="B16" t="s">
        <v>3029</v>
      </c>
      <c r="C16" t="s">
        <v>0</v>
      </c>
      <c r="D16" t="s">
        <v>1</v>
      </c>
      <c r="E16">
        <v>655590</v>
      </c>
      <c r="F16" t="s">
        <v>3010</v>
      </c>
      <c r="H16" t="s">
        <v>3030</v>
      </c>
      <c r="L16" s="1">
        <v>42569</v>
      </c>
      <c r="M16" s="1">
        <v>42607</v>
      </c>
    </row>
    <row r="17" spans="2:13" x14ac:dyDescent="0.25">
      <c r="B17" t="s">
        <v>3027</v>
      </c>
      <c r="C17" t="s">
        <v>0</v>
      </c>
      <c r="D17" t="s">
        <v>1</v>
      </c>
      <c r="E17">
        <v>650608</v>
      </c>
      <c r="F17" t="s">
        <v>3010</v>
      </c>
      <c r="H17" t="s">
        <v>3028</v>
      </c>
      <c r="L17" s="1">
        <v>42310</v>
      </c>
      <c r="M17" s="1">
        <v>42438</v>
      </c>
    </row>
    <row r="18" spans="2:13" x14ac:dyDescent="0.25">
      <c r="B18" t="s">
        <v>3025</v>
      </c>
      <c r="C18" t="s">
        <v>0</v>
      </c>
      <c r="D18" t="s">
        <v>1</v>
      </c>
      <c r="E18">
        <v>652166</v>
      </c>
      <c r="F18" t="s">
        <v>3010</v>
      </c>
      <c r="H18" t="s">
        <v>3026</v>
      </c>
      <c r="L18" s="1">
        <v>42431</v>
      </c>
      <c r="M18" s="1">
        <v>42487</v>
      </c>
    </row>
    <row r="19" spans="2:13" x14ac:dyDescent="0.25">
      <c r="B19" t="s">
        <v>3023</v>
      </c>
      <c r="C19" t="s">
        <v>0</v>
      </c>
      <c r="D19" t="s">
        <v>1</v>
      </c>
      <c r="E19">
        <v>652165</v>
      </c>
      <c r="F19" t="s">
        <v>3010</v>
      </c>
      <c r="H19" t="s">
        <v>3024</v>
      </c>
      <c r="L19" s="1">
        <v>42431</v>
      </c>
      <c r="M19" s="1">
        <v>42487</v>
      </c>
    </row>
    <row r="20" spans="2:13" x14ac:dyDescent="0.25">
      <c r="B20" t="s">
        <v>3022</v>
      </c>
      <c r="C20" t="s">
        <v>0</v>
      </c>
      <c r="D20" t="s">
        <v>1</v>
      </c>
      <c r="E20">
        <v>659606</v>
      </c>
      <c r="F20" t="s">
        <v>3010</v>
      </c>
      <c r="H20" t="s">
        <v>3020</v>
      </c>
      <c r="L20" s="1">
        <v>42569</v>
      </c>
      <c r="M20" s="1">
        <v>42740</v>
      </c>
    </row>
    <row r="21" spans="2:13" x14ac:dyDescent="0.25">
      <c r="B21" t="s">
        <v>3021</v>
      </c>
      <c r="C21" t="s">
        <v>0</v>
      </c>
      <c r="D21" t="s">
        <v>1</v>
      </c>
      <c r="E21">
        <v>655353</v>
      </c>
      <c r="F21" t="s">
        <v>3010</v>
      </c>
      <c r="H21" t="s">
        <v>3020</v>
      </c>
      <c r="L21" s="1">
        <v>42516</v>
      </c>
      <c r="M21" s="1">
        <v>42600</v>
      </c>
    </row>
    <row r="22" spans="2:13" x14ac:dyDescent="0.25">
      <c r="B22" t="s">
        <v>3019</v>
      </c>
      <c r="C22" t="s">
        <v>100</v>
      </c>
      <c r="D22" t="s">
        <v>50</v>
      </c>
      <c r="E22">
        <v>654839</v>
      </c>
      <c r="F22" t="s">
        <v>3016</v>
      </c>
      <c r="H22" t="s">
        <v>3020</v>
      </c>
      <c r="L22" s="1">
        <v>42486</v>
      </c>
    </row>
    <row r="23" spans="2:13" x14ac:dyDescent="0.25">
      <c r="B23" t="s">
        <v>3018</v>
      </c>
      <c r="C23" t="s">
        <v>0</v>
      </c>
      <c r="D23" t="s">
        <v>1</v>
      </c>
      <c r="E23">
        <v>655819</v>
      </c>
      <c r="F23" t="s">
        <v>3010</v>
      </c>
      <c r="H23" t="s">
        <v>3017</v>
      </c>
      <c r="L23" s="1">
        <v>42523</v>
      </c>
      <c r="M23" s="1">
        <v>42614</v>
      </c>
    </row>
    <row r="24" spans="2:13" x14ac:dyDescent="0.25">
      <c r="B24" t="s">
        <v>3015</v>
      </c>
      <c r="C24" t="s">
        <v>100</v>
      </c>
      <c r="D24" t="s">
        <v>50</v>
      </c>
      <c r="E24">
        <v>654025</v>
      </c>
      <c r="F24" t="s">
        <v>3016</v>
      </c>
      <c r="H24" t="s">
        <v>3017</v>
      </c>
      <c r="L24" s="1">
        <v>42416</v>
      </c>
    </row>
    <row r="25" spans="2:13" x14ac:dyDescent="0.25">
      <c r="B25" t="s">
        <v>3013</v>
      </c>
      <c r="C25" t="s">
        <v>0</v>
      </c>
      <c r="D25" t="s">
        <v>1</v>
      </c>
      <c r="E25">
        <v>655818</v>
      </c>
      <c r="F25" t="s">
        <v>3010</v>
      </c>
      <c r="H25" t="s">
        <v>3014</v>
      </c>
      <c r="L25" s="1">
        <v>42523</v>
      </c>
      <c r="M25" s="1">
        <v>42660</v>
      </c>
    </row>
    <row r="26" spans="2:13" x14ac:dyDescent="0.25">
      <c r="B26" t="s">
        <v>3013</v>
      </c>
      <c r="C26" t="s">
        <v>0</v>
      </c>
      <c r="D26" t="s">
        <v>1</v>
      </c>
      <c r="E26">
        <v>655818</v>
      </c>
      <c r="F26" t="s">
        <v>3010</v>
      </c>
      <c r="H26" t="s">
        <v>3014</v>
      </c>
      <c r="L26" s="1">
        <v>42523</v>
      </c>
      <c r="M26" s="1">
        <v>42660</v>
      </c>
    </row>
    <row r="27" spans="2:13" x14ac:dyDescent="0.25">
      <c r="B27" t="s">
        <v>3012</v>
      </c>
      <c r="C27" t="s">
        <v>0</v>
      </c>
      <c r="D27" t="s">
        <v>1</v>
      </c>
      <c r="E27">
        <v>655589</v>
      </c>
      <c r="F27" t="s">
        <v>3010</v>
      </c>
      <c r="H27" t="s">
        <v>3011</v>
      </c>
      <c r="L27" s="1">
        <v>42569</v>
      </c>
      <c r="M27" s="1">
        <v>42607</v>
      </c>
    </row>
    <row r="28" spans="2:13" x14ac:dyDescent="0.25">
      <c r="B28" t="s">
        <v>3009</v>
      </c>
      <c r="C28" t="s">
        <v>0</v>
      </c>
      <c r="D28" t="s">
        <v>1</v>
      </c>
      <c r="E28">
        <v>655129</v>
      </c>
      <c r="F28" t="s">
        <v>3010</v>
      </c>
      <c r="H28" t="s">
        <v>3011</v>
      </c>
      <c r="L28" s="1">
        <v>42516</v>
      </c>
      <c r="M28" s="1">
        <v>42593</v>
      </c>
    </row>
    <row r="29" spans="2:13" x14ac:dyDescent="0.25">
      <c r="B29" t="s">
        <v>3006</v>
      </c>
      <c r="C29" t="s">
        <v>0</v>
      </c>
      <c r="D29" t="s">
        <v>1</v>
      </c>
      <c r="E29">
        <v>604534</v>
      </c>
      <c r="F29" t="s">
        <v>136</v>
      </c>
      <c r="H29" t="s">
        <v>3007</v>
      </c>
      <c r="L29" s="1">
        <v>41198</v>
      </c>
      <c r="M29" s="1">
        <v>41239</v>
      </c>
    </row>
    <row r="30" spans="2:13" x14ac:dyDescent="0.25">
      <c r="B30" t="s">
        <v>3004</v>
      </c>
      <c r="C30" t="s">
        <v>0</v>
      </c>
      <c r="D30" t="s">
        <v>1</v>
      </c>
      <c r="E30">
        <v>612395</v>
      </c>
      <c r="F30" t="s">
        <v>136</v>
      </c>
      <c r="H30" t="s">
        <v>3005</v>
      </c>
      <c r="L30" s="1">
        <v>41401</v>
      </c>
      <c r="M30" s="1">
        <v>41430</v>
      </c>
    </row>
    <row r="31" spans="2:13" x14ac:dyDescent="0.25">
      <c r="B31" t="s">
        <v>3002</v>
      </c>
      <c r="C31" t="s">
        <v>0</v>
      </c>
      <c r="D31" t="s">
        <v>1</v>
      </c>
      <c r="E31">
        <v>604205</v>
      </c>
      <c r="F31" t="s">
        <v>136</v>
      </c>
      <c r="H31" t="s">
        <v>3003</v>
      </c>
      <c r="L31" s="1">
        <v>41193</v>
      </c>
      <c r="M31" s="1">
        <v>41227</v>
      </c>
    </row>
    <row r="32" spans="2:13" x14ac:dyDescent="0.25">
      <c r="B32" t="s">
        <v>3000</v>
      </c>
      <c r="C32" t="s">
        <v>0</v>
      </c>
      <c r="D32" t="s">
        <v>1</v>
      </c>
      <c r="E32">
        <v>621731</v>
      </c>
      <c r="F32" t="s">
        <v>397</v>
      </c>
      <c r="H32" t="s">
        <v>3001</v>
      </c>
      <c r="L32" s="1">
        <v>41642</v>
      </c>
      <c r="M32" s="1">
        <v>41689</v>
      </c>
    </row>
    <row r="33" spans="2:13" x14ac:dyDescent="0.25">
      <c r="B33" t="s">
        <v>2998</v>
      </c>
      <c r="C33" t="s">
        <v>0</v>
      </c>
      <c r="D33" t="s">
        <v>1</v>
      </c>
      <c r="E33">
        <v>629763</v>
      </c>
      <c r="F33" t="s">
        <v>397</v>
      </c>
      <c r="H33" t="s">
        <v>2999</v>
      </c>
      <c r="L33" s="1">
        <v>41844</v>
      </c>
      <c r="M33" s="1">
        <v>41878</v>
      </c>
    </row>
    <row r="34" spans="2:13" x14ac:dyDescent="0.25">
      <c r="B34" t="s">
        <v>2997</v>
      </c>
      <c r="C34" t="s">
        <v>0</v>
      </c>
      <c r="D34" t="s">
        <v>1</v>
      </c>
      <c r="E34">
        <v>656176</v>
      </c>
      <c r="F34" t="s">
        <v>136</v>
      </c>
      <c r="H34" t="s">
        <v>2996</v>
      </c>
      <c r="L34" s="1">
        <v>42566</v>
      </c>
      <c r="M34" s="1">
        <v>42632</v>
      </c>
    </row>
    <row r="35" spans="2:13" x14ac:dyDescent="0.25">
      <c r="B35" t="s">
        <v>2995</v>
      </c>
      <c r="C35" t="s">
        <v>0</v>
      </c>
      <c r="D35" t="s">
        <v>1</v>
      </c>
      <c r="E35">
        <v>662782</v>
      </c>
      <c r="F35" t="s">
        <v>397</v>
      </c>
      <c r="H35" t="s">
        <v>2994</v>
      </c>
      <c r="L35" s="1">
        <v>42808</v>
      </c>
      <c r="M35" s="1">
        <v>42838</v>
      </c>
    </row>
    <row r="36" spans="2:13" x14ac:dyDescent="0.25">
      <c r="B36" t="s">
        <v>2993</v>
      </c>
      <c r="C36" t="s">
        <v>0</v>
      </c>
      <c r="D36" t="s">
        <v>1</v>
      </c>
      <c r="E36">
        <v>662781</v>
      </c>
      <c r="F36" t="s">
        <v>397</v>
      </c>
      <c r="H36" t="s">
        <v>2994</v>
      </c>
      <c r="L36" s="1">
        <v>42808</v>
      </c>
      <c r="M36" s="1">
        <v>42838</v>
      </c>
    </row>
    <row r="37" spans="2:13" x14ac:dyDescent="0.25">
      <c r="B37" t="s">
        <v>2991</v>
      </c>
      <c r="C37" t="s">
        <v>0</v>
      </c>
      <c r="D37" t="s">
        <v>1</v>
      </c>
      <c r="E37">
        <v>602212</v>
      </c>
      <c r="F37" t="s">
        <v>397</v>
      </c>
      <c r="H37" t="s">
        <v>2992</v>
      </c>
      <c r="L37" s="1">
        <v>41142</v>
      </c>
      <c r="M37" s="1">
        <v>41171</v>
      </c>
    </row>
    <row r="38" spans="2:13" x14ac:dyDescent="0.25">
      <c r="B38" t="s">
        <v>2990</v>
      </c>
      <c r="C38" t="s">
        <v>0</v>
      </c>
      <c r="D38" t="s">
        <v>1</v>
      </c>
      <c r="E38">
        <v>647682</v>
      </c>
      <c r="F38" t="s">
        <v>68</v>
      </c>
      <c r="H38" t="s">
        <v>2989</v>
      </c>
      <c r="L38" s="1">
        <v>42279</v>
      </c>
      <c r="M38" s="1">
        <v>42352</v>
      </c>
    </row>
    <row r="39" spans="2:13" x14ac:dyDescent="0.25">
      <c r="B39" t="s">
        <v>2988</v>
      </c>
      <c r="C39" t="s">
        <v>0</v>
      </c>
      <c r="D39" t="s">
        <v>1</v>
      </c>
      <c r="E39">
        <v>642651</v>
      </c>
      <c r="F39" t="s">
        <v>68</v>
      </c>
      <c r="H39" t="s">
        <v>2989</v>
      </c>
      <c r="L39" s="1">
        <v>42144</v>
      </c>
      <c r="M39" s="1">
        <v>42187</v>
      </c>
    </row>
    <row r="40" spans="2:13" x14ac:dyDescent="0.25">
      <c r="B40" t="s">
        <v>2986</v>
      </c>
      <c r="C40" t="s">
        <v>0</v>
      </c>
      <c r="D40" t="s">
        <v>1</v>
      </c>
      <c r="E40">
        <v>635943</v>
      </c>
      <c r="F40" t="s">
        <v>332</v>
      </c>
      <c r="H40" t="s">
        <v>2987</v>
      </c>
      <c r="L40" s="1">
        <v>41796</v>
      </c>
      <c r="M40" s="1">
        <v>42037</v>
      </c>
    </row>
    <row r="41" spans="2:13" x14ac:dyDescent="0.25">
      <c r="B41" t="s">
        <v>2984</v>
      </c>
      <c r="C41" t="s">
        <v>76</v>
      </c>
      <c r="D41" t="s">
        <v>1</v>
      </c>
      <c r="E41">
        <v>646733</v>
      </c>
      <c r="F41" t="s">
        <v>44</v>
      </c>
      <c r="H41" t="s">
        <v>2985</v>
      </c>
      <c r="L41" s="1">
        <v>42263</v>
      </c>
    </row>
    <row r="44" spans="2:13" x14ac:dyDescent="0.25">
      <c r="B44" t="s">
        <v>2982</v>
      </c>
      <c r="C44" t="s">
        <v>100</v>
      </c>
      <c r="D44" t="s">
        <v>50</v>
      </c>
      <c r="E44">
        <v>638426</v>
      </c>
      <c r="F44" t="s">
        <v>68</v>
      </c>
      <c r="H44" t="s">
        <v>2983</v>
      </c>
      <c r="L44" s="1">
        <v>42047</v>
      </c>
    </row>
    <row r="45" spans="2:13" x14ac:dyDescent="0.25">
      <c r="B45" t="s">
        <v>2980</v>
      </c>
      <c r="C45" t="s">
        <v>0</v>
      </c>
      <c r="D45" t="s">
        <v>1</v>
      </c>
      <c r="E45">
        <v>641632</v>
      </c>
      <c r="F45" t="s">
        <v>68</v>
      </c>
      <c r="H45" t="s">
        <v>2981</v>
      </c>
      <c r="L45" s="1">
        <v>42096</v>
      </c>
      <c r="M45" s="1">
        <v>42163</v>
      </c>
    </row>
    <row r="46" spans="2:13" x14ac:dyDescent="0.25">
      <c r="B46" t="s">
        <v>2979</v>
      </c>
      <c r="C46" t="s">
        <v>100</v>
      </c>
      <c r="D46" t="s">
        <v>50</v>
      </c>
      <c r="E46">
        <v>660739</v>
      </c>
      <c r="F46" t="s">
        <v>163</v>
      </c>
      <c r="H46" t="s">
        <v>2978</v>
      </c>
      <c r="L46" s="1">
        <v>42717</v>
      </c>
    </row>
    <row r="47" spans="2:13" x14ac:dyDescent="0.25">
      <c r="B47" t="s">
        <v>2977</v>
      </c>
      <c r="C47" t="s">
        <v>0</v>
      </c>
      <c r="D47" t="s">
        <v>1</v>
      </c>
      <c r="E47">
        <v>661054</v>
      </c>
      <c r="F47" t="s">
        <v>395</v>
      </c>
      <c r="H47" t="s">
        <v>2978</v>
      </c>
      <c r="L47" s="1">
        <v>42681</v>
      </c>
      <c r="M47" s="1">
        <v>42781</v>
      </c>
    </row>
    <row r="48" spans="2:13" x14ac:dyDescent="0.25">
      <c r="B48" t="s">
        <v>2975</v>
      </c>
      <c r="C48" t="s">
        <v>0</v>
      </c>
      <c r="D48" t="s">
        <v>1</v>
      </c>
      <c r="E48">
        <v>655817</v>
      </c>
      <c r="F48" t="s">
        <v>44</v>
      </c>
      <c r="H48" t="s">
        <v>2976</v>
      </c>
      <c r="L48" s="1">
        <v>42517</v>
      </c>
      <c r="M48" s="1">
        <v>42614</v>
      </c>
    </row>
    <row r="49" spans="2:13" x14ac:dyDescent="0.25">
      <c r="B49" t="s">
        <v>2973</v>
      </c>
      <c r="C49" t="s">
        <v>0</v>
      </c>
      <c r="D49" t="s">
        <v>1</v>
      </c>
      <c r="E49">
        <v>662323</v>
      </c>
      <c r="F49" t="s">
        <v>177</v>
      </c>
      <c r="H49" t="s">
        <v>2974</v>
      </c>
      <c r="L49" s="1">
        <v>42766</v>
      </c>
      <c r="M49" s="1">
        <v>42824</v>
      </c>
    </row>
    <row r="50" spans="2:13" x14ac:dyDescent="0.25">
      <c r="B50" t="s">
        <v>2971</v>
      </c>
      <c r="C50" t="s">
        <v>0</v>
      </c>
      <c r="D50" t="s">
        <v>1</v>
      </c>
      <c r="E50">
        <v>648850</v>
      </c>
      <c r="F50" t="s">
        <v>68</v>
      </c>
      <c r="H50" t="s">
        <v>2972</v>
      </c>
      <c r="L50" s="1">
        <v>42255</v>
      </c>
      <c r="M50" s="1">
        <v>42390</v>
      </c>
    </row>
    <row r="51" spans="2:13" x14ac:dyDescent="0.25">
      <c r="B51" t="s">
        <v>2970</v>
      </c>
      <c r="C51" t="s">
        <v>0</v>
      </c>
      <c r="D51" t="s">
        <v>1</v>
      </c>
      <c r="E51">
        <v>653815</v>
      </c>
      <c r="F51" t="s">
        <v>44</v>
      </c>
      <c r="H51" t="s">
        <v>2969</v>
      </c>
      <c r="L51" s="1">
        <v>42345</v>
      </c>
      <c r="M51" s="1">
        <v>42549</v>
      </c>
    </row>
    <row r="52" spans="2:13" x14ac:dyDescent="0.25">
      <c r="B52" t="s">
        <v>2968</v>
      </c>
      <c r="C52" t="s">
        <v>100</v>
      </c>
      <c r="D52" t="s">
        <v>50</v>
      </c>
      <c r="E52">
        <v>647479</v>
      </c>
      <c r="F52" t="s">
        <v>177</v>
      </c>
      <c r="H52" t="s">
        <v>2969</v>
      </c>
      <c r="L52" s="1">
        <v>42318</v>
      </c>
    </row>
    <row r="53" spans="2:13" x14ac:dyDescent="0.25">
      <c r="B53" t="s">
        <v>2966</v>
      </c>
      <c r="C53" t="s">
        <v>0</v>
      </c>
      <c r="D53" t="s">
        <v>1</v>
      </c>
      <c r="E53">
        <v>645103</v>
      </c>
      <c r="F53" t="s">
        <v>68</v>
      </c>
      <c r="H53" t="s">
        <v>2967</v>
      </c>
      <c r="L53" s="1">
        <v>42213</v>
      </c>
      <c r="M53" s="1">
        <v>42261</v>
      </c>
    </row>
    <row r="54" spans="2:13" x14ac:dyDescent="0.25">
      <c r="B54" t="s">
        <v>2964</v>
      </c>
      <c r="C54" t="s">
        <v>0</v>
      </c>
      <c r="D54" t="s">
        <v>1</v>
      </c>
      <c r="E54">
        <v>645558</v>
      </c>
      <c r="F54" t="s">
        <v>68</v>
      </c>
      <c r="H54" t="s">
        <v>2965</v>
      </c>
      <c r="L54" s="1">
        <v>42213</v>
      </c>
      <c r="M54" s="1">
        <v>42275</v>
      </c>
    </row>
    <row r="55" spans="2:13" x14ac:dyDescent="0.25">
      <c r="B55" t="s">
        <v>2962</v>
      </c>
      <c r="C55" t="s">
        <v>0</v>
      </c>
      <c r="D55" t="s">
        <v>1</v>
      </c>
      <c r="E55">
        <v>646568</v>
      </c>
      <c r="F55" t="s">
        <v>68</v>
      </c>
      <c r="H55" t="s">
        <v>2963</v>
      </c>
      <c r="L55" s="1">
        <v>42194</v>
      </c>
      <c r="M55" s="1">
        <v>42311</v>
      </c>
    </row>
    <row r="56" spans="2:13" x14ac:dyDescent="0.25">
      <c r="B56" t="s">
        <v>2961</v>
      </c>
      <c r="C56" t="s">
        <v>100</v>
      </c>
      <c r="D56" t="s">
        <v>50</v>
      </c>
      <c r="E56">
        <v>650230</v>
      </c>
      <c r="F56" t="s">
        <v>68</v>
      </c>
      <c r="H56" t="s">
        <v>2960</v>
      </c>
      <c r="L56" s="1">
        <v>42339</v>
      </c>
    </row>
    <row r="57" spans="2:13" x14ac:dyDescent="0.25">
      <c r="B57" t="s">
        <v>2959</v>
      </c>
      <c r="C57" t="s">
        <v>0</v>
      </c>
      <c r="D57" t="s">
        <v>1</v>
      </c>
      <c r="E57">
        <v>645807</v>
      </c>
      <c r="F57" t="s">
        <v>68</v>
      </c>
      <c r="H57" t="s">
        <v>2960</v>
      </c>
      <c r="L57" s="1">
        <v>42157</v>
      </c>
      <c r="M57" s="1">
        <v>42283</v>
      </c>
    </row>
    <row r="58" spans="2:13" x14ac:dyDescent="0.25">
      <c r="B58" t="s">
        <v>2958</v>
      </c>
      <c r="C58" t="s">
        <v>139</v>
      </c>
      <c r="F58" t="s">
        <v>136</v>
      </c>
      <c r="H58" t="s">
        <v>2956</v>
      </c>
      <c r="L58" s="1">
        <v>42866</v>
      </c>
      <c r="M58" s="1">
        <v>42899</v>
      </c>
    </row>
    <row r="59" spans="2:13" x14ac:dyDescent="0.25">
      <c r="B59" t="s">
        <v>2957</v>
      </c>
      <c r="C59" t="s">
        <v>0</v>
      </c>
      <c r="D59" t="s">
        <v>1</v>
      </c>
      <c r="E59">
        <v>661469</v>
      </c>
      <c r="F59" t="s">
        <v>136</v>
      </c>
      <c r="H59" t="s">
        <v>2956</v>
      </c>
      <c r="L59" s="1">
        <v>42724</v>
      </c>
      <c r="M59" s="1">
        <v>42794</v>
      </c>
    </row>
    <row r="60" spans="2:13" x14ac:dyDescent="0.25">
      <c r="B60" t="s">
        <v>2955</v>
      </c>
      <c r="C60" t="s">
        <v>0</v>
      </c>
      <c r="D60" t="s">
        <v>1</v>
      </c>
      <c r="E60">
        <v>646771</v>
      </c>
      <c r="F60" t="s">
        <v>332</v>
      </c>
      <c r="H60" t="s">
        <v>2956</v>
      </c>
      <c r="L60" s="1">
        <v>42139</v>
      </c>
      <c r="M60" s="1">
        <v>42320</v>
      </c>
    </row>
    <row r="61" spans="2:13" x14ac:dyDescent="0.25">
      <c r="B61" t="s">
        <v>2953</v>
      </c>
      <c r="C61" t="s">
        <v>0</v>
      </c>
      <c r="D61" t="s">
        <v>1</v>
      </c>
      <c r="E61">
        <v>658170</v>
      </c>
      <c r="F61" t="s">
        <v>177</v>
      </c>
      <c r="H61" t="s">
        <v>2954</v>
      </c>
      <c r="L61" s="1">
        <v>42482</v>
      </c>
      <c r="M61" s="1">
        <v>42696</v>
      </c>
    </row>
    <row r="62" spans="2:13" x14ac:dyDescent="0.25">
      <c r="B62" t="s">
        <v>2951</v>
      </c>
      <c r="C62" t="s">
        <v>0</v>
      </c>
      <c r="D62" t="s">
        <v>1</v>
      </c>
      <c r="E62">
        <v>657896</v>
      </c>
      <c r="F62" t="s">
        <v>44</v>
      </c>
      <c r="H62" t="s">
        <v>2952</v>
      </c>
      <c r="L62" s="1">
        <v>42578</v>
      </c>
      <c r="M62" s="1">
        <v>42688</v>
      </c>
    </row>
    <row r="63" spans="2:13" x14ac:dyDescent="0.25">
      <c r="B63" t="s">
        <v>2949</v>
      </c>
      <c r="C63" t="s">
        <v>0</v>
      </c>
      <c r="D63" t="s">
        <v>1</v>
      </c>
      <c r="E63">
        <v>646770</v>
      </c>
      <c r="F63" t="s">
        <v>332</v>
      </c>
      <c r="H63" t="s">
        <v>2950</v>
      </c>
      <c r="L63" s="1">
        <v>42139</v>
      </c>
      <c r="M63" s="1">
        <v>42320</v>
      </c>
    </row>
    <row r="64" spans="2:13" x14ac:dyDescent="0.25">
      <c r="B64" t="s">
        <v>2948</v>
      </c>
      <c r="C64" t="s">
        <v>0</v>
      </c>
      <c r="D64" t="s">
        <v>1</v>
      </c>
      <c r="E64">
        <v>640901</v>
      </c>
      <c r="F64" t="s">
        <v>332</v>
      </c>
      <c r="H64" t="s">
        <v>2947</v>
      </c>
      <c r="L64" s="1">
        <v>42086</v>
      </c>
      <c r="M64" s="1">
        <v>42144</v>
      </c>
    </row>
    <row r="65" spans="2:13" x14ac:dyDescent="0.25">
      <c r="B65" t="s">
        <v>2946</v>
      </c>
      <c r="C65" t="s">
        <v>0</v>
      </c>
      <c r="D65" t="s">
        <v>1</v>
      </c>
      <c r="E65">
        <v>634641</v>
      </c>
      <c r="F65" t="s">
        <v>332</v>
      </c>
      <c r="H65" t="s">
        <v>2947</v>
      </c>
      <c r="L65" s="1">
        <v>41934</v>
      </c>
      <c r="M65" s="1">
        <v>42003</v>
      </c>
    </row>
    <row r="66" spans="2:13" x14ac:dyDescent="0.25">
      <c r="B66" t="s">
        <v>2945</v>
      </c>
      <c r="C66" t="s">
        <v>162</v>
      </c>
      <c r="F66" t="s">
        <v>163</v>
      </c>
      <c r="H66" t="s">
        <v>2943</v>
      </c>
      <c r="L66" s="1">
        <v>42887</v>
      </c>
      <c r="M66" s="1">
        <v>42912</v>
      </c>
    </row>
    <row r="67" spans="2:13" x14ac:dyDescent="0.25">
      <c r="B67" t="s">
        <v>2944</v>
      </c>
      <c r="C67" t="s">
        <v>0</v>
      </c>
      <c r="D67" t="s">
        <v>1</v>
      </c>
      <c r="E67">
        <v>647529</v>
      </c>
      <c r="F67" t="s">
        <v>68</v>
      </c>
      <c r="H67" t="s">
        <v>2943</v>
      </c>
      <c r="L67" s="1">
        <v>42261</v>
      </c>
      <c r="M67" s="1">
        <v>42346</v>
      </c>
    </row>
    <row r="68" spans="2:13" x14ac:dyDescent="0.25">
      <c r="B68" t="s">
        <v>2942</v>
      </c>
      <c r="C68" t="s">
        <v>0</v>
      </c>
      <c r="D68" t="s">
        <v>1</v>
      </c>
      <c r="E68">
        <v>644217</v>
      </c>
      <c r="F68" t="s">
        <v>68</v>
      </c>
      <c r="H68" t="s">
        <v>2943</v>
      </c>
      <c r="L68" s="1">
        <v>42171</v>
      </c>
      <c r="M68" s="1">
        <v>42234</v>
      </c>
    </row>
    <row r="69" spans="2:13" x14ac:dyDescent="0.25">
      <c r="B69" t="s">
        <v>2941</v>
      </c>
      <c r="C69" t="s">
        <v>0</v>
      </c>
      <c r="D69" t="s">
        <v>1</v>
      </c>
      <c r="E69">
        <v>648662</v>
      </c>
      <c r="F69" t="s">
        <v>44</v>
      </c>
      <c r="H69" t="s">
        <v>2939</v>
      </c>
      <c r="L69" s="1">
        <v>42345</v>
      </c>
      <c r="M69" s="1">
        <v>42383</v>
      </c>
    </row>
    <row r="70" spans="2:13" x14ac:dyDescent="0.25">
      <c r="B70" t="s">
        <v>2940</v>
      </c>
      <c r="C70" t="s">
        <v>0</v>
      </c>
      <c r="D70" t="s">
        <v>1</v>
      </c>
      <c r="E70">
        <v>645278</v>
      </c>
      <c r="F70" t="s">
        <v>44</v>
      </c>
      <c r="H70" t="s">
        <v>2939</v>
      </c>
      <c r="L70" s="1">
        <v>42219</v>
      </c>
      <c r="M70" s="1">
        <v>42264</v>
      </c>
    </row>
    <row r="71" spans="2:13" x14ac:dyDescent="0.25">
      <c r="B71" t="s">
        <v>2938</v>
      </c>
      <c r="C71" t="s">
        <v>0</v>
      </c>
      <c r="D71" t="s">
        <v>1</v>
      </c>
      <c r="E71">
        <v>640784</v>
      </c>
      <c r="F71" t="s">
        <v>44</v>
      </c>
      <c r="H71" t="s">
        <v>2939</v>
      </c>
      <c r="L71" s="1">
        <v>42068</v>
      </c>
      <c r="M71" s="1">
        <v>42142</v>
      </c>
    </row>
    <row r="72" spans="2:13" x14ac:dyDescent="0.25">
      <c r="B72" t="s">
        <v>2937</v>
      </c>
      <c r="C72" t="s">
        <v>0</v>
      </c>
      <c r="D72" t="s">
        <v>1</v>
      </c>
      <c r="E72">
        <v>620616</v>
      </c>
      <c r="F72" t="s">
        <v>44</v>
      </c>
      <c r="H72" t="s">
        <v>2936</v>
      </c>
      <c r="L72" s="1">
        <v>41635</v>
      </c>
      <c r="M72" s="1">
        <v>41660</v>
      </c>
    </row>
    <row r="73" spans="2:13" x14ac:dyDescent="0.25">
      <c r="B73" t="s">
        <v>2935</v>
      </c>
      <c r="C73" t="s">
        <v>0</v>
      </c>
      <c r="D73" t="s">
        <v>1</v>
      </c>
      <c r="E73">
        <v>617743</v>
      </c>
      <c r="F73" t="s">
        <v>44</v>
      </c>
      <c r="H73" t="s">
        <v>2936</v>
      </c>
      <c r="L73" s="1">
        <v>41435</v>
      </c>
      <c r="M73" s="1">
        <v>41611</v>
      </c>
    </row>
    <row r="74" spans="2:13" x14ac:dyDescent="0.25">
      <c r="B74" t="s">
        <v>2933</v>
      </c>
      <c r="C74" t="s">
        <v>0</v>
      </c>
      <c r="D74" t="s">
        <v>1</v>
      </c>
      <c r="E74">
        <v>655662</v>
      </c>
      <c r="F74" t="s">
        <v>44</v>
      </c>
      <c r="H74" t="s">
        <v>2934</v>
      </c>
      <c r="L74" s="1">
        <v>42464</v>
      </c>
      <c r="M74" s="1">
        <v>42611</v>
      </c>
    </row>
    <row r="75" spans="2:13" x14ac:dyDescent="0.25">
      <c r="B75" t="s">
        <v>2931</v>
      </c>
      <c r="C75" t="s">
        <v>0</v>
      </c>
      <c r="D75" t="s">
        <v>1</v>
      </c>
      <c r="E75">
        <v>638011</v>
      </c>
      <c r="F75" t="s">
        <v>44</v>
      </c>
      <c r="H75" t="s">
        <v>2932</v>
      </c>
      <c r="L75" s="1">
        <v>41870</v>
      </c>
      <c r="M75" s="1">
        <v>42082</v>
      </c>
    </row>
    <row r="76" spans="2:13" x14ac:dyDescent="0.25">
      <c r="L76" s="1"/>
      <c r="M76" s="1"/>
    </row>
    <row r="77" spans="2:13" x14ac:dyDescent="0.25">
      <c r="B77" t="s">
        <v>2929</v>
      </c>
      <c r="C77" t="s">
        <v>100</v>
      </c>
      <c r="D77" t="s">
        <v>50</v>
      </c>
      <c r="E77">
        <v>663809</v>
      </c>
      <c r="F77" t="s">
        <v>163</v>
      </c>
      <c r="H77" t="s">
        <v>2930</v>
      </c>
      <c r="L77" s="1">
        <v>42811</v>
      </c>
    </row>
    <row r="78" spans="2:13" x14ac:dyDescent="0.25">
      <c r="B78" t="s">
        <v>2928</v>
      </c>
      <c r="C78" t="s">
        <v>140</v>
      </c>
      <c r="F78" t="s">
        <v>2923</v>
      </c>
      <c r="H78" t="s">
        <v>2925</v>
      </c>
      <c r="L78" s="1">
        <v>42797</v>
      </c>
      <c r="M78" s="1">
        <v>42912</v>
      </c>
    </row>
    <row r="79" spans="2:13" x14ac:dyDescent="0.25">
      <c r="B79" t="s">
        <v>2927</v>
      </c>
      <c r="C79" t="s">
        <v>139</v>
      </c>
      <c r="F79" t="s">
        <v>163</v>
      </c>
      <c r="H79" t="s">
        <v>2925</v>
      </c>
      <c r="L79" s="1">
        <v>42753</v>
      </c>
      <c r="M79" s="1">
        <v>42899</v>
      </c>
    </row>
    <row r="80" spans="2:13" x14ac:dyDescent="0.25">
      <c r="B80" t="s">
        <v>2926</v>
      </c>
      <c r="C80" t="s">
        <v>0</v>
      </c>
      <c r="D80" t="s">
        <v>1</v>
      </c>
      <c r="E80">
        <v>644576</v>
      </c>
      <c r="F80" t="s">
        <v>68</v>
      </c>
      <c r="H80" t="s">
        <v>2925</v>
      </c>
      <c r="L80" s="1">
        <v>42201</v>
      </c>
      <c r="M80" s="1">
        <v>42242</v>
      </c>
    </row>
    <row r="81" spans="2:13" x14ac:dyDescent="0.25">
      <c r="B81" t="s">
        <v>2924</v>
      </c>
      <c r="C81" t="s">
        <v>0</v>
      </c>
      <c r="D81" t="s">
        <v>1</v>
      </c>
      <c r="E81">
        <v>622581</v>
      </c>
      <c r="F81" t="s">
        <v>68</v>
      </c>
      <c r="H81" t="s">
        <v>2925</v>
      </c>
      <c r="L81" s="1">
        <v>41656</v>
      </c>
      <c r="M81" s="1">
        <v>41710</v>
      </c>
    </row>
    <row r="82" spans="2:13" x14ac:dyDescent="0.25">
      <c r="B82" t="s">
        <v>2922</v>
      </c>
      <c r="C82" t="s">
        <v>139</v>
      </c>
      <c r="F82" t="s">
        <v>2923</v>
      </c>
      <c r="H82" t="s">
        <v>2921</v>
      </c>
      <c r="L82" s="1">
        <v>42863</v>
      </c>
    </row>
    <row r="83" spans="2:13" x14ac:dyDescent="0.25">
      <c r="B83" t="s">
        <v>2919</v>
      </c>
      <c r="C83" t="s">
        <v>139</v>
      </c>
      <c r="F83" t="s">
        <v>2920</v>
      </c>
      <c r="H83" t="s">
        <v>2921</v>
      </c>
      <c r="L83" s="1">
        <v>42787</v>
      </c>
      <c r="M83" s="1">
        <v>42899</v>
      </c>
    </row>
    <row r="84" spans="2:13" x14ac:dyDescent="0.25">
      <c r="B84" t="s">
        <v>2917</v>
      </c>
      <c r="C84" t="s">
        <v>100</v>
      </c>
      <c r="D84" t="s">
        <v>50</v>
      </c>
      <c r="E84">
        <v>663810</v>
      </c>
      <c r="F84" t="s">
        <v>163</v>
      </c>
      <c r="H84" t="s">
        <v>2918</v>
      </c>
      <c r="L84" s="1">
        <v>42811</v>
      </c>
    </row>
    <row r="85" spans="2:13" x14ac:dyDescent="0.25">
      <c r="B85" t="s">
        <v>2915</v>
      </c>
      <c r="C85" t="s">
        <v>0</v>
      </c>
      <c r="D85" t="s">
        <v>1</v>
      </c>
      <c r="E85">
        <v>620247</v>
      </c>
      <c r="F85" t="s">
        <v>210</v>
      </c>
      <c r="H85" t="s">
        <v>2916</v>
      </c>
      <c r="L85" s="1">
        <v>41591</v>
      </c>
      <c r="M85" s="1">
        <v>41652</v>
      </c>
    </row>
    <row r="86" spans="2:13" x14ac:dyDescent="0.25">
      <c r="B86" t="s">
        <v>2907</v>
      </c>
      <c r="C86" t="s">
        <v>0</v>
      </c>
      <c r="D86" t="s">
        <v>1</v>
      </c>
      <c r="E86">
        <v>647049</v>
      </c>
      <c r="F86" t="s">
        <v>397</v>
      </c>
      <c r="H86" t="s">
        <v>2914</v>
      </c>
      <c r="L86" s="1">
        <v>42291</v>
      </c>
      <c r="M86" s="1">
        <v>42327</v>
      </c>
    </row>
    <row r="87" spans="2:13" x14ac:dyDescent="0.25">
      <c r="B87" t="s">
        <v>2906</v>
      </c>
      <c r="C87" t="s">
        <v>0</v>
      </c>
      <c r="D87" t="s">
        <v>1</v>
      </c>
      <c r="E87">
        <v>646068</v>
      </c>
      <c r="F87" t="s">
        <v>397</v>
      </c>
      <c r="H87" t="s">
        <v>2914</v>
      </c>
      <c r="L87" s="1">
        <v>42248</v>
      </c>
      <c r="M87" s="1">
        <v>42292</v>
      </c>
    </row>
    <row r="88" spans="2:13" x14ac:dyDescent="0.25">
      <c r="B88" t="s">
        <v>2905</v>
      </c>
      <c r="C88" t="s">
        <v>0</v>
      </c>
      <c r="D88" t="s">
        <v>1</v>
      </c>
      <c r="E88">
        <v>646159</v>
      </c>
      <c r="F88" t="s">
        <v>397</v>
      </c>
      <c r="H88" t="s">
        <v>2914</v>
      </c>
      <c r="L88" s="1">
        <v>42248</v>
      </c>
      <c r="M88" s="1">
        <v>42296</v>
      </c>
    </row>
    <row r="89" spans="2:13" x14ac:dyDescent="0.25">
      <c r="B89" t="s">
        <v>2904</v>
      </c>
      <c r="C89" t="s">
        <v>100</v>
      </c>
      <c r="D89" t="s">
        <v>50</v>
      </c>
      <c r="E89">
        <v>626042</v>
      </c>
      <c r="F89" t="s">
        <v>2640</v>
      </c>
      <c r="H89" t="s">
        <v>2914</v>
      </c>
      <c r="L89" s="1">
        <v>41758</v>
      </c>
    </row>
    <row r="90" spans="2:13" x14ac:dyDescent="0.25">
      <c r="B90" t="s">
        <v>2902</v>
      </c>
      <c r="C90" t="s">
        <v>0</v>
      </c>
      <c r="D90" t="s">
        <v>1</v>
      </c>
      <c r="E90">
        <v>619868</v>
      </c>
      <c r="F90" t="s">
        <v>2640</v>
      </c>
      <c r="H90" t="s">
        <v>2914</v>
      </c>
      <c r="L90" s="1">
        <v>41597</v>
      </c>
      <c r="M90" s="1">
        <v>41641</v>
      </c>
    </row>
    <row r="91" spans="2:13" x14ac:dyDescent="0.25">
      <c r="B91" t="s">
        <v>2912</v>
      </c>
      <c r="C91" t="s">
        <v>140</v>
      </c>
      <c r="F91" t="s">
        <v>2894</v>
      </c>
      <c r="H91" t="s">
        <v>2913</v>
      </c>
      <c r="L91" s="1">
        <v>42870</v>
      </c>
      <c r="M91" s="1">
        <v>42905</v>
      </c>
    </row>
    <row r="92" spans="2:13" x14ac:dyDescent="0.25">
      <c r="B92" t="s">
        <v>2911</v>
      </c>
      <c r="C92" t="s">
        <v>0</v>
      </c>
      <c r="D92" t="s">
        <v>1</v>
      </c>
      <c r="E92">
        <v>647513</v>
      </c>
      <c r="F92" t="s">
        <v>177</v>
      </c>
      <c r="H92" t="s">
        <v>2910</v>
      </c>
      <c r="L92" s="1">
        <v>42317</v>
      </c>
      <c r="M92" s="1">
        <v>42345</v>
      </c>
    </row>
    <row r="93" spans="2:13" x14ac:dyDescent="0.25">
      <c r="B93" t="s">
        <v>2908</v>
      </c>
      <c r="C93" t="s">
        <v>0</v>
      </c>
      <c r="D93" t="s">
        <v>1</v>
      </c>
      <c r="E93">
        <v>645168</v>
      </c>
      <c r="F93" t="s">
        <v>2909</v>
      </c>
      <c r="H93" t="s">
        <v>2910</v>
      </c>
      <c r="L93" s="1">
        <v>41933</v>
      </c>
      <c r="M93" s="1">
        <v>42263</v>
      </c>
    </row>
    <row r="94" spans="2:13" x14ac:dyDescent="0.25">
      <c r="B94" t="s">
        <v>2907</v>
      </c>
      <c r="C94" t="s">
        <v>0</v>
      </c>
      <c r="D94" t="s">
        <v>1</v>
      </c>
      <c r="E94">
        <v>647049</v>
      </c>
      <c r="F94" t="s">
        <v>397</v>
      </c>
      <c r="H94" t="s">
        <v>2903</v>
      </c>
      <c r="L94" s="1">
        <v>42291</v>
      </c>
      <c r="M94" s="1">
        <v>42327</v>
      </c>
    </row>
    <row r="95" spans="2:13" x14ac:dyDescent="0.25">
      <c r="B95" t="s">
        <v>2906</v>
      </c>
      <c r="C95" t="s">
        <v>0</v>
      </c>
      <c r="D95" t="s">
        <v>1</v>
      </c>
      <c r="E95">
        <v>646068</v>
      </c>
      <c r="F95" t="s">
        <v>397</v>
      </c>
      <c r="H95" t="s">
        <v>2903</v>
      </c>
      <c r="L95" s="1">
        <v>42248</v>
      </c>
      <c r="M95" s="1">
        <v>42292</v>
      </c>
    </row>
    <row r="96" spans="2:13" x14ac:dyDescent="0.25">
      <c r="B96" t="s">
        <v>2905</v>
      </c>
      <c r="C96" t="s">
        <v>0</v>
      </c>
      <c r="D96" t="s">
        <v>1</v>
      </c>
      <c r="E96">
        <v>646159</v>
      </c>
      <c r="F96" t="s">
        <v>397</v>
      </c>
      <c r="H96" t="s">
        <v>2903</v>
      </c>
      <c r="L96" s="1">
        <v>42248</v>
      </c>
      <c r="M96" s="1">
        <v>42296</v>
      </c>
    </row>
    <row r="97" spans="2:13" x14ac:dyDescent="0.25">
      <c r="B97" t="s">
        <v>2904</v>
      </c>
      <c r="C97" t="s">
        <v>100</v>
      </c>
      <c r="D97" t="s">
        <v>50</v>
      </c>
      <c r="E97">
        <v>626042</v>
      </c>
      <c r="F97" t="s">
        <v>2640</v>
      </c>
      <c r="H97" t="s">
        <v>2903</v>
      </c>
      <c r="L97" s="1">
        <v>41758</v>
      </c>
    </row>
    <row r="98" spans="2:13" x14ac:dyDescent="0.25">
      <c r="B98" t="s">
        <v>2902</v>
      </c>
      <c r="C98" t="s">
        <v>0</v>
      </c>
      <c r="D98" t="s">
        <v>1</v>
      </c>
      <c r="E98">
        <v>619868</v>
      </c>
      <c r="F98" t="s">
        <v>2640</v>
      </c>
      <c r="H98" t="s">
        <v>2903</v>
      </c>
      <c r="L98" s="1">
        <v>41597</v>
      </c>
      <c r="M98" s="1">
        <v>41641</v>
      </c>
    </row>
    <row r="99" spans="2:13" x14ac:dyDescent="0.25">
      <c r="B99" t="s">
        <v>2900</v>
      </c>
      <c r="C99" t="s">
        <v>0</v>
      </c>
      <c r="D99" t="s">
        <v>1</v>
      </c>
      <c r="E99">
        <v>651854</v>
      </c>
      <c r="F99" t="s">
        <v>68</v>
      </c>
      <c r="H99" t="s">
        <v>2901</v>
      </c>
      <c r="L99" s="1">
        <v>42331</v>
      </c>
      <c r="M99" s="1">
        <v>42478</v>
      </c>
    </row>
    <row r="100" spans="2:13" x14ac:dyDescent="0.25">
      <c r="B100" t="s">
        <v>2898</v>
      </c>
      <c r="C100" t="s">
        <v>0</v>
      </c>
      <c r="D100" t="s">
        <v>1</v>
      </c>
      <c r="E100">
        <v>662953</v>
      </c>
      <c r="F100" t="s">
        <v>163</v>
      </c>
      <c r="H100" t="s">
        <v>2899</v>
      </c>
      <c r="L100" s="1">
        <v>42754</v>
      </c>
      <c r="M100" s="1">
        <v>42845</v>
      </c>
    </row>
    <row r="101" spans="2:13" x14ac:dyDescent="0.25">
      <c r="B101" t="s">
        <v>2896</v>
      </c>
      <c r="C101" t="s">
        <v>139</v>
      </c>
      <c r="F101" t="s">
        <v>183</v>
      </c>
      <c r="H101" t="s">
        <v>2897</v>
      </c>
      <c r="L101" s="1">
        <v>42860</v>
      </c>
    </row>
    <row r="102" spans="2:13" x14ac:dyDescent="0.25">
      <c r="B102" t="s">
        <v>2893</v>
      </c>
      <c r="C102" t="s">
        <v>139</v>
      </c>
      <c r="F102" t="s">
        <v>2894</v>
      </c>
      <c r="H102" t="s">
        <v>2895</v>
      </c>
      <c r="L102" s="1">
        <v>42879</v>
      </c>
      <c r="M102" s="1">
        <v>42898</v>
      </c>
    </row>
    <row r="103" spans="2:13" x14ac:dyDescent="0.25">
      <c r="B103" t="s">
        <v>2891</v>
      </c>
      <c r="C103" t="s">
        <v>0</v>
      </c>
      <c r="D103" t="s">
        <v>1</v>
      </c>
      <c r="E103">
        <v>647528</v>
      </c>
      <c r="F103" t="s">
        <v>68</v>
      </c>
      <c r="H103" t="s">
        <v>2892</v>
      </c>
      <c r="L103" s="1">
        <v>42256</v>
      </c>
      <c r="M103" s="1">
        <v>42346</v>
      </c>
    </row>
    <row r="104" spans="2:13" x14ac:dyDescent="0.25">
      <c r="B104" t="s">
        <v>2890</v>
      </c>
      <c r="C104" t="s">
        <v>0</v>
      </c>
      <c r="D104" t="s">
        <v>1</v>
      </c>
      <c r="E104">
        <v>647929</v>
      </c>
      <c r="F104" t="s">
        <v>68</v>
      </c>
      <c r="H104" t="s">
        <v>2889</v>
      </c>
      <c r="L104" s="1">
        <v>42310</v>
      </c>
      <c r="M104" s="1">
        <v>42360</v>
      </c>
    </row>
    <row r="105" spans="2:13" x14ac:dyDescent="0.25">
      <c r="B105" t="s">
        <v>2888</v>
      </c>
      <c r="C105" t="s">
        <v>0</v>
      </c>
      <c r="D105" t="s">
        <v>1</v>
      </c>
      <c r="E105">
        <v>644575</v>
      </c>
      <c r="F105" t="s">
        <v>68</v>
      </c>
      <c r="H105" t="s">
        <v>2889</v>
      </c>
      <c r="L105" s="1">
        <v>42201</v>
      </c>
      <c r="M105" s="1">
        <v>42242</v>
      </c>
    </row>
    <row r="106" spans="2:13" x14ac:dyDescent="0.25">
      <c r="L106" s="1"/>
      <c r="M106" s="1"/>
    </row>
    <row r="107" spans="2:13" x14ac:dyDescent="0.25">
      <c r="B107" t="s">
        <v>2887</v>
      </c>
      <c r="C107" t="s">
        <v>100</v>
      </c>
      <c r="D107" t="s">
        <v>50</v>
      </c>
      <c r="E107">
        <v>656381</v>
      </c>
      <c r="F107" t="s">
        <v>44</v>
      </c>
      <c r="H107" t="s">
        <v>2886</v>
      </c>
      <c r="L107" s="1">
        <v>42517</v>
      </c>
    </row>
    <row r="108" spans="2:13" x14ac:dyDescent="0.25">
      <c r="B108" t="s">
        <v>2885</v>
      </c>
      <c r="C108" t="s">
        <v>0</v>
      </c>
      <c r="D108" t="s">
        <v>1</v>
      </c>
      <c r="E108">
        <v>649914</v>
      </c>
      <c r="F108" t="s">
        <v>44</v>
      </c>
      <c r="H108" t="s">
        <v>2886</v>
      </c>
      <c r="L108" s="1">
        <v>42269</v>
      </c>
      <c r="M108" s="1">
        <v>42418</v>
      </c>
    </row>
    <row r="109" spans="2:13" x14ac:dyDescent="0.25">
      <c r="B109" t="s">
        <v>2884</v>
      </c>
      <c r="C109" t="s">
        <v>0</v>
      </c>
      <c r="D109" t="s">
        <v>1</v>
      </c>
      <c r="E109">
        <v>656154</v>
      </c>
      <c r="F109" t="s">
        <v>163</v>
      </c>
      <c r="H109" t="s">
        <v>2881</v>
      </c>
      <c r="L109" s="1">
        <v>42594</v>
      </c>
      <c r="M109" s="1">
        <v>42629</v>
      </c>
    </row>
    <row r="110" spans="2:13" x14ac:dyDescent="0.25">
      <c r="B110" t="s">
        <v>2883</v>
      </c>
      <c r="C110" t="s">
        <v>0</v>
      </c>
      <c r="D110" t="s">
        <v>1</v>
      </c>
      <c r="E110">
        <v>653486</v>
      </c>
      <c r="F110" t="s">
        <v>68</v>
      </c>
      <c r="H110" t="s">
        <v>2881</v>
      </c>
      <c r="L110" s="1">
        <v>42507</v>
      </c>
      <c r="M110" s="1">
        <v>42535</v>
      </c>
    </row>
    <row r="111" spans="2:13" x14ac:dyDescent="0.25">
      <c r="B111" t="s">
        <v>2882</v>
      </c>
      <c r="C111" t="s">
        <v>0</v>
      </c>
      <c r="D111" t="s">
        <v>1</v>
      </c>
      <c r="E111">
        <v>651703</v>
      </c>
      <c r="F111" t="s">
        <v>68</v>
      </c>
      <c r="H111" t="s">
        <v>2881</v>
      </c>
      <c r="L111" s="1">
        <v>42436</v>
      </c>
      <c r="M111" s="1">
        <v>42472</v>
      </c>
    </row>
    <row r="112" spans="2:13" x14ac:dyDescent="0.25">
      <c r="B112" t="s">
        <v>2880</v>
      </c>
      <c r="C112" t="s">
        <v>0</v>
      </c>
      <c r="D112" t="s">
        <v>1</v>
      </c>
      <c r="E112">
        <v>649428</v>
      </c>
      <c r="F112" t="s">
        <v>68</v>
      </c>
      <c r="H112" t="s">
        <v>2881</v>
      </c>
      <c r="L112" s="1">
        <v>42347</v>
      </c>
      <c r="M112" s="1">
        <v>42403</v>
      </c>
    </row>
    <row r="113" spans="2:13" x14ac:dyDescent="0.25">
      <c r="B113" t="s">
        <v>2878</v>
      </c>
      <c r="C113" t="s">
        <v>0</v>
      </c>
      <c r="D113" t="s">
        <v>1</v>
      </c>
      <c r="E113">
        <v>645911</v>
      </c>
      <c r="F113" t="s">
        <v>332</v>
      </c>
      <c r="H113" t="s">
        <v>2879</v>
      </c>
      <c r="L113" s="1">
        <v>42251</v>
      </c>
      <c r="M113" s="1">
        <v>42285</v>
      </c>
    </row>
    <row r="114" spans="2:13" x14ac:dyDescent="0.25">
      <c r="B114" t="s">
        <v>2876</v>
      </c>
      <c r="C114" t="s">
        <v>0</v>
      </c>
      <c r="D114" t="s">
        <v>1</v>
      </c>
      <c r="E114">
        <v>647144</v>
      </c>
      <c r="F114" t="s">
        <v>332</v>
      </c>
      <c r="H114" t="s">
        <v>2877</v>
      </c>
      <c r="L114" s="1">
        <v>42024</v>
      </c>
      <c r="M114" s="1">
        <v>42331</v>
      </c>
    </row>
    <row r="115" spans="2:13" x14ac:dyDescent="0.25">
      <c r="B115" t="s">
        <v>2874</v>
      </c>
      <c r="C115" t="s">
        <v>0</v>
      </c>
      <c r="D115" t="s">
        <v>1</v>
      </c>
      <c r="E115">
        <v>649913</v>
      </c>
      <c r="F115" t="s">
        <v>44</v>
      </c>
      <c r="H115" t="s">
        <v>2875</v>
      </c>
      <c r="L115" s="1">
        <v>42269</v>
      </c>
      <c r="M115" s="1">
        <v>42418</v>
      </c>
    </row>
    <row r="116" spans="2:13" x14ac:dyDescent="0.25">
      <c r="B116" t="s">
        <v>2872</v>
      </c>
      <c r="C116" t="s">
        <v>100</v>
      </c>
      <c r="D116" t="s">
        <v>50</v>
      </c>
      <c r="E116">
        <v>647160</v>
      </c>
      <c r="F116" t="s">
        <v>44</v>
      </c>
      <c r="H116" t="s">
        <v>2873</v>
      </c>
      <c r="L116" s="1">
        <v>42263</v>
      </c>
    </row>
    <row r="117" spans="2:13" x14ac:dyDescent="0.25">
      <c r="B117" t="s">
        <v>2871</v>
      </c>
      <c r="C117" t="s">
        <v>0</v>
      </c>
      <c r="D117" t="s">
        <v>1</v>
      </c>
      <c r="E117">
        <v>658505</v>
      </c>
      <c r="F117" t="s">
        <v>44</v>
      </c>
      <c r="H117" t="s">
        <v>2870</v>
      </c>
      <c r="L117" s="1">
        <v>42674</v>
      </c>
      <c r="M117" s="1">
        <v>42705</v>
      </c>
    </row>
    <row r="118" spans="2:13" x14ac:dyDescent="0.25">
      <c r="B118" t="s">
        <v>2869</v>
      </c>
      <c r="C118" t="s">
        <v>100</v>
      </c>
      <c r="D118" t="s">
        <v>50</v>
      </c>
      <c r="E118">
        <v>649525</v>
      </c>
      <c r="F118" t="s">
        <v>44</v>
      </c>
      <c r="H118" t="s">
        <v>2870</v>
      </c>
      <c r="L118" s="1">
        <v>42263</v>
      </c>
    </row>
    <row r="119" spans="2:13" x14ac:dyDescent="0.25">
      <c r="B119" t="s">
        <v>2868</v>
      </c>
      <c r="C119" t="s">
        <v>0</v>
      </c>
      <c r="D119" t="s">
        <v>1</v>
      </c>
      <c r="E119">
        <v>655542</v>
      </c>
      <c r="F119" t="s">
        <v>44</v>
      </c>
      <c r="H119" t="s">
        <v>2867</v>
      </c>
      <c r="L119" s="1">
        <v>42559</v>
      </c>
      <c r="M119" s="1">
        <v>42606</v>
      </c>
    </row>
    <row r="120" spans="2:13" x14ac:dyDescent="0.25">
      <c r="B120" t="s">
        <v>2866</v>
      </c>
      <c r="C120" t="s">
        <v>0</v>
      </c>
      <c r="D120" t="s">
        <v>1</v>
      </c>
      <c r="E120">
        <v>652571</v>
      </c>
      <c r="F120" t="s">
        <v>44</v>
      </c>
      <c r="H120" t="s">
        <v>2867</v>
      </c>
      <c r="L120" s="1">
        <v>42300</v>
      </c>
      <c r="M120" s="1">
        <v>42502</v>
      </c>
    </row>
    <row r="121" spans="2:13" x14ac:dyDescent="0.25">
      <c r="B121" t="s">
        <v>2865</v>
      </c>
      <c r="C121" t="s">
        <v>100</v>
      </c>
      <c r="D121" t="s">
        <v>50</v>
      </c>
      <c r="E121">
        <v>646262</v>
      </c>
      <c r="F121" t="s">
        <v>44</v>
      </c>
      <c r="H121" t="s">
        <v>2864</v>
      </c>
      <c r="L121" s="1">
        <v>42060</v>
      </c>
    </row>
    <row r="122" spans="2:13" x14ac:dyDescent="0.25">
      <c r="B122" t="s">
        <v>2863</v>
      </c>
      <c r="C122" t="s">
        <v>0</v>
      </c>
      <c r="D122" t="s">
        <v>1</v>
      </c>
      <c r="E122">
        <v>647143</v>
      </c>
      <c r="F122" t="s">
        <v>332</v>
      </c>
      <c r="H122" t="s">
        <v>2864</v>
      </c>
      <c r="L122" s="1">
        <v>42024</v>
      </c>
      <c r="M122" s="1">
        <v>42331</v>
      </c>
    </row>
    <row r="123" spans="2:13" x14ac:dyDescent="0.25">
      <c r="B123" t="s">
        <v>2861</v>
      </c>
      <c r="C123" t="s">
        <v>0</v>
      </c>
      <c r="D123" t="s">
        <v>1</v>
      </c>
      <c r="E123">
        <v>619440</v>
      </c>
      <c r="F123" t="s">
        <v>44</v>
      </c>
      <c r="H123" t="s">
        <v>2862</v>
      </c>
      <c r="L123" s="1">
        <v>41577</v>
      </c>
      <c r="M123" s="1">
        <v>41627</v>
      </c>
    </row>
    <row r="124" spans="2:13" x14ac:dyDescent="0.25">
      <c r="B124" t="s">
        <v>2859</v>
      </c>
      <c r="C124" t="s">
        <v>0</v>
      </c>
      <c r="D124" t="s">
        <v>1</v>
      </c>
      <c r="E124">
        <v>608461</v>
      </c>
      <c r="F124" t="s">
        <v>44</v>
      </c>
      <c r="H124" t="s">
        <v>2860</v>
      </c>
      <c r="L124" s="1">
        <v>41276</v>
      </c>
      <c r="M124" s="1">
        <v>41337</v>
      </c>
    </row>
    <row r="125" spans="2:13" x14ac:dyDescent="0.25">
      <c r="B125" t="s">
        <v>2857</v>
      </c>
      <c r="C125" t="s">
        <v>0</v>
      </c>
      <c r="D125" t="s">
        <v>1</v>
      </c>
      <c r="E125">
        <v>608460</v>
      </c>
      <c r="F125" t="s">
        <v>44</v>
      </c>
      <c r="H125" t="s">
        <v>2858</v>
      </c>
      <c r="L125" s="1">
        <v>41276</v>
      </c>
      <c r="M125" s="1">
        <v>41337</v>
      </c>
    </row>
    <row r="126" spans="2:13" x14ac:dyDescent="0.25">
      <c r="B126" t="s">
        <v>2855</v>
      </c>
      <c r="C126" t="s">
        <v>0</v>
      </c>
      <c r="D126" t="s">
        <v>1</v>
      </c>
      <c r="E126">
        <v>619439</v>
      </c>
      <c r="F126" t="s">
        <v>44</v>
      </c>
      <c r="H126" t="s">
        <v>2856</v>
      </c>
      <c r="L126" s="1">
        <v>41577</v>
      </c>
      <c r="M126" s="1">
        <v>41627</v>
      </c>
    </row>
    <row r="127" spans="2:13" x14ac:dyDescent="0.25">
      <c r="B127" t="s">
        <v>2854</v>
      </c>
      <c r="C127" t="s">
        <v>0</v>
      </c>
      <c r="D127" t="s">
        <v>1</v>
      </c>
      <c r="E127">
        <v>652655</v>
      </c>
      <c r="F127" t="s">
        <v>44</v>
      </c>
      <c r="H127" t="s">
        <v>2853</v>
      </c>
      <c r="L127" s="1">
        <v>42479</v>
      </c>
      <c r="M127" s="1">
        <v>42503</v>
      </c>
    </row>
    <row r="128" spans="2:13" x14ac:dyDescent="0.25">
      <c r="B128" t="s">
        <v>2852</v>
      </c>
      <c r="C128" t="s">
        <v>0</v>
      </c>
      <c r="D128" t="s">
        <v>1</v>
      </c>
      <c r="E128">
        <v>644904</v>
      </c>
      <c r="F128" t="s">
        <v>44</v>
      </c>
      <c r="H128" t="s">
        <v>2853</v>
      </c>
      <c r="L128" s="1">
        <v>42060</v>
      </c>
      <c r="M128" s="1">
        <v>42255</v>
      </c>
    </row>
    <row r="129" spans="2:13" x14ac:dyDescent="0.25">
      <c r="B129" t="s">
        <v>2851</v>
      </c>
      <c r="C129" t="s">
        <v>0</v>
      </c>
      <c r="D129" t="s">
        <v>1</v>
      </c>
      <c r="E129">
        <v>655673</v>
      </c>
      <c r="F129" t="s">
        <v>44</v>
      </c>
      <c r="H129" t="s">
        <v>2850</v>
      </c>
      <c r="L129" s="1">
        <v>42559</v>
      </c>
      <c r="M129" s="1">
        <v>42611</v>
      </c>
    </row>
    <row r="130" spans="2:13" x14ac:dyDescent="0.25">
      <c r="B130" t="s">
        <v>2849</v>
      </c>
      <c r="C130" t="s">
        <v>0</v>
      </c>
      <c r="D130" t="s">
        <v>1</v>
      </c>
      <c r="E130">
        <v>652570</v>
      </c>
      <c r="F130" t="s">
        <v>44</v>
      </c>
      <c r="H130" t="s">
        <v>2850</v>
      </c>
      <c r="L130" s="1">
        <v>42300</v>
      </c>
      <c r="M130" s="1">
        <v>42502</v>
      </c>
    </row>
    <row r="131" spans="2:13" x14ac:dyDescent="0.25">
      <c r="B131" t="s">
        <v>2848</v>
      </c>
      <c r="C131" t="s">
        <v>0</v>
      </c>
      <c r="D131" t="s">
        <v>1</v>
      </c>
      <c r="E131">
        <v>664453</v>
      </c>
      <c r="F131" t="s">
        <v>44</v>
      </c>
      <c r="H131" t="s">
        <v>2846</v>
      </c>
      <c r="L131" s="1">
        <v>42783</v>
      </c>
      <c r="M131" s="1">
        <v>42892</v>
      </c>
    </row>
    <row r="132" spans="2:13" x14ac:dyDescent="0.25">
      <c r="B132" t="s">
        <v>2847</v>
      </c>
      <c r="C132" t="s">
        <v>0</v>
      </c>
      <c r="D132" t="s">
        <v>1</v>
      </c>
      <c r="E132">
        <v>658861</v>
      </c>
      <c r="F132" t="s">
        <v>44</v>
      </c>
      <c r="H132" t="s">
        <v>2846</v>
      </c>
      <c r="L132" s="1">
        <v>42674</v>
      </c>
      <c r="M132" s="1">
        <v>42717</v>
      </c>
    </row>
    <row r="133" spans="2:13" x14ac:dyDescent="0.25">
      <c r="B133" t="s">
        <v>2845</v>
      </c>
      <c r="C133" t="s">
        <v>100</v>
      </c>
      <c r="D133" t="s">
        <v>50</v>
      </c>
      <c r="E133">
        <v>649524</v>
      </c>
      <c r="F133" t="s">
        <v>44</v>
      </c>
      <c r="H133" t="s">
        <v>2846</v>
      </c>
      <c r="L133" s="1">
        <v>42263</v>
      </c>
    </row>
    <row r="134" spans="2:13" x14ac:dyDescent="0.25">
      <c r="B134" t="s">
        <v>2843</v>
      </c>
      <c r="C134" t="s">
        <v>100</v>
      </c>
      <c r="D134" t="s">
        <v>50</v>
      </c>
      <c r="E134">
        <v>647159</v>
      </c>
      <c r="F134" t="s">
        <v>44</v>
      </c>
      <c r="H134" t="s">
        <v>2844</v>
      </c>
      <c r="L134" s="1">
        <v>42263</v>
      </c>
    </row>
    <row r="135" spans="2:13" x14ac:dyDescent="0.25">
      <c r="B135" t="s">
        <v>2841</v>
      </c>
      <c r="C135" t="s">
        <v>76</v>
      </c>
      <c r="D135" t="s">
        <v>50</v>
      </c>
      <c r="E135">
        <v>659552</v>
      </c>
      <c r="F135" t="s">
        <v>44</v>
      </c>
      <c r="H135" t="s">
        <v>2842</v>
      </c>
      <c r="L135" s="1">
        <v>42263</v>
      </c>
      <c r="M135" s="1">
        <v>42541</v>
      </c>
    </row>
    <row r="136" spans="2:13" x14ac:dyDescent="0.25">
      <c r="B136" t="s">
        <v>2839</v>
      </c>
      <c r="C136" t="s">
        <v>0</v>
      </c>
      <c r="D136" t="s">
        <v>1</v>
      </c>
      <c r="E136">
        <v>641175</v>
      </c>
      <c r="F136" t="s">
        <v>332</v>
      </c>
      <c r="H136" t="s">
        <v>2840</v>
      </c>
      <c r="L136" s="1">
        <v>41990</v>
      </c>
      <c r="M136" s="1">
        <v>42152</v>
      </c>
    </row>
    <row r="137" spans="2:13" x14ac:dyDescent="0.25">
      <c r="B137" t="s">
        <v>2837</v>
      </c>
      <c r="C137" t="s">
        <v>0</v>
      </c>
      <c r="D137" t="s">
        <v>1</v>
      </c>
      <c r="E137">
        <v>646773</v>
      </c>
      <c r="F137" t="s">
        <v>44</v>
      </c>
      <c r="H137" t="s">
        <v>2838</v>
      </c>
      <c r="L137" s="1">
        <v>42214</v>
      </c>
      <c r="M137" s="1">
        <v>42320</v>
      </c>
    </row>
    <row r="138" spans="2:13" x14ac:dyDescent="0.25">
      <c r="B138" t="s">
        <v>2835</v>
      </c>
      <c r="C138" t="s">
        <v>0</v>
      </c>
      <c r="D138" t="s">
        <v>1</v>
      </c>
      <c r="E138">
        <v>623484</v>
      </c>
      <c r="F138" t="s">
        <v>44</v>
      </c>
      <c r="H138" t="s">
        <v>2836</v>
      </c>
      <c r="L138" s="1">
        <v>41554</v>
      </c>
      <c r="M138" s="1">
        <v>41732</v>
      </c>
    </row>
    <row r="139" spans="2:13" x14ac:dyDescent="0.25">
      <c r="B139" t="s">
        <v>2833</v>
      </c>
      <c r="C139" t="s">
        <v>0</v>
      </c>
      <c r="D139" t="s">
        <v>1</v>
      </c>
      <c r="E139">
        <v>622258</v>
      </c>
      <c r="F139" t="s">
        <v>44</v>
      </c>
      <c r="H139" t="s">
        <v>2834</v>
      </c>
      <c r="L139" s="1">
        <v>41457</v>
      </c>
      <c r="M139" s="1">
        <v>41703</v>
      </c>
    </row>
    <row r="140" spans="2:13" x14ac:dyDescent="0.25">
      <c r="B140" t="s">
        <v>2832</v>
      </c>
      <c r="C140" t="s">
        <v>0</v>
      </c>
      <c r="D140" t="s">
        <v>1</v>
      </c>
      <c r="E140">
        <v>627798</v>
      </c>
      <c r="F140" t="s">
        <v>44</v>
      </c>
      <c r="H140" t="s">
        <v>2830</v>
      </c>
      <c r="L140" s="1">
        <v>41774</v>
      </c>
      <c r="M140" s="1">
        <v>41834</v>
      </c>
    </row>
    <row r="141" spans="2:13" x14ac:dyDescent="0.25">
      <c r="B141" t="s">
        <v>2831</v>
      </c>
      <c r="C141" t="s">
        <v>0</v>
      </c>
      <c r="D141" t="s">
        <v>1</v>
      </c>
      <c r="E141">
        <v>622944</v>
      </c>
      <c r="F141" t="s">
        <v>44</v>
      </c>
      <c r="H141" t="s">
        <v>2830</v>
      </c>
      <c r="L141" s="1">
        <v>41688</v>
      </c>
      <c r="M141" s="1">
        <v>41717</v>
      </c>
    </row>
    <row r="142" spans="2:13" x14ac:dyDescent="0.25">
      <c r="B142" t="s">
        <v>2829</v>
      </c>
      <c r="C142" t="s">
        <v>0</v>
      </c>
      <c r="D142" t="s">
        <v>1</v>
      </c>
      <c r="E142">
        <v>622257</v>
      </c>
      <c r="F142" t="s">
        <v>44</v>
      </c>
      <c r="H142" t="s">
        <v>2830</v>
      </c>
      <c r="L142" s="1">
        <v>41457</v>
      </c>
      <c r="M142" s="1">
        <v>41703</v>
      </c>
    </row>
    <row r="143" spans="2:13" x14ac:dyDescent="0.25">
      <c r="B143" t="s">
        <v>2827</v>
      </c>
      <c r="C143" t="s">
        <v>0</v>
      </c>
      <c r="D143" t="s">
        <v>1</v>
      </c>
      <c r="E143">
        <v>623483</v>
      </c>
      <c r="F143" t="s">
        <v>44</v>
      </c>
      <c r="H143" t="s">
        <v>2828</v>
      </c>
      <c r="L143" s="1">
        <v>41554</v>
      </c>
      <c r="M143" s="1">
        <v>41732</v>
      </c>
    </row>
    <row r="144" spans="2:13" x14ac:dyDescent="0.25">
      <c r="B144" t="s">
        <v>2825</v>
      </c>
      <c r="C144" t="s">
        <v>0</v>
      </c>
      <c r="D144" t="s">
        <v>1</v>
      </c>
      <c r="E144">
        <v>639186</v>
      </c>
      <c r="F144" t="s">
        <v>68</v>
      </c>
      <c r="H144" t="s">
        <v>2826</v>
      </c>
      <c r="L144" s="1">
        <v>42026</v>
      </c>
      <c r="M144" s="1">
        <v>42107</v>
      </c>
    </row>
    <row r="145" spans="2:13" x14ac:dyDescent="0.25">
      <c r="B145" t="s">
        <v>2824</v>
      </c>
      <c r="C145" t="s">
        <v>0</v>
      </c>
      <c r="D145" t="s">
        <v>1</v>
      </c>
      <c r="E145">
        <v>627631</v>
      </c>
      <c r="F145" t="s">
        <v>68</v>
      </c>
      <c r="H145" t="s">
        <v>2823</v>
      </c>
      <c r="L145" s="1">
        <v>41794</v>
      </c>
      <c r="M145" s="1">
        <v>41829</v>
      </c>
    </row>
    <row r="146" spans="2:13" x14ac:dyDescent="0.25">
      <c r="B146" t="s">
        <v>2822</v>
      </c>
      <c r="C146" t="s">
        <v>0</v>
      </c>
      <c r="D146" t="s">
        <v>1</v>
      </c>
      <c r="E146">
        <v>626524</v>
      </c>
      <c r="F146" t="s">
        <v>68</v>
      </c>
      <c r="H146" t="s">
        <v>2823</v>
      </c>
      <c r="L146" s="1">
        <v>41751</v>
      </c>
      <c r="M146" s="1">
        <v>41800</v>
      </c>
    </row>
    <row r="147" spans="2:13" x14ac:dyDescent="0.25">
      <c r="B147" t="s">
        <v>2820</v>
      </c>
      <c r="C147" t="s">
        <v>100</v>
      </c>
      <c r="D147" t="s">
        <v>50</v>
      </c>
      <c r="E147">
        <v>659551</v>
      </c>
      <c r="F147" t="s">
        <v>44</v>
      </c>
      <c r="H147" t="s">
        <v>2821</v>
      </c>
      <c r="L147" s="1">
        <v>42263</v>
      </c>
    </row>
    <row r="149" spans="2:13" x14ac:dyDescent="0.25">
      <c r="B149" t="s">
        <v>2819</v>
      </c>
      <c r="C149" t="s">
        <v>100</v>
      </c>
      <c r="D149" t="s">
        <v>50</v>
      </c>
      <c r="E149">
        <v>637730</v>
      </c>
      <c r="F149" t="s">
        <v>44</v>
      </c>
      <c r="H149" t="s">
        <v>2818</v>
      </c>
      <c r="L149" s="1">
        <v>42025</v>
      </c>
    </row>
    <row r="150" spans="2:13" x14ac:dyDescent="0.25">
      <c r="B150" t="s">
        <v>2817</v>
      </c>
      <c r="C150" t="s">
        <v>0</v>
      </c>
      <c r="D150" t="s">
        <v>1</v>
      </c>
      <c r="E150">
        <v>635077</v>
      </c>
      <c r="F150" t="s">
        <v>44</v>
      </c>
      <c r="H150" t="s">
        <v>2818</v>
      </c>
      <c r="L150" s="1">
        <v>41870</v>
      </c>
      <c r="M150" s="1">
        <v>42016</v>
      </c>
    </row>
    <row r="151" spans="2:13" x14ac:dyDescent="0.25">
      <c r="B151" t="s">
        <v>2816</v>
      </c>
      <c r="C151" t="s">
        <v>0</v>
      </c>
      <c r="F151" t="s">
        <v>44</v>
      </c>
      <c r="H151" t="s">
        <v>2815</v>
      </c>
      <c r="L151" s="1">
        <v>42464</v>
      </c>
      <c r="M151" s="1">
        <v>42611</v>
      </c>
    </row>
    <row r="152" spans="2:13" x14ac:dyDescent="0.25">
      <c r="B152" t="s">
        <v>2814</v>
      </c>
      <c r="C152" t="s">
        <v>0</v>
      </c>
      <c r="D152" t="s">
        <v>1</v>
      </c>
      <c r="E152">
        <v>632508</v>
      </c>
      <c r="F152" t="s">
        <v>332</v>
      </c>
      <c r="H152" t="s">
        <v>2815</v>
      </c>
      <c r="L152" s="1">
        <v>41745</v>
      </c>
      <c r="M152" s="1">
        <v>41946</v>
      </c>
    </row>
    <row r="153" spans="2:13" x14ac:dyDescent="0.25">
      <c r="B153" t="s">
        <v>2812</v>
      </c>
      <c r="C153" t="s">
        <v>0</v>
      </c>
      <c r="D153" t="s">
        <v>1</v>
      </c>
      <c r="E153">
        <v>615954</v>
      </c>
      <c r="F153" t="s">
        <v>44</v>
      </c>
      <c r="H153" t="s">
        <v>2813</v>
      </c>
      <c r="L153" s="1">
        <v>41435</v>
      </c>
      <c r="M153" s="1">
        <v>41534</v>
      </c>
    </row>
    <row r="154" spans="2:13" x14ac:dyDescent="0.25">
      <c r="B154" t="s">
        <v>2810</v>
      </c>
      <c r="C154" t="s">
        <v>0</v>
      </c>
      <c r="D154" t="s">
        <v>1</v>
      </c>
      <c r="E154">
        <v>640896</v>
      </c>
      <c r="F154" t="s">
        <v>44</v>
      </c>
      <c r="H154" t="s">
        <v>2811</v>
      </c>
      <c r="L154" s="1">
        <v>42068</v>
      </c>
      <c r="M154" s="1">
        <v>42144</v>
      </c>
    </row>
    <row r="155" spans="2:13" x14ac:dyDescent="0.25">
      <c r="B155" t="s">
        <v>2809</v>
      </c>
      <c r="C155" t="s">
        <v>0</v>
      </c>
      <c r="D155" t="s">
        <v>1</v>
      </c>
      <c r="E155">
        <v>645280</v>
      </c>
      <c r="F155" t="s">
        <v>44</v>
      </c>
      <c r="H155" t="s">
        <v>2808</v>
      </c>
      <c r="L155" s="1">
        <v>42219</v>
      </c>
      <c r="M155" s="1">
        <v>42264</v>
      </c>
    </row>
    <row r="156" spans="2:13" x14ac:dyDescent="0.25">
      <c r="B156" t="s">
        <v>2807</v>
      </c>
      <c r="C156" t="s">
        <v>0</v>
      </c>
      <c r="D156" t="s">
        <v>1</v>
      </c>
      <c r="E156">
        <v>640425</v>
      </c>
      <c r="F156" t="s">
        <v>44</v>
      </c>
      <c r="H156" t="s">
        <v>2808</v>
      </c>
      <c r="L156" s="1">
        <v>42044</v>
      </c>
      <c r="M156" s="1">
        <v>42131</v>
      </c>
    </row>
    <row r="157" spans="2:13" x14ac:dyDescent="0.25">
      <c r="B157" t="s">
        <v>2805</v>
      </c>
      <c r="C157" t="s">
        <v>0</v>
      </c>
      <c r="D157" t="s">
        <v>1</v>
      </c>
      <c r="E157">
        <v>639663</v>
      </c>
      <c r="F157" t="s">
        <v>332</v>
      </c>
      <c r="H157" t="s">
        <v>2806</v>
      </c>
      <c r="L157" s="1">
        <v>41897</v>
      </c>
      <c r="M157" s="1">
        <v>42115</v>
      </c>
    </row>
    <row r="158" spans="2:13" x14ac:dyDescent="0.25">
      <c r="B158" t="s">
        <v>2804</v>
      </c>
      <c r="C158" t="s">
        <v>0</v>
      </c>
      <c r="D158" t="s">
        <v>1</v>
      </c>
      <c r="E158">
        <v>650888</v>
      </c>
      <c r="F158" t="s">
        <v>332</v>
      </c>
      <c r="H158" t="s">
        <v>2803</v>
      </c>
      <c r="L158" s="1">
        <v>42375</v>
      </c>
      <c r="M158" s="1">
        <v>42445</v>
      </c>
    </row>
    <row r="159" spans="2:13" x14ac:dyDescent="0.25">
      <c r="B159" t="s">
        <v>2802</v>
      </c>
      <c r="C159" t="s">
        <v>0</v>
      </c>
      <c r="D159" t="s">
        <v>1</v>
      </c>
      <c r="E159">
        <v>639662</v>
      </c>
      <c r="F159" t="s">
        <v>332</v>
      </c>
      <c r="H159" t="s">
        <v>2803</v>
      </c>
      <c r="L159" s="1">
        <v>41897</v>
      </c>
      <c r="M159" s="1">
        <v>42115</v>
      </c>
    </row>
    <row r="160" spans="2:13" x14ac:dyDescent="0.25">
      <c r="B160" t="s">
        <v>2800</v>
      </c>
      <c r="C160" t="s">
        <v>0</v>
      </c>
      <c r="D160" t="s">
        <v>1</v>
      </c>
      <c r="E160">
        <v>640424</v>
      </c>
      <c r="F160" t="s">
        <v>44</v>
      </c>
      <c r="H160" t="s">
        <v>2801</v>
      </c>
      <c r="L160" s="1">
        <v>42044</v>
      </c>
      <c r="M160" s="1">
        <v>42131</v>
      </c>
    </row>
    <row r="161" spans="2:13" x14ac:dyDescent="0.25">
      <c r="B161" t="s">
        <v>2798</v>
      </c>
      <c r="C161" t="s">
        <v>0</v>
      </c>
      <c r="D161" t="s">
        <v>1</v>
      </c>
      <c r="E161">
        <v>632626</v>
      </c>
      <c r="F161" t="s">
        <v>1388</v>
      </c>
      <c r="H161" t="s">
        <v>2799</v>
      </c>
      <c r="L161" s="1">
        <v>41612</v>
      </c>
      <c r="M161" s="1">
        <v>41948</v>
      </c>
    </row>
    <row r="162" spans="2:13" x14ac:dyDescent="0.25">
      <c r="B162" t="s">
        <v>2797</v>
      </c>
      <c r="C162" t="s">
        <v>0</v>
      </c>
      <c r="D162" t="s">
        <v>1</v>
      </c>
      <c r="E162">
        <v>655547</v>
      </c>
      <c r="F162" t="s">
        <v>44</v>
      </c>
      <c r="H162" t="s">
        <v>2795</v>
      </c>
      <c r="L162" s="1">
        <v>42573</v>
      </c>
      <c r="M162" s="1">
        <v>42606</v>
      </c>
    </row>
    <row r="163" spans="2:13" x14ac:dyDescent="0.25">
      <c r="B163" t="s">
        <v>2796</v>
      </c>
      <c r="C163" t="s">
        <v>100</v>
      </c>
      <c r="D163" t="s">
        <v>50</v>
      </c>
      <c r="E163">
        <v>629873</v>
      </c>
      <c r="F163" t="s">
        <v>147</v>
      </c>
      <c r="H163" t="s">
        <v>2795</v>
      </c>
      <c r="L163" s="1">
        <v>41851</v>
      </c>
    </row>
    <row r="164" spans="2:13" x14ac:dyDescent="0.25">
      <c r="B164" t="s">
        <v>2794</v>
      </c>
      <c r="C164" t="s">
        <v>0</v>
      </c>
      <c r="D164" t="s">
        <v>1</v>
      </c>
      <c r="E164">
        <v>632507</v>
      </c>
      <c r="F164" t="s">
        <v>332</v>
      </c>
      <c r="H164" t="s">
        <v>2795</v>
      </c>
      <c r="L164" s="1">
        <v>41745</v>
      </c>
      <c r="M164" s="1">
        <v>41946</v>
      </c>
    </row>
    <row r="165" spans="2:13" x14ac:dyDescent="0.25">
      <c r="B165" t="s">
        <v>2792</v>
      </c>
      <c r="C165" t="s">
        <v>0</v>
      </c>
      <c r="D165" t="s">
        <v>1</v>
      </c>
      <c r="E165">
        <v>610818</v>
      </c>
      <c r="F165" t="s">
        <v>2790</v>
      </c>
      <c r="H165" t="s">
        <v>2793</v>
      </c>
      <c r="L165" s="1">
        <v>41353</v>
      </c>
      <c r="M165" s="1">
        <v>41389</v>
      </c>
    </row>
    <row r="166" spans="2:13" x14ac:dyDescent="0.25">
      <c r="B166" t="s">
        <v>2789</v>
      </c>
      <c r="C166" t="s">
        <v>0</v>
      </c>
      <c r="D166" t="s">
        <v>1</v>
      </c>
      <c r="E166">
        <v>610817</v>
      </c>
      <c r="F166" t="s">
        <v>2790</v>
      </c>
      <c r="H166" t="s">
        <v>2791</v>
      </c>
      <c r="L166" s="1">
        <v>41353</v>
      </c>
      <c r="M166" s="1">
        <v>41389</v>
      </c>
    </row>
    <row r="167" spans="2:13" x14ac:dyDescent="0.25">
      <c r="B167" t="s">
        <v>2787</v>
      </c>
      <c r="C167" t="s">
        <v>0</v>
      </c>
      <c r="D167" t="s">
        <v>1</v>
      </c>
      <c r="E167">
        <v>638192</v>
      </c>
      <c r="F167" t="s">
        <v>44</v>
      </c>
      <c r="H167" t="s">
        <v>2788</v>
      </c>
      <c r="L167" s="1">
        <v>42040</v>
      </c>
      <c r="M167" s="1">
        <v>42087</v>
      </c>
    </row>
    <row r="168" spans="2:13" x14ac:dyDescent="0.25">
      <c r="B168" t="s">
        <v>2785</v>
      </c>
      <c r="C168" t="s">
        <v>0</v>
      </c>
      <c r="D168" t="s">
        <v>1</v>
      </c>
      <c r="E168">
        <v>622262</v>
      </c>
      <c r="F168" t="s">
        <v>44</v>
      </c>
      <c r="H168" t="s">
        <v>2786</v>
      </c>
      <c r="L168" s="1">
        <v>41612</v>
      </c>
      <c r="M168" s="1">
        <v>41703</v>
      </c>
    </row>
    <row r="169" spans="2:13" x14ac:dyDescent="0.25">
      <c r="B169" t="s">
        <v>2783</v>
      </c>
      <c r="C169" t="s">
        <v>0</v>
      </c>
      <c r="D169" t="s">
        <v>1</v>
      </c>
      <c r="E169">
        <v>632502</v>
      </c>
      <c r="F169" t="s">
        <v>1388</v>
      </c>
      <c r="H169" t="s">
        <v>2784</v>
      </c>
      <c r="L169" s="1">
        <v>41612</v>
      </c>
      <c r="M169" s="1">
        <v>41946</v>
      </c>
    </row>
    <row r="170" spans="2:13" x14ac:dyDescent="0.25">
      <c r="B170" t="s">
        <v>2781</v>
      </c>
      <c r="C170" t="s">
        <v>0</v>
      </c>
      <c r="D170" t="s">
        <v>1</v>
      </c>
      <c r="E170">
        <v>638768</v>
      </c>
      <c r="F170" t="s">
        <v>68</v>
      </c>
      <c r="H170" t="s">
        <v>2782</v>
      </c>
      <c r="L170" s="1">
        <v>41995</v>
      </c>
      <c r="M170" s="1">
        <v>42101</v>
      </c>
    </row>
    <row r="171" spans="2:13" x14ac:dyDescent="0.25">
      <c r="B171" t="s">
        <v>2780</v>
      </c>
      <c r="C171" t="s">
        <v>0</v>
      </c>
      <c r="D171" t="s">
        <v>1</v>
      </c>
      <c r="E171">
        <v>636141</v>
      </c>
      <c r="F171" t="s">
        <v>44</v>
      </c>
      <c r="H171" t="s">
        <v>2779</v>
      </c>
      <c r="L171" s="1">
        <v>41813</v>
      </c>
      <c r="M171" s="1">
        <v>42040</v>
      </c>
    </row>
    <row r="172" spans="2:13" x14ac:dyDescent="0.25">
      <c r="B172" t="s">
        <v>2778</v>
      </c>
      <c r="C172" t="s">
        <v>0</v>
      </c>
      <c r="D172" t="s">
        <v>1</v>
      </c>
      <c r="E172">
        <v>636141</v>
      </c>
      <c r="F172" t="s">
        <v>332</v>
      </c>
      <c r="H172" t="s">
        <v>2779</v>
      </c>
      <c r="L172" s="1">
        <v>41774</v>
      </c>
      <c r="M172" s="1">
        <v>42040</v>
      </c>
    </row>
    <row r="173" spans="2:13" x14ac:dyDescent="0.25">
      <c r="B173" t="s">
        <v>2777</v>
      </c>
      <c r="C173" t="s">
        <v>0</v>
      </c>
      <c r="D173" t="s">
        <v>1</v>
      </c>
      <c r="E173">
        <v>641708</v>
      </c>
      <c r="F173" t="s">
        <v>44</v>
      </c>
      <c r="H173" t="s">
        <v>2775</v>
      </c>
      <c r="L173" s="1">
        <v>42125</v>
      </c>
      <c r="M173" s="1">
        <v>42164</v>
      </c>
    </row>
    <row r="174" spans="2:13" x14ac:dyDescent="0.25">
      <c r="B174" t="s">
        <v>2776</v>
      </c>
      <c r="C174" t="s">
        <v>0</v>
      </c>
      <c r="D174" t="s">
        <v>1</v>
      </c>
      <c r="E174">
        <v>636297</v>
      </c>
      <c r="F174" t="s">
        <v>44</v>
      </c>
      <c r="H174" t="s">
        <v>2775</v>
      </c>
      <c r="L174" s="1">
        <v>41813</v>
      </c>
      <c r="M174" s="1">
        <v>42044</v>
      </c>
    </row>
    <row r="175" spans="2:13" x14ac:dyDescent="0.25">
      <c r="B175" t="s">
        <v>2774</v>
      </c>
      <c r="C175" t="s">
        <v>0</v>
      </c>
      <c r="D175" t="s">
        <v>1</v>
      </c>
      <c r="E175">
        <v>636297</v>
      </c>
      <c r="F175" t="s">
        <v>332</v>
      </c>
      <c r="H175" t="s">
        <v>2775</v>
      </c>
      <c r="L175" s="1">
        <v>41774</v>
      </c>
      <c r="M175" s="1">
        <v>42044</v>
      </c>
    </row>
    <row r="176" spans="2:13" x14ac:dyDescent="0.25">
      <c r="B176" t="s">
        <v>2772</v>
      </c>
      <c r="C176" t="s">
        <v>0</v>
      </c>
      <c r="D176" t="s">
        <v>1</v>
      </c>
      <c r="E176">
        <v>636083</v>
      </c>
      <c r="F176" t="s">
        <v>68</v>
      </c>
      <c r="H176" t="s">
        <v>2773</v>
      </c>
      <c r="L176" s="1">
        <v>41814</v>
      </c>
      <c r="M176" s="1">
        <v>42039</v>
      </c>
    </row>
    <row r="177" spans="2:13" x14ac:dyDescent="0.25">
      <c r="B177" t="s">
        <v>2770</v>
      </c>
      <c r="C177" t="s">
        <v>0</v>
      </c>
      <c r="D177" t="s">
        <v>1</v>
      </c>
      <c r="E177">
        <v>639567</v>
      </c>
      <c r="F177" t="s">
        <v>44</v>
      </c>
      <c r="H177" t="s">
        <v>2771</v>
      </c>
      <c r="L177" s="1">
        <v>41953</v>
      </c>
      <c r="M177" s="1">
        <v>42114</v>
      </c>
    </row>
    <row r="178" spans="2:13" x14ac:dyDescent="0.25">
      <c r="B178" t="s">
        <v>2768</v>
      </c>
      <c r="C178" t="s">
        <v>0</v>
      </c>
      <c r="D178" t="s">
        <v>1</v>
      </c>
      <c r="E178">
        <v>622261</v>
      </c>
      <c r="F178" t="s">
        <v>44</v>
      </c>
      <c r="H178" t="s">
        <v>2769</v>
      </c>
      <c r="L178" s="1">
        <v>41612</v>
      </c>
      <c r="M178" s="1">
        <v>41703</v>
      </c>
    </row>
    <row r="179" spans="2:13" x14ac:dyDescent="0.25">
      <c r="B179" t="s">
        <v>2766</v>
      </c>
      <c r="C179" t="s">
        <v>0</v>
      </c>
      <c r="D179" t="s">
        <v>1</v>
      </c>
      <c r="E179">
        <v>611385</v>
      </c>
      <c r="F179" t="s">
        <v>44</v>
      </c>
      <c r="H179" t="s">
        <v>2767</v>
      </c>
      <c r="L179" s="1">
        <v>41278</v>
      </c>
      <c r="M179" s="1">
        <v>41403</v>
      </c>
    </row>
    <row r="180" spans="2:13" x14ac:dyDescent="0.25">
      <c r="B180" t="s">
        <v>2766</v>
      </c>
      <c r="C180" t="s">
        <v>0</v>
      </c>
      <c r="D180" t="s">
        <v>1</v>
      </c>
      <c r="E180">
        <v>611385</v>
      </c>
      <c r="F180" t="s">
        <v>44</v>
      </c>
      <c r="H180" t="s">
        <v>2767</v>
      </c>
      <c r="L180" s="1">
        <v>41278</v>
      </c>
      <c r="M180" s="1">
        <v>41403</v>
      </c>
    </row>
    <row r="181" spans="2:13" x14ac:dyDescent="0.25">
      <c r="B181" t="s">
        <v>2764</v>
      </c>
      <c r="C181" t="s">
        <v>0</v>
      </c>
      <c r="D181" t="s">
        <v>1</v>
      </c>
      <c r="E181">
        <v>611572</v>
      </c>
      <c r="F181" t="s">
        <v>44</v>
      </c>
      <c r="H181" t="s">
        <v>2765</v>
      </c>
      <c r="L181" s="1">
        <v>41278</v>
      </c>
      <c r="M181" s="1">
        <v>41408</v>
      </c>
    </row>
    <row r="182" spans="2:13" x14ac:dyDescent="0.25">
      <c r="B182" t="s">
        <v>2762</v>
      </c>
      <c r="C182" t="s">
        <v>0</v>
      </c>
      <c r="D182" t="s">
        <v>1</v>
      </c>
      <c r="E182">
        <v>605533</v>
      </c>
      <c r="F182" t="s">
        <v>44</v>
      </c>
      <c r="H182" t="s">
        <v>2763</v>
      </c>
      <c r="L182" s="1">
        <v>41186</v>
      </c>
      <c r="M182" s="1">
        <v>41260</v>
      </c>
    </row>
    <row r="183" spans="2:13" x14ac:dyDescent="0.25">
      <c r="B183" t="s">
        <v>2760</v>
      </c>
      <c r="C183" t="s">
        <v>0</v>
      </c>
      <c r="D183" t="s">
        <v>1</v>
      </c>
      <c r="E183">
        <v>605218</v>
      </c>
      <c r="F183" t="s">
        <v>44</v>
      </c>
      <c r="H183" t="s">
        <v>2761</v>
      </c>
      <c r="L183" s="1">
        <v>41214</v>
      </c>
      <c r="M183" s="1">
        <v>41253</v>
      </c>
    </row>
    <row r="184" spans="2:13" x14ac:dyDescent="0.25">
      <c r="B184" t="s">
        <v>2758</v>
      </c>
      <c r="C184" t="s">
        <v>0</v>
      </c>
      <c r="D184" t="s">
        <v>1</v>
      </c>
      <c r="E184">
        <v>639952</v>
      </c>
      <c r="F184" t="s">
        <v>44</v>
      </c>
      <c r="H184" t="s">
        <v>2759</v>
      </c>
      <c r="L184" s="1">
        <v>41953</v>
      </c>
      <c r="M184" s="1">
        <v>42121</v>
      </c>
    </row>
    <row r="185" spans="2:13" x14ac:dyDescent="0.25">
      <c r="B185" t="s">
        <v>2756</v>
      </c>
      <c r="C185" t="s">
        <v>0</v>
      </c>
      <c r="D185" t="s">
        <v>1</v>
      </c>
      <c r="E185">
        <v>657238</v>
      </c>
      <c r="F185" t="s">
        <v>163</v>
      </c>
      <c r="H185" t="s">
        <v>2757</v>
      </c>
      <c r="L185" s="1">
        <v>42621</v>
      </c>
      <c r="M185" s="1">
        <v>42668</v>
      </c>
    </row>
    <row r="186" spans="2:13" x14ac:dyDescent="0.25">
      <c r="B186" t="s">
        <v>2754</v>
      </c>
      <c r="C186" t="s">
        <v>76</v>
      </c>
      <c r="F186" t="s">
        <v>44</v>
      </c>
      <c r="H186" t="s">
        <v>2755</v>
      </c>
      <c r="L186" s="1">
        <v>42753</v>
      </c>
      <c r="M186" s="1">
        <v>42849</v>
      </c>
    </row>
    <row r="187" spans="2:13" x14ac:dyDescent="0.25">
      <c r="B187" t="s">
        <v>2753</v>
      </c>
      <c r="C187" t="s">
        <v>0</v>
      </c>
      <c r="D187" t="s">
        <v>1</v>
      </c>
      <c r="E187">
        <v>644927</v>
      </c>
      <c r="F187" t="s">
        <v>332</v>
      </c>
      <c r="H187" t="s">
        <v>2752</v>
      </c>
      <c r="L187" s="1">
        <v>42208</v>
      </c>
      <c r="M187" s="1">
        <v>42255</v>
      </c>
    </row>
    <row r="188" spans="2:13" x14ac:dyDescent="0.25">
      <c r="B188" t="s">
        <v>2751</v>
      </c>
      <c r="C188" t="s">
        <v>0</v>
      </c>
      <c r="D188" t="s">
        <v>1</v>
      </c>
      <c r="E188">
        <v>642682</v>
      </c>
      <c r="F188" t="s">
        <v>332</v>
      </c>
      <c r="H188" t="s">
        <v>2752</v>
      </c>
      <c r="L188" s="1">
        <v>42042</v>
      </c>
      <c r="M188" s="1">
        <v>42191</v>
      </c>
    </row>
    <row r="189" spans="2:13" x14ac:dyDescent="0.25">
      <c r="B189" t="s">
        <v>2749</v>
      </c>
      <c r="C189" t="s">
        <v>0</v>
      </c>
      <c r="D189" t="s">
        <v>1</v>
      </c>
      <c r="E189">
        <v>605929</v>
      </c>
      <c r="F189" t="s">
        <v>44</v>
      </c>
      <c r="H189" t="s">
        <v>2750</v>
      </c>
      <c r="L189" s="1">
        <v>41186</v>
      </c>
      <c r="M189" s="1">
        <v>41270</v>
      </c>
    </row>
    <row r="190" spans="2:13" x14ac:dyDescent="0.25">
      <c r="L190" s="1"/>
      <c r="M190" s="1"/>
    </row>
    <row r="191" spans="2:13" x14ac:dyDescent="0.25">
      <c r="B191" t="s">
        <v>2742</v>
      </c>
      <c r="C191" t="s">
        <v>0</v>
      </c>
      <c r="D191" t="s">
        <v>2748</v>
      </c>
      <c r="E191">
        <v>641761</v>
      </c>
      <c r="F191" t="s">
        <v>332</v>
      </c>
      <c r="H191" t="s">
        <v>2743</v>
      </c>
      <c r="L191" s="1">
        <v>41939</v>
      </c>
      <c r="M191" s="1">
        <v>42165</v>
      </c>
    </row>
    <row r="192" spans="2:13" x14ac:dyDescent="0.25">
      <c r="B192" t="s">
        <v>2741</v>
      </c>
      <c r="C192" t="s">
        <v>0</v>
      </c>
      <c r="D192" t="s">
        <v>1</v>
      </c>
      <c r="E192">
        <v>659517</v>
      </c>
      <c r="F192" t="s">
        <v>136</v>
      </c>
      <c r="H192" t="s">
        <v>2740</v>
      </c>
      <c r="L192" s="1">
        <v>42657</v>
      </c>
      <c r="M192" s="1">
        <v>42738</v>
      </c>
    </row>
    <row r="193" spans="2:13" x14ac:dyDescent="0.25">
      <c r="B193" t="s">
        <v>2739</v>
      </c>
      <c r="C193" t="s">
        <v>0</v>
      </c>
      <c r="D193" t="s">
        <v>1</v>
      </c>
      <c r="E193">
        <v>634551</v>
      </c>
      <c r="F193" t="s">
        <v>332</v>
      </c>
      <c r="H193" t="s">
        <v>2740</v>
      </c>
      <c r="L193" s="1">
        <v>41796</v>
      </c>
      <c r="M193" s="1">
        <v>42002</v>
      </c>
    </row>
    <row r="194" spans="2:13" x14ac:dyDescent="0.25">
      <c r="B194" t="s">
        <v>2737</v>
      </c>
      <c r="C194" t="s">
        <v>0</v>
      </c>
      <c r="D194" t="s">
        <v>1</v>
      </c>
      <c r="E194">
        <v>605449</v>
      </c>
      <c r="F194" t="s">
        <v>136</v>
      </c>
      <c r="H194" t="s">
        <v>2738</v>
      </c>
      <c r="L194" s="1">
        <v>41222</v>
      </c>
      <c r="M194" s="1">
        <v>41256</v>
      </c>
    </row>
    <row r="195" spans="2:13" x14ac:dyDescent="0.25">
      <c r="B195" t="s">
        <v>2735</v>
      </c>
      <c r="C195" t="s">
        <v>0</v>
      </c>
      <c r="D195" t="s">
        <v>1</v>
      </c>
      <c r="E195">
        <v>650296</v>
      </c>
      <c r="F195" t="s">
        <v>136</v>
      </c>
      <c r="H195" t="s">
        <v>2736</v>
      </c>
      <c r="L195" s="1">
        <v>42201</v>
      </c>
      <c r="M195" s="1">
        <v>42429</v>
      </c>
    </row>
    <row r="196" spans="2:13" x14ac:dyDescent="0.25">
      <c r="B196" t="s">
        <v>2733</v>
      </c>
      <c r="C196" t="s">
        <v>0</v>
      </c>
      <c r="D196" t="s">
        <v>1</v>
      </c>
      <c r="E196">
        <v>658613</v>
      </c>
      <c r="F196" t="s">
        <v>397</v>
      </c>
      <c r="H196" t="s">
        <v>2734</v>
      </c>
      <c r="L196" s="1">
        <v>42650</v>
      </c>
      <c r="M196" s="1">
        <v>42710</v>
      </c>
    </row>
    <row r="197" spans="2:13" x14ac:dyDescent="0.25">
      <c r="B197" t="s">
        <v>2732</v>
      </c>
      <c r="C197" t="s">
        <v>139</v>
      </c>
      <c r="F197" t="s">
        <v>136</v>
      </c>
      <c r="H197" t="s">
        <v>2729</v>
      </c>
      <c r="L197" s="1">
        <v>42837</v>
      </c>
      <c r="M197" s="1">
        <v>42899</v>
      </c>
    </row>
    <row r="198" spans="2:13" x14ac:dyDescent="0.25">
      <c r="B198" t="s">
        <v>2731</v>
      </c>
      <c r="C198" t="s">
        <v>140</v>
      </c>
      <c r="F198" t="s">
        <v>136</v>
      </c>
      <c r="H198" t="s">
        <v>2729</v>
      </c>
      <c r="L198" s="1">
        <v>42821</v>
      </c>
      <c r="M198" s="1">
        <v>42906</v>
      </c>
    </row>
    <row r="199" spans="2:13" x14ac:dyDescent="0.25">
      <c r="B199" t="s">
        <v>2730</v>
      </c>
      <c r="C199" t="s">
        <v>0</v>
      </c>
      <c r="D199" t="s">
        <v>1</v>
      </c>
      <c r="E199">
        <v>660740</v>
      </c>
      <c r="F199" t="s">
        <v>136</v>
      </c>
      <c r="H199" t="s">
        <v>2729</v>
      </c>
      <c r="L199" s="1">
        <v>42718</v>
      </c>
      <c r="M199" s="1">
        <v>42772</v>
      </c>
    </row>
    <row r="200" spans="2:13" x14ac:dyDescent="0.25">
      <c r="B200" t="s">
        <v>2728</v>
      </c>
      <c r="C200" t="s">
        <v>0</v>
      </c>
      <c r="D200" t="s">
        <v>1</v>
      </c>
      <c r="E200">
        <v>641760</v>
      </c>
      <c r="F200" t="s">
        <v>332</v>
      </c>
      <c r="H200" t="s">
        <v>2729</v>
      </c>
      <c r="L200" s="1">
        <v>41939</v>
      </c>
      <c r="M200" s="1">
        <v>42165</v>
      </c>
    </row>
    <row r="201" spans="2:13" x14ac:dyDescent="0.25">
      <c r="B201" t="s">
        <v>2726</v>
      </c>
      <c r="C201" t="s">
        <v>0</v>
      </c>
      <c r="D201" t="s">
        <v>1</v>
      </c>
      <c r="E201">
        <v>653097</v>
      </c>
      <c r="F201" t="s">
        <v>332</v>
      </c>
      <c r="H201" t="s">
        <v>2727</v>
      </c>
      <c r="L201" s="1">
        <v>41879</v>
      </c>
      <c r="M201" s="1">
        <v>42522</v>
      </c>
    </row>
    <row r="202" spans="2:13" x14ac:dyDescent="0.25">
      <c r="B202" t="s">
        <v>2724</v>
      </c>
      <c r="C202" t="s">
        <v>0</v>
      </c>
      <c r="D202" t="s">
        <v>1</v>
      </c>
      <c r="E202">
        <v>658202</v>
      </c>
      <c r="F202" t="s">
        <v>397</v>
      </c>
      <c r="H202" t="s">
        <v>2725</v>
      </c>
      <c r="L202" s="1">
        <v>42650</v>
      </c>
      <c r="M202" s="1">
        <v>42696</v>
      </c>
    </row>
    <row r="203" spans="2:13" x14ac:dyDescent="0.25">
      <c r="B203" t="s">
        <v>2723</v>
      </c>
      <c r="C203" t="s">
        <v>0</v>
      </c>
      <c r="D203" t="s">
        <v>1</v>
      </c>
      <c r="E203">
        <v>636871</v>
      </c>
      <c r="F203" t="s">
        <v>332</v>
      </c>
      <c r="H203" t="s">
        <v>2722</v>
      </c>
      <c r="L203" s="1">
        <v>42006</v>
      </c>
      <c r="M203" s="1">
        <v>42058</v>
      </c>
    </row>
    <row r="204" spans="2:13" x14ac:dyDescent="0.25">
      <c r="B204" t="s">
        <v>2721</v>
      </c>
      <c r="C204" t="s">
        <v>0</v>
      </c>
      <c r="D204" t="s">
        <v>1</v>
      </c>
      <c r="E204">
        <v>630456</v>
      </c>
      <c r="F204" t="s">
        <v>332</v>
      </c>
      <c r="H204" t="s">
        <v>2722</v>
      </c>
      <c r="L204" s="1">
        <v>41806</v>
      </c>
      <c r="M204" s="1">
        <v>41893</v>
      </c>
    </row>
    <row r="205" spans="2:13" x14ac:dyDescent="0.25">
      <c r="B205" t="s">
        <v>2720</v>
      </c>
      <c r="C205" t="s">
        <v>0</v>
      </c>
      <c r="D205" t="s">
        <v>1</v>
      </c>
      <c r="E205">
        <v>651994</v>
      </c>
      <c r="F205" t="s">
        <v>68</v>
      </c>
      <c r="H205" t="s">
        <v>2719</v>
      </c>
      <c r="L205" s="1">
        <v>42405</v>
      </c>
      <c r="M205" s="1">
        <v>42481</v>
      </c>
    </row>
    <row r="206" spans="2:13" x14ac:dyDescent="0.25">
      <c r="B206" t="s">
        <v>2718</v>
      </c>
      <c r="C206" t="s">
        <v>100</v>
      </c>
      <c r="D206" t="s">
        <v>50</v>
      </c>
      <c r="E206">
        <v>650607</v>
      </c>
      <c r="F206" t="s">
        <v>44</v>
      </c>
      <c r="H206" t="s">
        <v>2719</v>
      </c>
      <c r="L206" s="1">
        <v>42263</v>
      </c>
    </row>
    <row r="207" spans="2:13" x14ac:dyDescent="0.25">
      <c r="B207" t="s">
        <v>2716</v>
      </c>
      <c r="C207" t="s">
        <v>100</v>
      </c>
      <c r="D207" t="s">
        <v>50</v>
      </c>
      <c r="E207">
        <v>637576</v>
      </c>
      <c r="F207" t="s">
        <v>136</v>
      </c>
      <c r="H207" t="s">
        <v>2717</v>
      </c>
      <c r="L207" s="1">
        <v>42037</v>
      </c>
    </row>
    <row r="208" spans="2:13" x14ac:dyDescent="0.25">
      <c r="B208" t="s">
        <v>2714</v>
      </c>
      <c r="C208" t="s">
        <v>0</v>
      </c>
      <c r="D208" t="s">
        <v>1</v>
      </c>
      <c r="E208">
        <v>633607</v>
      </c>
      <c r="F208" t="s">
        <v>332</v>
      </c>
      <c r="H208" t="s">
        <v>2715</v>
      </c>
      <c r="L208" s="1">
        <v>41908</v>
      </c>
      <c r="M208" s="1">
        <v>41974</v>
      </c>
    </row>
    <row r="209" spans="2:13" x14ac:dyDescent="0.25">
      <c r="B209" t="s">
        <v>2713</v>
      </c>
      <c r="C209" t="s">
        <v>0</v>
      </c>
      <c r="D209" t="s">
        <v>1</v>
      </c>
      <c r="E209">
        <v>650304</v>
      </c>
      <c r="F209" t="s">
        <v>68</v>
      </c>
      <c r="H209" t="s">
        <v>2712</v>
      </c>
      <c r="L209" s="1">
        <v>42269</v>
      </c>
      <c r="M209" s="1">
        <v>42429</v>
      </c>
    </row>
    <row r="210" spans="2:13" x14ac:dyDescent="0.25">
      <c r="B210" t="s">
        <v>2711</v>
      </c>
      <c r="C210" t="s">
        <v>100</v>
      </c>
      <c r="D210" t="s">
        <v>50</v>
      </c>
      <c r="E210">
        <v>650606</v>
      </c>
      <c r="F210" t="s">
        <v>44</v>
      </c>
      <c r="H210" t="s">
        <v>2712</v>
      </c>
      <c r="L210" s="1">
        <v>42263</v>
      </c>
    </row>
    <row r="211" spans="2:13" x14ac:dyDescent="0.25">
      <c r="B211" t="s">
        <v>2709</v>
      </c>
      <c r="C211" t="s">
        <v>0</v>
      </c>
      <c r="D211" t="s">
        <v>1</v>
      </c>
      <c r="E211">
        <v>630971</v>
      </c>
      <c r="F211" t="s">
        <v>332</v>
      </c>
      <c r="H211" t="s">
        <v>2710</v>
      </c>
      <c r="L211" s="1">
        <v>41806</v>
      </c>
      <c r="M211" s="1">
        <v>41905</v>
      </c>
    </row>
    <row r="212" spans="2:13" x14ac:dyDescent="0.25">
      <c r="B212" t="s">
        <v>2708</v>
      </c>
      <c r="C212" t="s">
        <v>0</v>
      </c>
      <c r="D212" t="s">
        <v>1</v>
      </c>
      <c r="E212">
        <v>663543</v>
      </c>
      <c r="F212" t="s">
        <v>397</v>
      </c>
      <c r="H212" t="s">
        <v>2707</v>
      </c>
      <c r="L212" s="1">
        <v>42780</v>
      </c>
      <c r="M212" s="1">
        <v>42865</v>
      </c>
    </row>
    <row r="213" spans="2:13" x14ac:dyDescent="0.25">
      <c r="B213" t="s">
        <v>2706</v>
      </c>
      <c r="C213" t="s">
        <v>0</v>
      </c>
      <c r="D213" t="s">
        <v>1</v>
      </c>
      <c r="E213">
        <v>658203</v>
      </c>
      <c r="F213" t="s">
        <v>397</v>
      </c>
      <c r="H213" t="s">
        <v>2707</v>
      </c>
      <c r="L213" s="1">
        <v>42650</v>
      </c>
      <c r="M213" s="1">
        <v>42696</v>
      </c>
    </row>
    <row r="214" spans="2:13" x14ac:dyDescent="0.25">
      <c r="B214" t="s">
        <v>2704</v>
      </c>
      <c r="C214" t="s">
        <v>0</v>
      </c>
      <c r="D214" t="s">
        <v>1</v>
      </c>
      <c r="E214">
        <v>653402</v>
      </c>
      <c r="F214" t="s">
        <v>332</v>
      </c>
      <c r="H214" t="s">
        <v>2705</v>
      </c>
      <c r="L214" s="1">
        <v>41879</v>
      </c>
      <c r="M214" s="1">
        <v>42534</v>
      </c>
    </row>
    <row r="215" spans="2:13" x14ac:dyDescent="0.25">
      <c r="B215" t="s">
        <v>2702</v>
      </c>
      <c r="C215" t="s">
        <v>0</v>
      </c>
      <c r="D215" t="s">
        <v>1</v>
      </c>
      <c r="E215">
        <v>650894</v>
      </c>
      <c r="F215" t="s">
        <v>136</v>
      </c>
      <c r="H215" t="s">
        <v>2703</v>
      </c>
      <c r="L215" s="1">
        <v>42397</v>
      </c>
      <c r="M215" s="1">
        <v>42445</v>
      </c>
    </row>
    <row r="216" spans="2:13" x14ac:dyDescent="0.25">
      <c r="B216" t="s">
        <v>2701</v>
      </c>
      <c r="C216" t="s">
        <v>0</v>
      </c>
      <c r="D216" t="s">
        <v>1</v>
      </c>
      <c r="E216">
        <v>651573</v>
      </c>
      <c r="F216" t="s">
        <v>397</v>
      </c>
      <c r="H216" t="s">
        <v>2700</v>
      </c>
      <c r="L216" s="1">
        <v>42423</v>
      </c>
      <c r="M216" s="1">
        <v>42467</v>
      </c>
    </row>
    <row r="217" spans="2:13" x14ac:dyDescent="0.25">
      <c r="B217" t="s">
        <v>2699</v>
      </c>
      <c r="C217" t="s">
        <v>100</v>
      </c>
      <c r="D217" t="s">
        <v>50</v>
      </c>
      <c r="E217">
        <v>646218</v>
      </c>
      <c r="F217" t="s">
        <v>44</v>
      </c>
      <c r="H217" t="s">
        <v>2700</v>
      </c>
      <c r="L217" s="1">
        <v>42263</v>
      </c>
    </row>
    <row r="218" spans="2:13" x14ac:dyDescent="0.25">
      <c r="B218" t="s">
        <v>2698</v>
      </c>
      <c r="C218" t="s">
        <v>0</v>
      </c>
      <c r="D218" t="s">
        <v>1</v>
      </c>
      <c r="E218">
        <v>631230</v>
      </c>
      <c r="F218" t="s">
        <v>44</v>
      </c>
      <c r="H218" t="s">
        <v>2697</v>
      </c>
      <c r="L218" s="1">
        <v>41848</v>
      </c>
      <c r="M218" s="1">
        <v>41911</v>
      </c>
    </row>
    <row r="219" spans="2:13" x14ac:dyDescent="0.25">
      <c r="B219" t="s">
        <v>2696</v>
      </c>
      <c r="C219" t="s">
        <v>100</v>
      </c>
      <c r="D219" t="s">
        <v>50</v>
      </c>
      <c r="E219">
        <v>631908</v>
      </c>
      <c r="F219" t="s">
        <v>332</v>
      </c>
      <c r="H219" t="s">
        <v>2697</v>
      </c>
      <c r="L219" s="1">
        <v>41729</v>
      </c>
    </row>
    <row r="220" spans="2:13" x14ac:dyDescent="0.25">
      <c r="B220" t="s">
        <v>2695</v>
      </c>
      <c r="C220" t="s">
        <v>0</v>
      </c>
      <c r="D220" t="s">
        <v>1</v>
      </c>
      <c r="E220">
        <v>651572</v>
      </c>
      <c r="F220" t="s">
        <v>397</v>
      </c>
      <c r="H220" t="s">
        <v>2693</v>
      </c>
      <c r="L220" s="1">
        <v>42423</v>
      </c>
      <c r="M220" s="1">
        <v>42467</v>
      </c>
    </row>
    <row r="221" spans="2:13" x14ac:dyDescent="0.25">
      <c r="B221" t="s">
        <v>2694</v>
      </c>
      <c r="C221" t="s">
        <v>100</v>
      </c>
      <c r="D221" t="s">
        <v>50</v>
      </c>
      <c r="E221">
        <v>646217</v>
      </c>
      <c r="F221" t="s">
        <v>44</v>
      </c>
      <c r="H221" t="s">
        <v>2693</v>
      </c>
      <c r="L221" s="1">
        <v>42263</v>
      </c>
    </row>
    <row r="222" spans="2:13" x14ac:dyDescent="0.25">
      <c r="B222" t="s">
        <v>2692</v>
      </c>
      <c r="C222" t="s">
        <v>100</v>
      </c>
      <c r="D222" t="s">
        <v>50</v>
      </c>
      <c r="E222">
        <v>626303</v>
      </c>
      <c r="F222" t="s">
        <v>332</v>
      </c>
      <c r="H222" t="s">
        <v>2693</v>
      </c>
      <c r="L222" s="1">
        <v>41764</v>
      </c>
    </row>
    <row r="223" spans="2:13" x14ac:dyDescent="0.25">
      <c r="B223" t="s">
        <v>2691</v>
      </c>
      <c r="C223" t="s">
        <v>0</v>
      </c>
      <c r="D223" t="s">
        <v>1</v>
      </c>
      <c r="E223">
        <v>656125</v>
      </c>
      <c r="F223" t="s">
        <v>136</v>
      </c>
      <c r="H223" t="s">
        <v>2690</v>
      </c>
      <c r="L223" s="1">
        <v>42566</v>
      </c>
      <c r="M223" s="1">
        <v>42628</v>
      </c>
    </row>
    <row r="224" spans="2:13" x14ac:dyDescent="0.25">
      <c r="B224" t="s">
        <v>2689</v>
      </c>
      <c r="C224" t="s">
        <v>0</v>
      </c>
      <c r="D224" t="s">
        <v>1</v>
      </c>
      <c r="E224">
        <v>628521</v>
      </c>
      <c r="F224" t="s">
        <v>332</v>
      </c>
      <c r="H224" t="s">
        <v>2690</v>
      </c>
      <c r="L224" s="1">
        <v>41758</v>
      </c>
      <c r="M224" s="1">
        <v>41851</v>
      </c>
    </row>
    <row r="225" spans="2:13" x14ac:dyDescent="0.25">
      <c r="B225" t="s">
        <v>2688</v>
      </c>
      <c r="C225" t="s">
        <v>139</v>
      </c>
      <c r="F225" t="s">
        <v>177</v>
      </c>
      <c r="H225" t="s">
        <v>2686</v>
      </c>
      <c r="L225" s="1">
        <v>42838</v>
      </c>
      <c r="M225" s="1">
        <v>42891</v>
      </c>
    </row>
    <row r="226" spans="2:13" x14ac:dyDescent="0.25">
      <c r="B226" t="s">
        <v>2687</v>
      </c>
      <c r="C226" t="s">
        <v>0</v>
      </c>
      <c r="D226" t="s">
        <v>1</v>
      </c>
      <c r="E226">
        <v>662315</v>
      </c>
      <c r="F226" t="s">
        <v>177</v>
      </c>
      <c r="H226" t="s">
        <v>2686</v>
      </c>
      <c r="L226" s="1">
        <v>42758</v>
      </c>
      <c r="M226" s="1">
        <v>42824</v>
      </c>
    </row>
    <row r="227" spans="2:13" x14ac:dyDescent="0.25">
      <c r="B227" t="s">
        <v>2685</v>
      </c>
      <c r="C227" t="s">
        <v>0</v>
      </c>
      <c r="D227" t="s">
        <v>1</v>
      </c>
      <c r="E227">
        <v>661380</v>
      </c>
      <c r="F227" t="s">
        <v>177</v>
      </c>
      <c r="H227" t="s">
        <v>2686</v>
      </c>
      <c r="L227" s="1">
        <v>42621</v>
      </c>
      <c r="M227" s="1">
        <v>42793</v>
      </c>
    </row>
    <row r="229" spans="2:13" x14ac:dyDescent="0.25">
      <c r="B229" t="s">
        <v>2683</v>
      </c>
      <c r="C229" t="s">
        <v>0</v>
      </c>
      <c r="D229" t="s">
        <v>1</v>
      </c>
      <c r="E229">
        <v>635097</v>
      </c>
      <c r="F229" t="s">
        <v>397</v>
      </c>
      <c r="H229" t="s">
        <v>2684</v>
      </c>
      <c r="L229" s="1">
        <v>41948</v>
      </c>
      <c r="M229" s="1">
        <v>42016</v>
      </c>
    </row>
    <row r="230" spans="2:13" x14ac:dyDescent="0.25">
      <c r="B230" t="s">
        <v>2682</v>
      </c>
      <c r="C230" t="s">
        <v>0</v>
      </c>
      <c r="D230" t="s">
        <v>1</v>
      </c>
      <c r="E230">
        <v>623703</v>
      </c>
      <c r="F230" t="s">
        <v>397</v>
      </c>
      <c r="H230" t="s">
        <v>2681</v>
      </c>
      <c r="L230" s="1">
        <v>41711</v>
      </c>
      <c r="M230" s="1">
        <v>41737</v>
      </c>
    </row>
    <row r="231" spans="2:13" x14ac:dyDescent="0.25">
      <c r="B231" t="s">
        <v>2680</v>
      </c>
      <c r="C231" t="s">
        <v>0</v>
      </c>
      <c r="D231" t="s">
        <v>1</v>
      </c>
      <c r="E231">
        <v>603160</v>
      </c>
      <c r="F231" t="s">
        <v>163</v>
      </c>
      <c r="H231" t="s">
        <v>2681</v>
      </c>
      <c r="L231" s="1">
        <v>41165</v>
      </c>
      <c r="M231" s="1">
        <v>41197</v>
      </c>
    </row>
    <row r="232" spans="2:13" x14ac:dyDescent="0.25">
      <c r="B232" t="s">
        <v>2678</v>
      </c>
      <c r="C232" t="s">
        <v>0</v>
      </c>
      <c r="D232" t="s">
        <v>1</v>
      </c>
      <c r="E232">
        <v>630104</v>
      </c>
      <c r="F232" t="s">
        <v>397</v>
      </c>
      <c r="H232" t="s">
        <v>2679</v>
      </c>
      <c r="L232" s="1">
        <v>41835</v>
      </c>
      <c r="M232" s="1">
        <v>41886</v>
      </c>
    </row>
    <row r="233" spans="2:13" x14ac:dyDescent="0.25">
      <c r="B233" t="s">
        <v>2677</v>
      </c>
      <c r="C233" t="s">
        <v>0</v>
      </c>
      <c r="D233" t="s">
        <v>1</v>
      </c>
      <c r="E233">
        <v>653286</v>
      </c>
      <c r="F233" t="s">
        <v>397</v>
      </c>
      <c r="H233" t="s">
        <v>2676</v>
      </c>
      <c r="L233" s="1">
        <v>42502</v>
      </c>
      <c r="M233" s="1">
        <v>42527</v>
      </c>
    </row>
    <row r="234" spans="2:13" x14ac:dyDescent="0.25">
      <c r="B234" t="s">
        <v>2675</v>
      </c>
      <c r="C234" t="s">
        <v>0</v>
      </c>
      <c r="D234" t="s">
        <v>1</v>
      </c>
      <c r="E234">
        <v>638194</v>
      </c>
      <c r="F234" t="s">
        <v>397</v>
      </c>
      <c r="H234" t="s">
        <v>2676</v>
      </c>
      <c r="L234" s="1">
        <v>42040</v>
      </c>
      <c r="M234" s="1">
        <v>42087</v>
      </c>
    </row>
    <row r="235" spans="2:13" x14ac:dyDescent="0.25">
      <c r="B235" t="s">
        <v>2674</v>
      </c>
      <c r="C235" t="s">
        <v>0</v>
      </c>
      <c r="D235" t="s">
        <v>1</v>
      </c>
      <c r="E235">
        <v>659738</v>
      </c>
      <c r="F235" t="s">
        <v>136</v>
      </c>
      <c r="H235" t="s">
        <v>2673</v>
      </c>
      <c r="L235" s="1">
        <v>42692</v>
      </c>
      <c r="M235" s="1">
        <v>42745</v>
      </c>
    </row>
    <row r="236" spans="2:13" x14ac:dyDescent="0.25">
      <c r="B236" t="s">
        <v>2672</v>
      </c>
      <c r="C236" t="s">
        <v>76</v>
      </c>
      <c r="F236" t="s">
        <v>136</v>
      </c>
      <c r="H236" t="s">
        <v>2673</v>
      </c>
      <c r="L236" s="1">
        <v>42607</v>
      </c>
      <c r="M236" s="1">
        <v>42636</v>
      </c>
    </row>
    <row r="237" spans="2:13" x14ac:dyDescent="0.25">
      <c r="B237" t="s">
        <v>2670</v>
      </c>
      <c r="C237" t="s">
        <v>0</v>
      </c>
      <c r="D237" t="s">
        <v>1</v>
      </c>
      <c r="E237">
        <v>662445</v>
      </c>
      <c r="F237" t="s">
        <v>136</v>
      </c>
      <c r="H237" t="s">
        <v>2671</v>
      </c>
      <c r="L237" s="1">
        <v>42681</v>
      </c>
      <c r="M237" s="1">
        <v>42829</v>
      </c>
    </row>
    <row r="238" spans="2:13" x14ac:dyDescent="0.25">
      <c r="B238" t="s">
        <v>2669</v>
      </c>
      <c r="C238" t="s">
        <v>0</v>
      </c>
      <c r="D238" t="s">
        <v>1</v>
      </c>
      <c r="E238">
        <v>603563</v>
      </c>
      <c r="F238" t="s">
        <v>136</v>
      </c>
      <c r="H238" t="s">
        <v>2668</v>
      </c>
      <c r="L238" s="1">
        <v>41099</v>
      </c>
      <c r="M238" s="1">
        <v>41211</v>
      </c>
    </row>
    <row r="239" spans="2:13" x14ac:dyDescent="0.25">
      <c r="B239" t="s">
        <v>2667</v>
      </c>
      <c r="C239" t="s">
        <v>0</v>
      </c>
      <c r="D239" t="s">
        <v>1</v>
      </c>
      <c r="E239">
        <v>601140</v>
      </c>
      <c r="F239" t="s">
        <v>136</v>
      </c>
      <c r="H239" t="s">
        <v>2668</v>
      </c>
      <c r="L239" s="1">
        <v>41088</v>
      </c>
      <c r="M239" s="1">
        <v>41141</v>
      </c>
    </row>
    <row r="240" spans="2:13" x14ac:dyDescent="0.25">
      <c r="B240" t="s">
        <v>2665</v>
      </c>
      <c r="C240" t="s">
        <v>0</v>
      </c>
      <c r="D240" t="s">
        <v>1</v>
      </c>
      <c r="E240">
        <v>662444</v>
      </c>
      <c r="F240" t="s">
        <v>136</v>
      </c>
      <c r="H240" t="s">
        <v>2666</v>
      </c>
      <c r="L240" s="1">
        <v>42681</v>
      </c>
      <c r="M240" s="1">
        <v>42829</v>
      </c>
    </row>
    <row r="241" spans="2:13" x14ac:dyDescent="0.25">
      <c r="B241" t="s">
        <v>2663</v>
      </c>
      <c r="C241" t="s">
        <v>139</v>
      </c>
      <c r="F241" t="s">
        <v>1771</v>
      </c>
      <c r="H241" t="s">
        <v>2664</v>
      </c>
      <c r="L241" s="1">
        <v>42815</v>
      </c>
      <c r="M241" s="1">
        <v>42898</v>
      </c>
    </row>
    <row r="242" spans="2:13" x14ac:dyDescent="0.25">
      <c r="B242" t="s">
        <v>2661</v>
      </c>
      <c r="C242" t="s">
        <v>0</v>
      </c>
      <c r="D242" t="s">
        <v>1</v>
      </c>
      <c r="E242">
        <v>641616</v>
      </c>
      <c r="F242" t="s">
        <v>332</v>
      </c>
      <c r="H242" t="s">
        <v>2662</v>
      </c>
      <c r="L242" s="1">
        <v>42037</v>
      </c>
      <c r="M242" s="1">
        <v>42163</v>
      </c>
    </row>
    <row r="243" spans="2:13" x14ac:dyDescent="0.25">
      <c r="B243" t="s">
        <v>2660</v>
      </c>
      <c r="C243" t="s">
        <v>100</v>
      </c>
      <c r="D243" t="s">
        <v>50</v>
      </c>
      <c r="E243">
        <v>655021</v>
      </c>
      <c r="F243" t="s">
        <v>2113</v>
      </c>
      <c r="H243" t="s">
        <v>2658</v>
      </c>
      <c r="L243" s="1">
        <v>42454</v>
      </c>
    </row>
    <row r="244" spans="2:13" x14ac:dyDescent="0.25">
      <c r="B244" t="s">
        <v>2659</v>
      </c>
      <c r="C244" t="s">
        <v>0</v>
      </c>
      <c r="D244" t="s">
        <v>1</v>
      </c>
      <c r="E244">
        <v>647698</v>
      </c>
      <c r="F244" t="s">
        <v>332</v>
      </c>
      <c r="H244" t="s">
        <v>2658</v>
      </c>
      <c r="L244" s="1">
        <v>42305</v>
      </c>
      <c r="M244" s="1">
        <v>42352</v>
      </c>
    </row>
    <row r="245" spans="2:13" x14ac:dyDescent="0.25">
      <c r="B245" t="s">
        <v>2657</v>
      </c>
      <c r="C245" t="s">
        <v>0</v>
      </c>
      <c r="D245" t="s">
        <v>1</v>
      </c>
      <c r="E245">
        <v>645792</v>
      </c>
      <c r="F245" t="s">
        <v>332</v>
      </c>
      <c r="H245" t="s">
        <v>2658</v>
      </c>
      <c r="L245" s="1">
        <v>42234</v>
      </c>
      <c r="M245" s="1">
        <v>42282</v>
      </c>
    </row>
    <row r="246" spans="2:13" x14ac:dyDescent="0.25">
      <c r="B246" t="s">
        <v>2655</v>
      </c>
      <c r="C246" t="s">
        <v>0</v>
      </c>
      <c r="D246" t="s">
        <v>1</v>
      </c>
      <c r="E246">
        <v>641615</v>
      </c>
      <c r="F246" t="s">
        <v>332</v>
      </c>
      <c r="H246" t="s">
        <v>2656</v>
      </c>
      <c r="L246" s="1">
        <v>42037</v>
      </c>
      <c r="M246" s="1">
        <v>42163</v>
      </c>
    </row>
    <row r="247" spans="2:13" x14ac:dyDescent="0.25">
      <c r="L247" s="1"/>
      <c r="M247" s="1"/>
    </row>
    <row r="248" spans="2:13" x14ac:dyDescent="0.25">
      <c r="B248" t="s">
        <v>2654</v>
      </c>
      <c r="C248" t="s">
        <v>0</v>
      </c>
      <c r="D248" t="s">
        <v>1</v>
      </c>
      <c r="E248">
        <v>650082</v>
      </c>
      <c r="F248" t="s">
        <v>397</v>
      </c>
      <c r="H248" t="s">
        <v>2653</v>
      </c>
      <c r="L248" s="1">
        <v>42390</v>
      </c>
      <c r="M248" s="1">
        <v>42422</v>
      </c>
    </row>
    <row r="249" spans="2:13" x14ac:dyDescent="0.25">
      <c r="B249" t="s">
        <v>2652</v>
      </c>
      <c r="C249" t="s">
        <v>0</v>
      </c>
      <c r="D249" t="s">
        <v>1</v>
      </c>
      <c r="E249">
        <v>650081</v>
      </c>
      <c r="F249" t="s">
        <v>397</v>
      </c>
      <c r="H249" t="s">
        <v>2653</v>
      </c>
      <c r="L249" s="1">
        <v>42390</v>
      </c>
      <c r="M249" s="1">
        <v>42422</v>
      </c>
    </row>
    <row r="250" spans="2:13" x14ac:dyDescent="0.25">
      <c r="B250" t="s">
        <v>2650</v>
      </c>
      <c r="C250" t="s">
        <v>0</v>
      </c>
      <c r="D250" t="s">
        <v>1</v>
      </c>
      <c r="E250">
        <v>650083</v>
      </c>
      <c r="F250" t="s">
        <v>397</v>
      </c>
      <c r="H250" t="s">
        <v>2651</v>
      </c>
      <c r="L250" s="1">
        <v>42390</v>
      </c>
      <c r="M250" s="1">
        <v>42422</v>
      </c>
    </row>
    <row r="251" spans="2:13" x14ac:dyDescent="0.25">
      <c r="B251" t="s">
        <v>2649</v>
      </c>
      <c r="C251" t="s">
        <v>139</v>
      </c>
      <c r="F251" t="s">
        <v>163</v>
      </c>
      <c r="H251" t="s">
        <v>2647</v>
      </c>
      <c r="L251" s="1">
        <v>42865</v>
      </c>
      <c r="M251" s="1">
        <v>42892</v>
      </c>
    </row>
    <row r="252" spans="2:13" x14ac:dyDescent="0.25">
      <c r="B252" t="s">
        <v>2648</v>
      </c>
      <c r="C252" t="s">
        <v>0</v>
      </c>
      <c r="D252" t="s">
        <v>1</v>
      </c>
      <c r="E252">
        <v>661089</v>
      </c>
      <c r="F252" t="s">
        <v>163</v>
      </c>
      <c r="H252" t="s">
        <v>2647</v>
      </c>
      <c r="L252" s="1">
        <v>42731</v>
      </c>
      <c r="M252" s="1">
        <v>42782</v>
      </c>
    </row>
    <row r="253" spans="2:13" x14ac:dyDescent="0.25">
      <c r="B253" t="s">
        <v>2646</v>
      </c>
      <c r="C253" t="s">
        <v>100</v>
      </c>
      <c r="D253" t="s">
        <v>50</v>
      </c>
      <c r="E253">
        <v>641180</v>
      </c>
      <c r="F253" t="s">
        <v>397</v>
      </c>
      <c r="H253" t="s">
        <v>2647</v>
      </c>
      <c r="L253" s="1">
        <v>42053</v>
      </c>
    </row>
    <row r="254" spans="2:13" x14ac:dyDescent="0.25">
      <c r="B254" t="s">
        <v>2645</v>
      </c>
      <c r="C254" t="s">
        <v>139</v>
      </c>
      <c r="F254" t="s">
        <v>397</v>
      </c>
      <c r="H254" t="s">
        <v>2644</v>
      </c>
      <c r="L254" s="1">
        <v>42880</v>
      </c>
    </row>
    <row r="255" spans="2:13" x14ac:dyDescent="0.25">
      <c r="B255" t="s">
        <v>2643</v>
      </c>
      <c r="C255" t="s">
        <v>139</v>
      </c>
      <c r="F255" t="s">
        <v>163</v>
      </c>
      <c r="H255" t="s">
        <v>2644</v>
      </c>
      <c r="L255" s="1">
        <v>42829</v>
      </c>
      <c r="M255" s="1">
        <v>42893</v>
      </c>
    </row>
    <row r="256" spans="2:13" x14ac:dyDescent="0.25">
      <c r="B256" t="s">
        <v>2642</v>
      </c>
      <c r="C256" t="s">
        <v>0</v>
      </c>
      <c r="D256" t="s">
        <v>1</v>
      </c>
      <c r="E256">
        <v>659523</v>
      </c>
      <c r="F256" t="s">
        <v>163</v>
      </c>
      <c r="H256" t="s">
        <v>2641</v>
      </c>
      <c r="L256" s="1">
        <v>42675</v>
      </c>
      <c r="M256" s="1">
        <v>42738</v>
      </c>
    </row>
    <row r="257" spans="2:13" x14ac:dyDescent="0.25">
      <c r="B257" t="s">
        <v>2639</v>
      </c>
      <c r="C257" t="s">
        <v>0</v>
      </c>
      <c r="D257" t="s">
        <v>1</v>
      </c>
      <c r="E257">
        <v>607409</v>
      </c>
      <c r="F257" t="s">
        <v>2640</v>
      </c>
      <c r="H257" t="s">
        <v>2641</v>
      </c>
      <c r="L257" s="1">
        <v>41269</v>
      </c>
      <c r="M257" s="1">
        <v>41310</v>
      </c>
    </row>
    <row r="258" spans="2:13" x14ac:dyDescent="0.25">
      <c r="B258" t="s">
        <v>2637</v>
      </c>
      <c r="C258" t="s">
        <v>0</v>
      </c>
      <c r="D258" t="s">
        <v>1</v>
      </c>
      <c r="E258">
        <v>630664</v>
      </c>
      <c r="F258" t="s">
        <v>397</v>
      </c>
      <c r="H258" t="s">
        <v>2638</v>
      </c>
      <c r="L258" s="1">
        <v>41835</v>
      </c>
      <c r="M258" s="1">
        <v>41898</v>
      </c>
    </row>
    <row r="259" spans="2:13" x14ac:dyDescent="0.25">
      <c r="B259" t="s">
        <v>2635</v>
      </c>
      <c r="C259" t="s">
        <v>0</v>
      </c>
      <c r="D259" t="s">
        <v>1</v>
      </c>
      <c r="E259">
        <v>631818</v>
      </c>
      <c r="F259" t="s">
        <v>397</v>
      </c>
      <c r="H259" t="s">
        <v>2636</v>
      </c>
      <c r="L259" s="1">
        <v>41905</v>
      </c>
      <c r="M259" s="1">
        <v>41926</v>
      </c>
    </row>
    <row r="261" spans="2:13" x14ac:dyDescent="0.25">
      <c r="B261" t="s">
        <v>2633</v>
      </c>
      <c r="C261" t="s">
        <v>0</v>
      </c>
      <c r="D261" t="s">
        <v>1</v>
      </c>
      <c r="E261">
        <v>650935</v>
      </c>
      <c r="F261" t="s">
        <v>280</v>
      </c>
      <c r="H261" t="s">
        <v>2634</v>
      </c>
      <c r="L261" s="1">
        <v>42326</v>
      </c>
      <c r="M261" s="1">
        <v>42446</v>
      </c>
    </row>
    <row r="262" spans="2:13" x14ac:dyDescent="0.25">
      <c r="B262" t="s">
        <v>2632</v>
      </c>
      <c r="C262" t="s">
        <v>139</v>
      </c>
      <c r="F262" t="s">
        <v>280</v>
      </c>
      <c r="H262" t="s">
        <v>2631</v>
      </c>
      <c r="L262" s="1">
        <v>42494</v>
      </c>
      <c r="M262" s="1">
        <v>42891</v>
      </c>
    </row>
    <row r="263" spans="2:13" x14ac:dyDescent="0.25">
      <c r="B263" t="s">
        <v>2630</v>
      </c>
      <c r="C263" t="s">
        <v>100</v>
      </c>
      <c r="D263" t="s">
        <v>50</v>
      </c>
      <c r="E263">
        <v>663567</v>
      </c>
      <c r="F263" t="s">
        <v>147</v>
      </c>
      <c r="H263" t="s">
        <v>2631</v>
      </c>
      <c r="L263" s="1">
        <v>42471</v>
      </c>
    </row>
    <row r="264" spans="2:13" x14ac:dyDescent="0.25">
      <c r="B264" t="s">
        <v>2628</v>
      </c>
      <c r="C264" t="s">
        <v>0</v>
      </c>
      <c r="D264" t="s">
        <v>1</v>
      </c>
      <c r="E264">
        <v>656605</v>
      </c>
      <c r="F264" t="s">
        <v>163</v>
      </c>
      <c r="H264" t="s">
        <v>2629</v>
      </c>
      <c r="L264" s="1">
        <v>42552</v>
      </c>
      <c r="M264" s="1">
        <v>42647</v>
      </c>
    </row>
    <row r="265" spans="2:13" x14ac:dyDescent="0.25">
      <c r="B265" t="s">
        <v>2626</v>
      </c>
      <c r="C265" t="s">
        <v>140</v>
      </c>
      <c r="F265" t="s">
        <v>280</v>
      </c>
      <c r="H265" t="s">
        <v>2627</v>
      </c>
      <c r="L265" s="1">
        <v>42570</v>
      </c>
      <c r="M265" s="1">
        <v>42913</v>
      </c>
    </row>
    <row r="266" spans="2:13" x14ac:dyDescent="0.25">
      <c r="B266" t="s">
        <v>2625</v>
      </c>
      <c r="C266" t="s">
        <v>139</v>
      </c>
      <c r="F266" t="s">
        <v>395</v>
      </c>
      <c r="H266" t="s">
        <v>2623</v>
      </c>
      <c r="L266" s="1">
        <v>42838</v>
      </c>
      <c r="M266" s="1">
        <v>42891</v>
      </c>
    </row>
    <row r="267" spans="2:13" x14ac:dyDescent="0.25">
      <c r="B267" t="s">
        <v>2624</v>
      </c>
      <c r="C267" t="s">
        <v>100</v>
      </c>
      <c r="D267" t="s">
        <v>50</v>
      </c>
      <c r="E267">
        <v>660681</v>
      </c>
      <c r="F267" t="s">
        <v>1767</v>
      </c>
      <c r="H267" t="s">
        <v>2623</v>
      </c>
      <c r="L267" s="1">
        <v>42639</v>
      </c>
    </row>
    <row r="268" spans="2:13" x14ac:dyDescent="0.25">
      <c r="B268" t="s">
        <v>2622</v>
      </c>
      <c r="C268" t="s">
        <v>140</v>
      </c>
      <c r="F268" t="s">
        <v>280</v>
      </c>
      <c r="H268" t="s">
        <v>2623</v>
      </c>
      <c r="L268" s="1">
        <v>42531</v>
      </c>
      <c r="M268" s="1">
        <v>42913</v>
      </c>
    </row>
    <row r="269" spans="2:13" x14ac:dyDescent="0.25">
      <c r="B269" t="s">
        <v>2620</v>
      </c>
      <c r="C269" t="s">
        <v>140</v>
      </c>
      <c r="F269" t="s">
        <v>2613</v>
      </c>
      <c r="H269" t="s">
        <v>2621</v>
      </c>
      <c r="L269" s="1">
        <v>42808</v>
      </c>
      <c r="M269" s="1">
        <v>42979</v>
      </c>
    </row>
    <row r="270" spans="2:13" x14ac:dyDescent="0.25">
      <c r="B270" t="s">
        <v>2619</v>
      </c>
      <c r="C270" t="s">
        <v>0</v>
      </c>
      <c r="D270" t="s">
        <v>1</v>
      </c>
      <c r="E270">
        <v>658462</v>
      </c>
      <c r="F270" t="s">
        <v>192</v>
      </c>
      <c r="H270" t="s">
        <v>2618</v>
      </c>
      <c r="L270" s="1">
        <v>42629</v>
      </c>
      <c r="M270" s="1">
        <v>42704</v>
      </c>
    </row>
    <row r="271" spans="2:13" x14ac:dyDescent="0.25">
      <c r="B271" t="s">
        <v>2617</v>
      </c>
      <c r="C271" t="s">
        <v>100</v>
      </c>
      <c r="D271" t="s">
        <v>50</v>
      </c>
      <c r="E271">
        <v>663569</v>
      </c>
      <c r="F271" t="s">
        <v>147</v>
      </c>
      <c r="H271" t="s">
        <v>2618</v>
      </c>
      <c r="L271" s="1">
        <v>42517</v>
      </c>
    </row>
    <row r="272" spans="2:13" x14ac:dyDescent="0.25">
      <c r="B272" t="s">
        <v>2615</v>
      </c>
      <c r="C272" t="s">
        <v>0</v>
      </c>
      <c r="D272" t="s">
        <v>1</v>
      </c>
      <c r="E272">
        <v>651201</v>
      </c>
      <c r="F272" t="s">
        <v>163</v>
      </c>
      <c r="H272" t="s">
        <v>2616</v>
      </c>
      <c r="L272" s="1">
        <v>42395</v>
      </c>
      <c r="M272" s="1">
        <v>42457</v>
      </c>
    </row>
    <row r="273" spans="2:13" x14ac:dyDescent="0.25">
      <c r="B273" t="s">
        <v>2612</v>
      </c>
      <c r="C273" t="s">
        <v>140</v>
      </c>
      <c r="F273" t="s">
        <v>2613</v>
      </c>
      <c r="H273" t="s">
        <v>2614</v>
      </c>
      <c r="L273" s="1">
        <v>42808</v>
      </c>
      <c r="M273" s="1">
        <v>42979</v>
      </c>
    </row>
    <row r="274" spans="2:13" x14ac:dyDescent="0.25">
      <c r="B274" t="s">
        <v>2610</v>
      </c>
      <c r="C274" t="s">
        <v>140</v>
      </c>
      <c r="F274" t="s">
        <v>280</v>
      </c>
      <c r="H274" t="s">
        <v>2611</v>
      </c>
      <c r="L274" s="1">
        <v>42569</v>
      </c>
      <c r="M274" s="1">
        <v>42905</v>
      </c>
    </row>
    <row r="275" spans="2:13" x14ac:dyDescent="0.25">
      <c r="B275" t="s">
        <v>2609</v>
      </c>
      <c r="C275" t="s">
        <v>162</v>
      </c>
      <c r="F275" t="s">
        <v>395</v>
      </c>
      <c r="H275" t="s">
        <v>2607</v>
      </c>
      <c r="L275" s="1">
        <v>42888</v>
      </c>
      <c r="M275" s="1">
        <v>42912</v>
      </c>
    </row>
    <row r="276" spans="2:13" x14ac:dyDescent="0.25">
      <c r="B276" t="s">
        <v>2608</v>
      </c>
      <c r="C276" t="s">
        <v>100</v>
      </c>
      <c r="D276" t="s">
        <v>50</v>
      </c>
      <c r="E276">
        <v>660680</v>
      </c>
      <c r="F276" t="s">
        <v>1767</v>
      </c>
      <c r="H276" t="s">
        <v>2607</v>
      </c>
      <c r="L276" s="1">
        <v>42639</v>
      </c>
    </row>
    <row r="277" spans="2:13" x14ac:dyDescent="0.25">
      <c r="B277" t="s">
        <v>2606</v>
      </c>
      <c r="C277" t="s">
        <v>140</v>
      </c>
      <c r="F277" t="s">
        <v>280</v>
      </c>
      <c r="H277" t="s">
        <v>2607</v>
      </c>
      <c r="L277" s="1">
        <v>42531</v>
      </c>
      <c r="M277" s="1">
        <v>42913</v>
      </c>
    </row>
    <row r="278" spans="2:13" x14ac:dyDescent="0.25">
      <c r="B278" t="s">
        <v>2604</v>
      </c>
      <c r="C278" t="s">
        <v>140</v>
      </c>
      <c r="F278" t="s">
        <v>280</v>
      </c>
      <c r="H278" t="s">
        <v>2605</v>
      </c>
      <c r="L278" s="1">
        <v>42569</v>
      </c>
      <c r="M278" s="1">
        <v>42905</v>
      </c>
    </row>
    <row r="279" spans="2:13" x14ac:dyDescent="0.25">
      <c r="B279" t="s">
        <v>2603</v>
      </c>
      <c r="C279" t="s">
        <v>100</v>
      </c>
      <c r="D279" t="s">
        <v>50</v>
      </c>
      <c r="E279">
        <v>651412</v>
      </c>
      <c r="F279" t="s">
        <v>280</v>
      </c>
      <c r="H279" t="s">
        <v>2602</v>
      </c>
      <c r="L279" s="1">
        <v>42417</v>
      </c>
    </row>
    <row r="280" spans="2:13" x14ac:dyDescent="0.25">
      <c r="B280" t="s">
        <v>2601</v>
      </c>
      <c r="C280" t="s">
        <v>0</v>
      </c>
      <c r="D280" t="s">
        <v>1</v>
      </c>
      <c r="E280">
        <v>645791</v>
      </c>
      <c r="F280" t="s">
        <v>280</v>
      </c>
      <c r="H280" t="s">
        <v>2602</v>
      </c>
      <c r="L280" s="1">
        <v>42233</v>
      </c>
      <c r="M280" s="1">
        <v>42282</v>
      </c>
    </row>
    <row r="281" spans="2:13" x14ac:dyDescent="0.25">
      <c r="B281" t="s">
        <v>2599</v>
      </c>
      <c r="C281" t="s">
        <v>0</v>
      </c>
      <c r="D281" t="s">
        <v>1</v>
      </c>
      <c r="E281">
        <v>664208</v>
      </c>
      <c r="F281" t="s">
        <v>163</v>
      </c>
      <c r="H281" t="s">
        <v>2600</v>
      </c>
      <c r="L281" s="1">
        <v>42835</v>
      </c>
      <c r="M281" s="1">
        <v>42886</v>
      </c>
    </row>
    <row r="282" spans="2:13" x14ac:dyDescent="0.25">
      <c r="B282" t="s">
        <v>2597</v>
      </c>
      <c r="C282" t="s">
        <v>0</v>
      </c>
      <c r="D282" t="s">
        <v>1</v>
      </c>
      <c r="E282">
        <v>653783</v>
      </c>
      <c r="F282" t="s">
        <v>280</v>
      </c>
      <c r="H282" t="s">
        <v>2598</v>
      </c>
      <c r="L282" s="1">
        <v>42430</v>
      </c>
      <c r="M282" s="1">
        <v>42548</v>
      </c>
    </row>
    <row r="283" spans="2:13" x14ac:dyDescent="0.25">
      <c r="B283" t="s">
        <v>2596</v>
      </c>
      <c r="C283" t="s">
        <v>100</v>
      </c>
      <c r="F283" t="s">
        <v>192</v>
      </c>
      <c r="H283" t="s">
        <v>2595</v>
      </c>
      <c r="L283" s="1">
        <v>42591</v>
      </c>
    </row>
    <row r="284" spans="2:13" x14ac:dyDescent="0.25">
      <c r="B284" t="s">
        <v>2594</v>
      </c>
      <c r="C284" t="s">
        <v>140</v>
      </c>
      <c r="F284" t="s">
        <v>280</v>
      </c>
      <c r="H284" t="s">
        <v>2595</v>
      </c>
      <c r="L284" s="1">
        <v>42549</v>
      </c>
      <c r="M284" s="1">
        <v>42976</v>
      </c>
    </row>
    <row r="285" spans="2:13" x14ac:dyDescent="0.25">
      <c r="B285" t="s">
        <v>2593</v>
      </c>
      <c r="C285" t="s">
        <v>100</v>
      </c>
      <c r="D285" t="s">
        <v>50</v>
      </c>
      <c r="E285">
        <v>662670</v>
      </c>
      <c r="F285" t="s">
        <v>192</v>
      </c>
      <c r="H285" t="s">
        <v>2592</v>
      </c>
      <c r="L285" s="1">
        <v>42591</v>
      </c>
    </row>
    <row r="286" spans="2:13" x14ac:dyDescent="0.25">
      <c r="B286" t="s">
        <v>2591</v>
      </c>
      <c r="C286" t="s">
        <v>140</v>
      </c>
      <c r="F286" t="s">
        <v>280</v>
      </c>
      <c r="H286" t="s">
        <v>2592</v>
      </c>
      <c r="L286" s="1">
        <v>42549</v>
      </c>
      <c r="M286" s="1">
        <v>42976</v>
      </c>
    </row>
    <row r="287" spans="2:13" x14ac:dyDescent="0.25">
      <c r="B287" t="s">
        <v>2589</v>
      </c>
      <c r="C287" t="s">
        <v>0</v>
      </c>
      <c r="D287" t="s">
        <v>1</v>
      </c>
      <c r="E287">
        <v>648236</v>
      </c>
      <c r="F287" t="s">
        <v>163</v>
      </c>
      <c r="H287" t="s">
        <v>2590</v>
      </c>
      <c r="L287" s="1">
        <v>42297</v>
      </c>
      <c r="M287" s="1">
        <v>42373</v>
      </c>
    </row>
    <row r="289" spans="2:13" x14ac:dyDescent="0.25">
      <c r="B289" t="s">
        <v>2585</v>
      </c>
      <c r="C289" t="s">
        <v>139</v>
      </c>
      <c r="F289" t="s">
        <v>280</v>
      </c>
      <c r="H289" t="s">
        <v>2586</v>
      </c>
      <c r="L289" s="1">
        <v>42543</v>
      </c>
      <c r="M289" s="1">
        <v>42898</v>
      </c>
    </row>
    <row r="290" spans="2:13" x14ac:dyDescent="0.25">
      <c r="B290" t="s">
        <v>2583</v>
      </c>
      <c r="C290" t="s">
        <v>139</v>
      </c>
      <c r="F290" t="s">
        <v>280</v>
      </c>
      <c r="H290" t="s">
        <v>2584</v>
      </c>
      <c r="L290" s="1">
        <v>42604</v>
      </c>
      <c r="M290" s="1">
        <v>42797</v>
      </c>
    </row>
    <row r="291" spans="2:13" x14ac:dyDescent="0.25">
      <c r="B291" t="s">
        <v>2581</v>
      </c>
      <c r="C291" t="s">
        <v>140</v>
      </c>
      <c r="F291" t="s">
        <v>280</v>
      </c>
      <c r="H291" t="s">
        <v>2582</v>
      </c>
      <c r="L291" s="1">
        <v>42534</v>
      </c>
      <c r="M291" s="1">
        <v>42905</v>
      </c>
    </row>
    <row r="292" spans="2:13" x14ac:dyDescent="0.25">
      <c r="B292" t="s">
        <v>2579</v>
      </c>
      <c r="C292" t="s">
        <v>0</v>
      </c>
      <c r="D292" t="s">
        <v>1</v>
      </c>
      <c r="E292">
        <v>651307</v>
      </c>
      <c r="F292" t="s">
        <v>280</v>
      </c>
      <c r="H292" t="s">
        <v>2580</v>
      </c>
      <c r="L292" s="1">
        <v>42402</v>
      </c>
      <c r="M292" s="1">
        <v>42459</v>
      </c>
    </row>
    <row r="293" spans="2:13" x14ac:dyDescent="0.25">
      <c r="B293" t="s">
        <v>2578</v>
      </c>
      <c r="C293" t="s">
        <v>76</v>
      </c>
      <c r="F293" t="s">
        <v>280</v>
      </c>
      <c r="H293" t="s">
        <v>2573</v>
      </c>
      <c r="L293" s="1">
        <v>42726</v>
      </c>
      <c r="M293" s="1">
        <v>42762</v>
      </c>
    </row>
    <row r="294" spans="2:13" x14ac:dyDescent="0.25">
      <c r="B294" t="s">
        <v>2577</v>
      </c>
      <c r="C294" t="s">
        <v>100</v>
      </c>
      <c r="D294" t="s">
        <v>50</v>
      </c>
      <c r="E294">
        <v>660970</v>
      </c>
      <c r="F294" t="s">
        <v>397</v>
      </c>
      <c r="H294" t="s">
        <v>2573</v>
      </c>
      <c r="L294" s="1">
        <v>42662</v>
      </c>
    </row>
    <row r="295" spans="2:13" x14ac:dyDescent="0.25">
      <c r="B295" t="s">
        <v>2576</v>
      </c>
      <c r="C295" t="s">
        <v>0</v>
      </c>
      <c r="D295" t="s">
        <v>1</v>
      </c>
      <c r="E295">
        <v>663457</v>
      </c>
      <c r="F295" t="s">
        <v>280</v>
      </c>
      <c r="H295" t="s">
        <v>2573</v>
      </c>
      <c r="L295" s="1">
        <v>42650</v>
      </c>
      <c r="M295" s="1">
        <v>42860</v>
      </c>
    </row>
    <row r="296" spans="2:13" x14ac:dyDescent="0.25">
      <c r="B296" t="s">
        <v>2574</v>
      </c>
      <c r="C296" t="s">
        <v>100</v>
      </c>
      <c r="D296" t="s">
        <v>50</v>
      </c>
      <c r="E296">
        <v>657031</v>
      </c>
      <c r="F296" t="s">
        <v>2575</v>
      </c>
      <c r="H296" t="s">
        <v>2573</v>
      </c>
      <c r="L296" s="1">
        <v>42515</v>
      </c>
    </row>
    <row r="297" spans="2:13" x14ac:dyDescent="0.25">
      <c r="B297" t="s">
        <v>2572</v>
      </c>
      <c r="C297" t="s">
        <v>100</v>
      </c>
      <c r="D297" t="s">
        <v>50</v>
      </c>
      <c r="E297">
        <v>652729</v>
      </c>
      <c r="F297" t="s">
        <v>280</v>
      </c>
      <c r="H297" t="s">
        <v>2573</v>
      </c>
      <c r="L297" s="1">
        <v>42466</v>
      </c>
    </row>
    <row r="298" spans="2:13" x14ac:dyDescent="0.25">
      <c r="B298" t="s">
        <v>2570</v>
      </c>
      <c r="C298" t="s">
        <v>0</v>
      </c>
      <c r="D298" t="s">
        <v>1</v>
      </c>
      <c r="E298">
        <v>649609</v>
      </c>
      <c r="F298" t="s">
        <v>280</v>
      </c>
      <c r="H298" t="s">
        <v>2571</v>
      </c>
      <c r="L298" s="1">
        <v>42345</v>
      </c>
      <c r="M298" s="1">
        <v>42408</v>
      </c>
    </row>
    <row r="299" spans="2:13" x14ac:dyDescent="0.25">
      <c r="B299" t="s">
        <v>2568</v>
      </c>
      <c r="C299" t="s">
        <v>140</v>
      </c>
      <c r="F299" t="s">
        <v>280</v>
      </c>
      <c r="H299" t="s">
        <v>2569</v>
      </c>
      <c r="L299" s="1">
        <v>42501</v>
      </c>
      <c r="M299" s="1">
        <v>42905</v>
      </c>
    </row>
    <row r="300" spans="2:13" x14ac:dyDescent="0.25">
      <c r="B300" t="s">
        <v>2566</v>
      </c>
      <c r="C300" t="s">
        <v>139</v>
      </c>
      <c r="F300" t="s">
        <v>280</v>
      </c>
      <c r="H300" t="s">
        <v>2567</v>
      </c>
      <c r="L300" s="1">
        <v>42531</v>
      </c>
      <c r="M300" s="1">
        <v>42891</v>
      </c>
    </row>
    <row r="301" spans="2:13" x14ac:dyDescent="0.25">
      <c r="B301" t="s">
        <v>2564</v>
      </c>
      <c r="C301" t="s">
        <v>0</v>
      </c>
      <c r="D301" t="s">
        <v>1</v>
      </c>
      <c r="E301">
        <v>655132</v>
      </c>
      <c r="F301" t="s">
        <v>280</v>
      </c>
      <c r="H301" t="s">
        <v>2565</v>
      </c>
      <c r="L301" s="1">
        <v>42538</v>
      </c>
      <c r="M301" s="1">
        <v>42593</v>
      </c>
    </row>
    <row r="302" spans="2:13" x14ac:dyDescent="0.25">
      <c r="B302" t="s">
        <v>2562</v>
      </c>
      <c r="C302" t="s">
        <v>140</v>
      </c>
      <c r="F302" t="s">
        <v>280</v>
      </c>
      <c r="H302" t="s">
        <v>2563</v>
      </c>
      <c r="L302" s="1">
        <v>42531</v>
      </c>
      <c r="M302" s="1">
        <v>42906</v>
      </c>
    </row>
    <row r="303" spans="2:13" x14ac:dyDescent="0.25">
      <c r="B303" t="s">
        <v>2560</v>
      </c>
      <c r="C303" t="s">
        <v>139</v>
      </c>
      <c r="F303" t="s">
        <v>280</v>
      </c>
      <c r="H303" t="s">
        <v>2561</v>
      </c>
      <c r="L303" s="1">
        <v>42538</v>
      </c>
      <c r="M303" s="1">
        <v>42885</v>
      </c>
    </row>
    <row r="304" spans="2:13" x14ac:dyDescent="0.25">
      <c r="B304" t="s">
        <v>2558</v>
      </c>
      <c r="C304" t="s">
        <v>139</v>
      </c>
      <c r="F304" t="s">
        <v>280</v>
      </c>
      <c r="H304" t="s">
        <v>2559</v>
      </c>
      <c r="L304" s="1">
        <v>42531</v>
      </c>
      <c r="M304" s="1">
        <v>42891</v>
      </c>
    </row>
    <row r="305" spans="2:13" x14ac:dyDescent="0.25">
      <c r="B305" t="s">
        <v>2556</v>
      </c>
      <c r="C305" t="s">
        <v>140</v>
      </c>
      <c r="F305" t="s">
        <v>280</v>
      </c>
      <c r="H305" t="s">
        <v>2557</v>
      </c>
      <c r="L305" s="1">
        <v>42501</v>
      </c>
      <c r="M305" s="1">
        <v>42905</v>
      </c>
    </row>
    <row r="306" spans="2:13" x14ac:dyDescent="0.25">
      <c r="B306" t="s">
        <v>2555</v>
      </c>
      <c r="C306" t="s">
        <v>76</v>
      </c>
      <c r="F306" t="s">
        <v>280</v>
      </c>
      <c r="H306" t="s">
        <v>2554</v>
      </c>
      <c r="L306" s="1">
        <v>42762</v>
      </c>
      <c r="M306" s="1">
        <v>42797</v>
      </c>
    </row>
    <row r="307" spans="2:13" x14ac:dyDescent="0.25">
      <c r="B307" t="s">
        <v>2553</v>
      </c>
      <c r="C307" t="s">
        <v>0</v>
      </c>
      <c r="D307" t="s">
        <v>1</v>
      </c>
      <c r="E307">
        <v>650408</v>
      </c>
      <c r="F307" t="s">
        <v>280</v>
      </c>
      <c r="H307" t="s">
        <v>2554</v>
      </c>
      <c r="L307" s="1">
        <v>42345</v>
      </c>
      <c r="M307" s="1">
        <v>42431</v>
      </c>
    </row>
    <row r="308" spans="2:13" x14ac:dyDescent="0.25">
      <c r="B308" t="s">
        <v>2552</v>
      </c>
      <c r="C308" t="s">
        <v>76</v>
      </c>
      <c r="F308" t="s">
        <v>280</v>
      </c>
      <c r="H308" t="s">
        <v>2548</v>
      </c>
      <c r="L308" s="1">
        <v>42726</v>
      </c>
      <c r="M308" s="1">
        <v>42762</v>
      </c>
    </row>
    <row r="309" spans="2:13" x14ac:dyDescent="0.25">
      <c r="B309" t="s">
        <v>2550</v>
      </c>
      <c r="C309" t="s">
        <v>100</v>
      </c>
      <c r="D309" t="s">
        <v>50</v>
      </c>
      <c r="E309">
        <v>660706</v>
      </c>
      <c r="F309" t="s">
        <v>2551</v>
      </c>
      <c r="H309" t="s">
        <v>2548</v>
      </c>
      <c r="L309" s="1">
        <v>42677</v>
      </c>
    </row>
    <row r="310" spans="2:13" x14ac:dyDescent="0.25">
      <c r="B310" t="s">
        <v>2549</v>
      </c>
      <c r="C310" t="s">
        <v>100</v>
      </c>
      <c r="D310" t="s">
        <v>50</v>
      </c>
      <c r="E310">
        <v>660969</v>
      </c>
      <c r="F310" t="s">
        <v>397</v>
      </c>
      <c r="H310" t="s">
        <v>2548</v>
      </c>
      <c r="L310" s="1">
        <v>42662</v>
      </c>
    </row>
    <row r="311" spans="2:13" x14ac:dyDescent="0.25">
      <c r="B311" t="s">
        <v>2547</v>
      </c>
      <c r="C311" t="s">
        <v>100</v>
      </c>
      <c r="D311" t="s">
        <v>50</v>
      </c>
      <c r="E311">
        <v>652728</v>
      </c>
      <c r="F311" t="s">
        <v>280</v>
      </c>
      <c r="H311" t="s">
        <v>2548</v>
      </c>
      <c r="L311" s="1">
        <v>42466</v>
      </c>
    </row>
    <row r="312" spans="2:13" x14ac:dyDescent="0.25">
      <c r="B312" t="s">
        <v>2545</v>
      </c>
      <c r="C312" t="s">
        <v>139</v>
      </c>
      <c r="F312" t="s">
        <v>280</v>
      </c>
      <c r="H312" t="s">
        <v>2546</v>
      </c>
      <c r="L312" s="1">
        <v>42541</v>
      </c>
      <c r="M312" s="1">
        <v>42879</v>
      </c>
    </row>
    <row r="313" spans="2:13" x14ac:dyDescent="0.25">
      <c r="B313" t="s">
        <v>2543</v>
      </c>
      <c r="C313" t="s">
        <v>140</v>
      </c>
      <c r="F313" t="s">
        <v>280</v>
      </c>
      <c r="H313" t="s">
        <v>2544</v>
      </c>
      <c r="L313" s="1">
        <v>42531</v>
      </c>
      <c r="M313" s="1">
        <v>42905</v>
      </c>
    </row>
    <row r="314" spans="2:13" x14ac:dyDescent="0.25">
      <c r="B314" t="s">
        <v>2541</v>
      </c>
      <c r="C314" t="s">
        <v>140</v>
      </c>
      <c r="F314" t="s">
        <v>280</v>
      </c>
      <c r="H314" t="s">
        <v>2542</v>
      </c>
      <c r="L314" s="1">
        <v>42544</v>
      </c>
      <c r="M314" s="1">
        <v>42913</v>
      </c>
    </row>
    <row r="315" spans="2:13" x14ac:dyDescent="0.25">
      <c r="B315" t="s">
        <v>2539</v>
      </c>
      <c r="C315" t="s">
        <v>139</v>
      </c>
      <c r="F315" t="s">
        <v>280</v>
      </c>
      <c r="H315" t="s">
        <v>2540</v>
      </c>
      <c r="L315" s="1">
        <v>42538</v>
      </c>
      <c r="M315" s="1">
        <v>42871</v>
      </c>
    </row>
    <row r="316" spans="2:13" x14ac:dyDescent="0.25">
      <c r="B316" t="s">
        <v>2537</v>
      </c>
      <c r="C316" t="s">
        <v>140</v>
      </c>
      <c r="F316" t="s">
        <v>280</v>
      </c>
      <c r="H316" t="s">
        <v>2538</v>
      </c>
      <c r="L316" s="1">
        <v>42531</v>
      </c>
      <c r="M316" s="1">
        <v>42906</v>
      </c>
    </row>
    <row r="317" spans="2:13" x14ac:dyDescent="0.25">
      <c r="B317" t="s">
        <v>2535</v>
      </c>
      <c r="C317" t="s">
        <v>100</v>
      </c>
      <c r="D317" t="s">
        <v>50</v>
      </c>
      <c r="E317">
        <v>663058</v>
      </c>
      <c r="F317" t="s">
        <v>280</v>
      </c>
      <c r="H317" t="s">
        <v>2536</v>
      </c>
      <c r="L317" s="1">
        <v>42531</v>
      </c>
    </row>
    <row r="318" spans="2:13" x14ac:dyDescent="0.25">
      <c r="B318" t="s">
        <v>2533</v>
      </c>
      <c r="C318" t="s">
        <v>76</v>
      </c>
      <c r="F318" t="s">
        <v>395</v>
      </c>
      <c r="H318" t="s">
        <v>2534</v>
      </c>
      <c r="L318" s="1">
        <v>42804</v>
      </c>
    </row>
    <row r="319" spans="2:13" x14ac:dyDescent="0.25">
      <c r="B319" t="s">
        <v>2531</v>
      </c>
      <c r="C319" t="s">
        <v>139</v>
      </c>
      <c r="F319" t="s">
        <v>44</v>
      </c>
      <c r="H319" t="s">
        <v>2532</v>
      </c>
      <c r="L319" s="1">
        <v>42775</v>
      </c>
      <c r="M319" s="1">
        <v>42838</v>
      </c>
    </row>
    <row r="320" spans="2:13" x14ac:dyDescent="0.25">
      <c r="B320" t="s">
        <v>2529</v>
      </c>
      <c r="C320" t="s">
        <v>140</v>
      </c>
      <c r="F320" t="s">
        <v>280</v>
      </c>
      <c r="H320" t="s">
        <v>2530</v>
      </c>
      <c r="L320" s="1">
        <v>42531</v>
      </c>
      <c r="M320" s="1">
        <v>42905</v>
      </c>
    </row>
    <row r="321" spans="2:13" x14ac:dyDescent="0.25">
      <c r="B321" t="s">
        <v>2527</v>
      </c>
      <c r="C321" t="s">
        <v>139</v>
      </c>
      <c r="F321" t="s">
        <v>280</v>
      </c>
      <c r="H321" t="s">
        <v>2528</v>
      </c>
      <c r="L321" s="1">
        <v>42541</v>
      </c>
      <c r="M321" s="1">
        <v>42879</v>
      </c>
    </row>
    <row r="322" spans="2:13" x14ac:dyDescent="0.25">
      <c r="B322" t="s">
        <v>2525</v>
      </c>
      <c r="C322" t="s">
        <v>139</v>
      </c>
      <c r="F322" t="s">
        <v>280</v>
      </c>
      <c r="H322" t="s">
        <v>2526</v>
      </c>
      <c r="L322" s="1">
        <v>42545</v>
      </c>
      <c r="M322" s="1">
        <v>42870</v>
      </c>
    </row>
    <row r="323" spans="2:13" x14ac:dyDescent="0.25">
      <c r="B323" t="s">
        <v>2523</v>
      </c>
      <c r="C323" t="s">
        <v>0</v>
      </c>
      <c r="D323" t="s">
        <v>1</v>
      </c>
      <c r="E323">
        <v>651267</v>
      </c>
      <c r="F323" t="s">
        <v>280</v>
      </c>
      <c r="H323" t="s">
        <v>2524</v>
      </c>
      <c r="L323" s="1">
        <v>42402</v>
      </c>
      <c r="M323" s="1">
        <v>42458</v>
      </c>
    </row>
    <row r="324" spans="2:13" x14ac:dyDescent="0.25">
      <c r="B324" t="s">
        <v>2522</v>
      </c>
      <c r="C324" t="s">
        <v>139</v>
      </c>
      <c r="F324" t="s">
        <v>44</v>
      </c>
      <c r="H324" t="s">
        <v>2521</v>
      </c>
      <c r="L324" s="1">
        <v>42775</v>
      </c>
      <c r="M324" s="1">
        <v>42838</v>
      </c>
    </row>
    <row r="325" spans="2:13" x14ac:dyDescent="0.25">
      <c r="B325" t="s">
        <v>2520</v>
      </c>
      <c r="C325" t="s">
        <v>100</v>
      </c>
      <c r="D325" t="s">
        <v>50</v>
      </c>
      <c r="E325">
        <v>663056</v>
      </c>
      <c r="F325" t="s">
        <v>280</v>
      </c>
      <c r="H325" t="s">
        <v>2521</v>
      </c>
      <c r="L325" s="1">
        <v>42531</v>
      </c>
    </row>
    <row r="326" spans="2:13" x14ac:dyDescent="0.25">
      <c r="B326" t="s">
        <v>2519</v>
      </c>
      <c r="C326" t="s">
        <v>100</v>
      </c>
      <c r="D326" t="s">
        <v>50</v>
      </c>
      <c r="E326">
        <v>662543</v>
      </c>
      <c r="F326" t="s">
        <v>1831</v>
      </c>
      <c r="H326" t="s">
        <v>2518</v>
      </c>
      <c r="L326" s="1">
        <v>42741</v>
      </c>
    </row>
    <row r="327" spans="2:13" x14ac:dyDescent="0.25">
      <c r="B327" t="s">
        <v>2517</v>
      </c>
      <c r="C327" t="s">
        <v>139</v>
      </c>
      <c r="F327" t="s">
        <v>280</v>
      </c>
      <c r="H327" t="s">
        <v>2518</v>
      </c>
      <c r="L327" s="1">
        <v>42607</v>
      </c>
      <c r="M327" s="1">
        <v>42800</v>
      </c>
    </row>
    <row r="328" spans="2:13" x14ac:dyDescent="0.25">
      <c r="B328" t="s">
        <v>2515</v>
      </c>
      <c r="C328" t="s">
        <v>100</v>
      </c>
      <c r="D328" t="s">
        <v>50</v>
      </c>
      <c r="E328">
        <v>663166</v>
      </c>
      <c r="F328" t="s">
        <v>280</v>
      </c>
      <c r="H328" t="s">
        <v>2516</v>
      </c>
      <c r="L328" s="1">
        <v>42531</v>
      </c>
    </row>
    <row r="330" spans="2:13" x14ac:dyDescent="0.25">
      <c r="B330" t="s">
        <v>2513</v>
      </c>
      <c r="C330" t="s">
        <v>0</v>
      </c>
      <c r="D330" t="s">
        <v>1</v>
      </c>
      <c r="E330">
        <v>656565</v>
      </c>
      <c r="F330" t="s">
        <v>280</v>
      </c>
      <c r="H330" t="s">
        <v>2514</v>
      </c>
      <c r="L330" s="1">
        <v>42478</v>
      </c>
      <c r="M330" s="1">
        <v>42646</v>
      </c>
    </row>
    <row r="331" spans="2:13" x14ac:dyDescent="0.25">
      <c r="B331" t="s">
        <v>2511</v>
      </c>
      <c r="C331" t="s">
        <v>0</v>
      </c>
      <c r="D331" t="s">
        <v>1</v>
      </c>
      <c r="E331">
        <v>653717</v>
      </c>
      <c r="F331" t="s">
        <v>280</v>
      </c>
      <c r="H331" t="s">
        <v>2512</v>
      </c>
      <c r="L331" s="1">
        <v>42479</v>
      </c>
      <c r="M331" s="1">
        <v>42543</v>
      </c>
    </row>
    <row r="332" spans="2:13" x14ac:dyDescent="0.25">
      <c r="B332" t="s">
        <v>2509</v>
      </c>
      <c r="C332" t="s">
        <v>0</v>
      </c>
      <c r="D332" t="s">
        <v>1</v>
      </c>
      <c r="E332">
        <v>653980</v>
      </c>
      <c r="F332" t="s">
        <v>280</v>
      </c>
      <c r="H332" t="s">
        <v>2510</v>
      </c>
      <c r="L332" s="1">
        <v>42482</v>
      </c>
      <c r="M332" s="1">
        <v>42556</v>
      </c>
    </row>
    <row r="333" spans="2:13" x14ac:dyDescent="0.25">
      <c r="B333" t="s">
        <v>2507</v>
      </c>
      <c r="C333" t="s">
        <v>0</v>
      </c>
      <c r="D333" t="s">
        <v>1</v>
      </c>
      <c r="E333">
        <v>639284</v>
      </c>
      <c r="F333" t="s">
        <v>280</v>
      </c>
      <c r="H333" t="s">
        <v>2508</v>
      </c>
      <c r="L333" s="1">
        <v>42055</v>
      </c>
      <c r="M333" s="1">
        <v>42108</v>
      </c>
    </row>
    <row r="334" spans="2:13" x14ac:dyDescent="0.25">
      <c r="B334" t="s">
        <v>2505</v>
      </c>
      <c r="C334" t="s">
        <v>0</v>
      </c>
      <c r="D334" t="s">
        <v>1</v>
      </c>
      <c r="E334">
        <v>644748</v>
      </c>
      <c r="F334" t="s">
        <v>280</v>
      </c>
      <c r="H334" t="s">
        <v>2506</v>
      </c>
      <c r="L334" s="1">
        <v>42160</v>
      </c>
      <c r="M334" s="1">
        <v>42248</v>
      </c>
    </row>
    <row r="335" spans="2:13" x14ac:dyDescent="0.25">
      <c r="B335" t="s">
        <v>2503</v>
      </c>
      <c r="C335" t="s">
        <v>0</v>
      </c>
      <c r="D335" t="s">
        <v>1</v>
      </c>
      <c r="E335">
        <v>653440</v>
      </c>
      <c r="F335" t="s">
        <v>280</v>
      </c>
      <c r="H335" t="s">
        <v>2504</v>
      </c>
      <c r="L335" s="1">
        <v>42479</v>
      </c>
      <c r="M335" s="1">
        <v>42534</v>
      </c>
    </row>
    <row r="336" spans="2:13" x14ac:dyDescent="0.25">
      <c r="B336" t="s">
        <v>2501</v>
      </c>
      <c r="C336" t="s">
        <v>139</v>
      </c>
      <c r="F336" t="s">
        <v>280</v>
      </c>
      <c r="H336" t="s">
        <v>2502</v>
      </c>
      <c r="L336" s="1">
        <v>42590</v>
      </c>
      <c r="M336" s="1">
        <v>42891</v>
      </c>
    </row>
    <row r="337" spans="2:13" x14ac:dyDescent="0.25">
      <c r="B337" t="s">
        <v>2499</v>
      </c>
      <c r="C337" t="s">
        <v>0</v>
      </c>
      <c r="D337" t="s">
        <v>1</v>
      </c>
      <c r="E337">
        <v>661665</v>
      </c>
      <c r="F337" t="s">
        <v>280</v>
      </c>
      <c r="H337" t="s">
        <v>2500</v>
      </c>
      <c r="L337" s="1">
        <v>42531</v>
      </c>
      <c r="M337" s="1">
        <v>42801</v>
      </c>
    </row>
    <row r="338" spans="2:13" x14ac:dyDescent="0.25">
      <c r="B338" t="s">
        <v>2497</v>
      </c>
      <c r="C338" t="s">
        <v>0</v>
      </c>
      <c r="D338" t="s">
        <v>1</v>
      </c>
      <c r="E338">
        <v>642430</v>
      </c>
      <c r="F338" t="s">
        <v>280</v>
      </c>
      <c r="H338" t="s">
        <v>2498</v>
      </c>
      <c r="L338" s="1">
        <v>42079</v>
      </c>
      <c r="M338" s="1">
        <v>42180</v>
      </c>
    </row>
    <row r="339" spans="2:13" x14ac:dyDescent="0.25">
      <c r="B339" t="s">
        <v>2495</v>
      </c>
      <c r="C339" t="s">
        <v>0</v>
      </c>
      <c r="D339" t="s">
        <v>1</v>
      </c>
      <c r="E339">
        <v>645079</v>
      </c>
      <c r="F339" t="s">
        <v>280</v>
      </c>
      <c r="H339" t="s">
        <v>2496</v>
      </c>
      <c r="L339" s="1">
        <v>42160</v>
      </c>
      <c r="M339" s="1">
        <v>42261</v>
      </c>
    </row>
    <row r="340" spans="2:13" x14ac:dyDescent="0.25">
      <c r="B340" t="s">
        <v>2493</v>
      </c>
      <c r="C340" t="s">
        <v>0</v>
      </c>
      <c r="D340" t="s">
        <v>1</v>
      </c>
      <c r="E340">
        <v>639285</v>
      </c>
      <c r="F340" t="s">
        <v>280</v>
      </c>
      <c r="H340" t="s">
        <v>2494</v>
      </c>
      <c r="L340" s="1">
        <v>42055</v>
      </c>
      <c r="M340" s="1">
        <v>42108</v>
      </c>
    </row>
    <row r="341" spans="2:13" x14ac:dyDescent="0.25">
      <c r="B341" t="s">
        <v>2491</v>
      </c>
      <c r="C341" t="s">
        <v>0</v>
      </c>
      <c r="D341" t="s">
        <v>1</v>
      </c>
      <c r="E341">
        <v>654242</v>
      </c>
      <c r="F341" t="s">
        <v>280</v>
      </c>
      <c r="H341" t="s">
        <v>2492</v>
      </c>
      <c r="L341" s="1">
        <v>42482</v>
      </c>
      <c r="M341" s="1">
        <v>42564</v>
      </c>
    </row>
    <row r="342" spans="2:13" x14ac:dyDescent="0.25">
      <c r="B342" t="s">
        <v>2489</v>
      </c>
      <c r="C342" t="s">
        <v>0</v>
      </c>
      <c r="D342" t="s">
        <v>1</v>
      </c>
      <c r="E342">
        <v>662569</v>
      </c>
      <c r="F342" t="s">
        <v>280</v>
      </c>
      <c r="H342" t="s">
        <v>2490</v>
      </c>
      <c r="L342" s="1">
        <v>42531</v>
      </c>
      <c r="M342" s="1">
        <v>42831</v>
      </c>
    </row>
    <row r="343" spans="2:13" x14ac:dyDescent="0.25">
      <c r="B343" t="s">
        <v>2487</v>
      </c>
      <c r="C343" t="s">
        <v>139</v>
      </c>
      <c r="F343" t="s">
        <v>280</v>
      </c>
      <c r="H343" t="s">
        <v>2488</v>
      </c>
      <c r="L343" s="1">
        <v>42564</v>
      </c>
      <c r="M343" s="1">
        <v>42898</v>
      </c>
    </row>
    <row r="344" spans="2:13" x14ac:dyDescent="0.25">
      <c r="B344" t="s">
        <v>2485</v>
      </c>
      <c r="C344" t="s">
        <v>139</v>
      </c>
      <c r="F344" t="s">
        <v>280</v>
      </c>
      <c r="H344" t="s">
        <v>2486</v>
      </c>
      <c r="L344" s="1">
        <v>42564</v>
      </c>
      <c r="M344" s="1">
        <v>42891</v>
      </c>
    </row>
    <row r="345" spans="2:13" x14ac:dyDescent="0.25">
      <c r="B345" t="s">
        <v>2483</v>
      </c>
      <c r="C345" t="s">
        <v>139</v>
      </c>
      <c r="F345" t="s">
        <v>280</v>
      </c>
      <c r="H345" t="s">
        <v>2484</v>
      </c>
      <c r="L345" s="1">
        <v>42545</v>
      </c>
      <c r="M345" s="1">
        <v>42871</v>
      </c>
    </row>
    <row r="346" spans="2:13" x14ac:dyDescent="0.25">
      <c r="B346" t="s">
        <v>2481</v>
      </c>
      <c r="C346" t="s">
        <v>0</v>
      </c>
      <c r="D346" t="s">
        <v>1</v>
      </c>
      <c r="E346">
        <v>639830</v>
      </c>
      <c r="F346" t="s">
        <v>280</v>
      </c>
      <c r="H346" t="s">
        <v>2482</v>
      </c>
      <c r="L346" s="1">
        <v>42055</v>
      </c>
      <c r="M346" s="1">
        <v>42117</v>
      </c>
    </row>
    <row r="347" spans="2:13" x14ac:dyDescent="0.25">
      <c r="B347" t="s">
        <v>2479</v>
      </c>
      <c r="C347" t="s">
        <v>0</v>
      </c>
      <c r="D347" t="s">
        <v>1</v>
      </c>
      <c r="E347">
        <v>634805</v>
      </c>
      <c r="F347" t="s">
        <v>280</v>
      </c>
      <c r="H347" t="s">
        <v>2480</v>
      </c>
      <c r="L347" s="1">
        <v>41918</v>
      </c>
      <c r="M347" s="1">
        <v>42010</v>
      </c>
    </row>
    <row r="348" spans="2:13" x14ac:dyDescent="0.25">
      <c r="B348" t="s">
        <v>2477</v>
      </c>
      <c r="C348" t="s">
        <v>0</v>
      </c>
      <c r="D348" t="s">
        <v>1</v>
      </c>
      <c r="E348">
        <v>636903</v>
      </c>
      <c r="F348" t="s">
        <v>280</v>
      </c>
      <c r="H348" t="s">
        <v>2478</v>
      </c>
      <c r="L348" s="1">
        <v>41949</v>
      </c>
      <c r="M348" s="1">
        <v>42059</v>
      </c>
    </row>
    <row r="349" spans="2:13" x14ac:dyDescent="0.25">
      <c r="B349" t="s">
        <v>2475</v>
      </c>
      <c r="C349" t="s">
        <v>0</v>
      </c>
      <c r="D349" t="s">
        <v>1</v>
      </c>
      <c r="E349">
        <v>636902</v>
      </c>
      <c r="F349" t="s">
        <v>280</v>
      </c>
      <c r="H349" t="s">
        <v>2476</v>
      </c>
      <c r="L349" s="1">
        <v>41949</v>
      </c>
      <c r="M349" s="1">
        <v>42059</v>
      </c>
    </row>
    <row r="350" spans="2:13" x14ac:dyDescent="0.25">
      <c r="B350" t="s">
        <v>2473</v>
      </c>
      <c r="C350" t="s">
        <v>0</v>
      </c>
      <c r="D350" t="s">
        <v>1</v>
      </c>
      <c r="E350">
        <v>634804</v>
      </c>
      <c r="F350" t="s">
        <v>280</v>
      </c>
      <c r="H350" t="s">
        <v>2474</v>
      </c>
      <c r="L350" s="1">
        <v>41918</v>
      </c>
      <c r="M350" s="1">
        <v>42010</v>
      </c>
    </row>
    <row r="351" spans="2:13" x14ac:dyDescent="0.25">
      <c r="B351" t="s">
        <v>2471</v>
      </c>
      <c r="C351" t="s">
        <v>0</v>
      </c>
      <c r="D351" t="s">
        <v>1</v>
      </c>
      <c r="E351">
        <v>645434</v>
      </c>
      <c r="F351" t="s">
        <v>280</v>
      </c>
      <c r="H351" t="s">
        <v>2472</v>
      </c>
      <c r="L351" s="1">
        <v>42055</v>
      </c>
      <c r="M351" s="1">
        <v>42270</v>
      </c>
    </row>
    <row r="352" spans="2:13" x14ac:dyDescent="0.25">
      <c r="B352" t="s">
        <v>2469</v>
      </c>
      <c r="C352" t="s">
        <v>140</v>
      </c>
      <c r="F352" t="s">
        <v>280</v>
      </c>
      <c r="H352" t="s">
        <v>2470</v>
      </c>
      <c r="L352" s="1">
        <v>42534</v>
      </c>
      <c r="M352" s="1">
        <v>42905</v>
      </c>
    </row>
    <row r="353" spans="2:13" x14ac:dyDescent="0.25">
      <c r="B353" t="s">
        <v>2467</v>
      </c>
      <c r="C353" t="s">
        <v>139</v>
      </c>
      <c r="F353" t="s">
        <v>280</v>
      </c>
      <c r="H353" t="s">
        <v>2468</v>
      </c>
      <c r="L353" s="1">
        <v>42544</v>
      </c>
      <c r="M353" s="1">
        <v>42829</v>
      </c>
    </row>
    <row r="354" spans="2:13" x14ac:dyDescent="0.25">
      <c r="B354" t="s">
        <v>2465</v>
      </c>
      <c r="C354" t="s">
        <v>139</v>
      </c>
      <c r="F354" t="s">
        <v>280</v>
      </c>
      <c r="H354" t="s">
        <v>2466</v>
      </c>
      <c r="L354" s="1">
        <v>42543</v>
      </c>
      <c r="M354" s="1">
        <v>42898</v>
      </c>
    </row>
    <row r="356" spans="2:13" x14ac:dyDescent="0.25">
      <c r="B356" t="s">
        <v>2463</v>
      </c>
      <c r="C356" t="s">
        <v>0</v>
      </c>
      <c r="D356" t="s">
        <v>1</v>
      </c>
      <c r="E356">
        <v>645439</v>
      </c>
      <c r="F356" t="s">
        <v>397</v>
      </c>
      <c r="H356" t="s">
        <v>2464</v>
      </c>
      <c r="L356" s="1">
        <v>42200</v>
      </c>
      <c r="M356" s="1">
        <v>42270</v>
      </c>
    </row>
    <row r="357" spans="2:13" x14ac:dyDescent="0.25">
      <c r="B357" t="s">
        <v>2461</v>
      </c>
      <c r="C357" t="s">
        <v>0</v>
      </c>
      <c r="F357" t="s">
        <v>397</v>
      </c>
      <c r="H357" t="s">
        <v>2462</v>
      </c>
      <c r="L357" s="1">
        <v>42101</v>
      </c>
      <c r="M357" s="1">
        <v>42128</v>
      </c>
    </row>
    <row r="358" spans="2:13" x14ac:dyDescent="0.25">
      <c r="B358" t="s">
        <v>2459</v>
      </c>
      <c r="C358" t="s">
        <v>76</v>
      </c>
      <c r="F358" t="s">
        <v>136</v>
      </c>
      <c r="H358" t="s">
        <v>2460</v>
      </c>
      <c r="L358" s="1">
        <v>42787</v>
      </c>
    </row>
    <row r="359" spans="2:13" x14ac:dyDescent="0.25">
      <c r="B359" t="s">
        <v>2457</v>
      </c>
      <c r="C359" t="s">
        <v>100</v>
      </c>
      <c r="D359" t="s">
        <v>50</v>
      </c>
      <c r="E359">
        <v>642656</v>
      </c>
      <c r="F359" t="s">
        <v>332</v>
      </c>
      <c r="H359" t="s">
        <v>2458</v>
      </c>
      <c r="L359" s="1">
        <v>42152</v>
      </c>
    </row>
    <row r="360" spans="2:13" x14ac:dyDescent="0.25">
      <c r="B360" t="s">
        <v>2455</v>
      </c>
      <c r="C360" t="s">
        <v>0</v>
      </c>
      <c r="D360" t="s">
        <v>1</v>
      </c>
      <c r="E360">
        <v>647251</v>
      </c>
      <c r="F360" t="s">
        <v>397</v>
      </c>
      <c r="H360" t="s">
        <v>2456</v>
      </c>
      <c r="L360" s="1">
        <v>42200</v>
      </c>
      <c r="M360" s="1">
        <v>42338</v>
      </c>
    </row>
    <row r="361" spans="2:13" x14ac:dyDescent="0.25">
      <c r="B361" t="s">
        <v>2453</v>
      </c>
      <c r="C361" t="s">
        <v>0</v>
      </c>
      <c r="D361" t="s">
        <v>1</v>
      </c>
      <c r="E361">
        <v>603813</v>
      </c>
      <c r="F361" t="s">
        <v>136</v>
      </c>
      <c r="H361" t="s">
        <v>2454</v>
      </c>
      <c r="L361" s="1">
        <v>41114</v>
      </c>
      <c r="M361" s="1">
        <v>41218</v>
      </c>
    </row>
    <row r="362" spans="2:13" x14ac:dyDescent="0.25">
      <c r="B362" t="s">
        <v>2452</v>
      </c>
      <c r="C362" t="s">
        <v>0</v>
      </c>
      <c r="D362" t="s">
        <v>1</v>
      </c>
      <c r="E362">
        <v>645862</v>
      </c>
      <c r="F362" t="s">
        <v>397</v>
      </c>
      <c r="H362" t="s">
        <v>2451</v>
      </c>
      <c r="L362" s="1">
        <v>42257</v>
      </c>
      <c r="M362" s="1">
        <v>42284</v>
      </c>
    </row>
    <row r="363" spans="2:13" x14ac:dyDescent="0.25">
      <c r="B363" t="s">
        <v>2450</v>
      </c>
      <c r="C363" t="s">
        <v>100</v>
      </c>
      <c r="D363" t="s">
        <v>50</v>
      </c>
      <c r="E363">
        <v>642399</v>
      </c>
      <c r="F363" t="s">
        <v>332</v>
      </c>
      <c r="H363" t="s">
        <v>2451</v>
      </c>
      <c r="L363" s="1">
        <v>42157</v>
      </c>
    </row>
    <row r="364" spans="2:13" x14ac:dyDescent="0.25">
      <c r="B364" t="s">
        <v>2448</v>
      </c>
      <c r="C364" t="s">
        <v>0</v>
      </c>
      <c r="D364" t="s">
        <v>1</v>
      </c>
      <c r="E364">
        <v>647325</v>
      </c>
      <c r="F364" t="s">
        <v>397</v>
      </c>
      <c r="H364" t="s">
        <v>2449</v>
      </c>
      <c r="L364" s="1">
        <v>42269</v>
      </c>
      <c r="M364" s="1">
        <v>42339</v>
      </c>
    </row>
    <row r="365" spans="2:13" x14ac:dyDescent="0.25">
      <c r="B365" t="s">
        <v>2447</v>
      </c>
      <c r="C365" t="s">
        <v>139</v>
      </c>
      <c r="F365" t="s">
        <v>397</v>
      </c>
      <c r="H365" t="s">
        <v>2446</v>
      </c>
      <c r="L365" s="1">
        <v>42552</v>
      </c>
      <c r="M365" s="1">
        <v>42744</v>
      </c>
    </row>
    <row r="366" spans="2:13" x14ac:dyDescent="0.25">
      <c r="B366" t="s">
        <v>2445</v>
      </c>
      <c r="C366" t="s">
        <v>139</v>
      </c>
      <c r="F366" t="s">
        <v>280</v>
      </c>
      <c r="H366" t="s">
        <v>2446</v>
      </c>
      <c r="L366" s="1">
        <v>42531</v>
      </c>
      <c r="M366" s="1">
        <v>42716</v>
      </c>
    </row>
    <row r="367" spans="2:13" x14ac:dyDescent="0.25">
      <c r="B367" t="s">
        <v>2444</v>
      </c>
      <c r="C367" t="s">
        <v>0</v>
      </c>
      <c r="D367" t="s">
        <v>1</v>
      </c>
      <c r="E367">
        <v>658617</v>
      </c>
      <c r="F367" t="s">
        <v>136</v>
      </c>
      <c r="H367" t="s">
        <v>2443</v>
      </c>
      <c r="L367" s="1">
        <v>42657</v>
      </c>
      <c r="M367" s="1">
        <v>42710</v>
      </c>
    </row>
    <row r="368" spans="2:13" x14ac:dyDescent="0.25">
      <c r="B368" t="s">
        <v>2442</v>
      </c>
      <c r="C368" t="s">
        <v>100</v>
      </c>
      <c r="D368" t="s">
        <v>50</v>
      </c>
      <c r="E368">
        <v>648848</v>
      </c>
      <c r="F368" t="s">
        <v>332</v>
      </c>
      <c r="H368" t="s">
        <v>2443</v>
      </c>
      <c r="L368" s="1">
        <v>42234</v>
      </c>
    </row>
    <row r="369" spans="2:13" x14ac:dyDescent="0.25">
      <c r="B369" t="s">
        <v>2441</v>
      </c>
      <c r="C369" t="s">
        <v>0</v>
      </c>
      <c r="D369" t="s">
        <v>1</v>
      </c>
      <c r="E369">
        <v>644031</v>
      </c>
      <c r="F369" t="s">
        <v>332</v>
      </c>
      <c r="H369" t="s">
        <v>2440</v>
      </c>
      <c r="L369" s="1">
        <v>42152</v>
      </c>
      <c r="M369" s="1">
        <v>42226</v>
      </c>
    </row>
    <row r="370" spans="2:13" x14ac:dyDescent="0.25">
      <c r="B370" t="s">
        <v>2439</v>
      </c>
      <c r="C370" t="s">
        <v>0</v>
      </c>
      <c r="D370" t="s">
        <v>1</v>
      </c>
      <c r="E370">
        <v>640852</v>
      </c>
      <c r="F370" t="s">
        <v>332</v>
      </c>
      <c r="H370" t="s">
        <v>2440</v>
      </c>
      <c r="L370" s="1">
        <v>42108</v>
      </c>
      <c r="M370" s="1">
        <v>42143</v>
      </c>
    </row>
    <row r="371" spans="2:13" x14ac:dyDescent="0.25">
      <c r="B371" t="s">
        <v>2438</v>
      </c>
      <c r="C371" t="s">
        <v>76</v>
      </c>
      <c r="F371" t="s">
        <v>136</v>
      </c>
      <c r="H371" t="s">
        <v>2436</v>
      </c>
      <c r="L371" s="1">
        <v>42745</v>
      </c>
      <c r="M371" s="1">
        <v>42772</v>
      </c>
    </row>
    <row r="372" spans="2:13" x14ac:dyDescent="0.25">
      <c r="B372" t="s">
        <v>2437</v>
      </c>
      <c r="C372" t="s">
        <v>0</v>
      </c>
      <c r="D372" t="s">
        <v>1</v>
      </c>
      <c r="E372">
        <v>660725</v>
      </c>
      <c r="F372" t="s">
        <v>136</v>
      </c>
      <c r="H372" t="s">
        <v>2436</v>
      </c>
      <c r="L372" s="1">
        <v>42705</v>
      </c>
      <c r="M372" s="1">
        <v>42772</v>
      </c>
    </row>
    <row r="373" spans="2:13" x14ac:dyDescent="0.25">
      <c r="B373" t="s">
        <v>2435</v>
      </c>
      <c r="C373" t="s">
        <v>100</v>
      </c>
      <c r="D373" t="s">
        <v>50</v>
      </c>
      <c r="E373">
        <v>648804</v>
      </c>
      <c r="F373" t="s">
        <v>332</v>
      </c>
      <c r="H373" t="s">
        <v>2436</v>
      </c>
      <c r="L373" s="1">
        <v>42278</v>
      </c>
    </row>
    <row r="374" spans="2:13" x14ac:dyDescent="0.25">
      <c r="B374" t="s">
        <v>2433</v>
      </c>
      <c r="C374" t="s">
        <v>0</v>
      </c>
      <c r="D374" t="s">
        <v>1</v>
      </c>
      <c r="E374">
        <v>641768</v>
      </c>
      <c r="F374" t="s">
        <v>332</v>
      </c>
      <c r="H374" t="s">
        <v>2434</v>
      </c>
      <c r="L374" s="1">
        <v>42024</v>
      </c>
      <c r="M374" s="1">
        <v>42165</v>
      </c>
    </row>
    <row r="375" spans="2:13" x14ac:dyDescent="0.25">
      <c r="B375" t="s">
        <v>2431</v>
      </c>
      <c r="C375" t="s">
        <v>0</v>
      </c>
      <c r="D375" t="s">
        <v>1</v>
      </c>
      <c r="E375">
        <v>641931</v>
      </c>
      <c r="F375" t="s">
        <v>332</v>
      </c>
      <c r="H375" t="s">
        <v>2432</v>
      </c>
      <c r="L375" s="1">
        <v>41883</v>
      </c>
      <c r="M375" s="1">
        <v>42170</v>
      </c>
    </row>
    <row r="376" spans="2:13" x14ac:dyDescent="0.25">
      <c r="B376" t="s">
        <v>2430</v>
      </c>
      <c r="C376" t="s">
        <v>0</v>
      </c>
      <c r="D376" t="s">
        <v>1</v>
      </c>
      <c r="E376">
        <v>658956</v>
      </c>
      <c r="F376" t="s">
        <v>136</v>
      </c>
      <c r="H376" t="s">
        <v>2429</v>
      </c>
      <c r="L376" s="1">
        <v>42639</v>
      </c>
      <c r="M376" s="1">
        <v>42719</v>
      </c>
    </row>
    <row r="377" spans="2:13" x14ac:dyDescent="0.25">
      <c r="B377" t="s">
        <v>2428</v>
      </c>
      <c r="C377" t="s">
        <v>100</v>
      </c>
      <c r="D377" t="s">
        <v>50</v>
      </c>
      <c r="E377">
        <v>648849</v>
      </c>
      <c r="F377" t="s">
        <v>332</v>
      </c>
      <c r="H377" t="s">
        <v>2429</v>
      </c>
      <c r="L377" s="1">
        <v>42234</v>
      </c>
    </row>
    <row r="378" spans="2:13" x14ac:dyDescent="0.25">
      <c r="B378" t="s">
        <v>2427</v>
      </c>
      <c r="C378" t="s">
        <v>0</v>
      </c>
      <c r="D378" t="s">
        <v>1</v>
      </c>
      <c r="E378">
        <v>659513</v>
      </c>
      <c r="F378" t="s">
        <v>136</v>
      </c>
      <c r="H378" t="s">
        <v>2426</v>
      </c>
      <c r="L378" s="1">
        <v>42653</v>
      </c>
      <c r="M378" s="1">
        <v>42738</v>
      </c>
    </row>
    <row r="379" spans="2:13" x14ac:dyDescent="0.25">
      <c r="B379" t="s">
        <v>2425</v>
      </c>
      <c r="C379" t="s">
        <v>0</v>
      </c>
      <c r="D379" t="s">
        <v>1</v>
      </c>
      <c r="E379">
        <v>644348</v>
      </c>
      <c r="F379" t="s">
        <v>332</v>
      </c>
      <c r="H379" t="s">
        <v>2426</v>
      </c>
      <c r="L379" s="1">
        <v>42200</v>
      </c>
      <c r="M379" s="1">
        <v>42236</v>
      </c>
    </row>
    <row r="380" spans="2:13" x14ac:dyDescent="0.25">
      <c r="B380" t="s">
        <v>2424</v>
      </c>
      <c r="C380" t="s">
        <v>139</v>
      </c>
      <c r="F380" t="s">
        <v>280</v>
      </c>
      <c r="H380" t="s">
        <v>2423</v>
      </c>
      <c r="L380" s="1">
        <v>42692</v>
      </c>
      <c r="M380" s="1">
        <v>42863</v>
      </c>
    </row>
    <row r="381" spans="2:13" x14ac:dyDescent="0.25">
      <c r="B381" t="s">
        <v>2422</v>
      </c>
      <c r="C381" t="s">
        <v>139</v>
      </c>
      <c r="F381" t="s">
        <v>397</v>
      </c>
      <c r="H381" t="s">
        <v>2423</v>
      </c>
      <c r="L381" s="1">
        <v>42552</v>
      </c>
      <c r="M381" s="1">
        <v>42828</v>
      </c>
    </row>
    <row r="382" spans="2:13" x14ac:dyDescent="0.25">
      <c r="B382" t="s">
        <v>2420</v>
      </c>
      <c r="C382" t="s">
        <v>0</v>
      </c>
      <c r="D382" t="s">
        <v>1</v>
      </c>
      <c r="E382">
        <v>661568</v>
      </c>
      <c r="F382" t="s">
        <v>136</v>
      </c>
      <c r="H382" t="s">
        <v>2421</v>
      </c>
      <c r="L382" s="1">
        <v>42671</v>
      </c>
      <c r="M382" s="1">
        <v>42796</v>
      </c>
    </row>
    <row r="383" spans="2:13" x14ac:dyDescent="0.25">
      <c r="B383" t="s">
        <v>2418</v>
      </c>
      <c r="C383" t="s">
        <v>0</v>
      </c>
      <c r="D383" t="s">
        <v>1</v>
      </c>
      <c r="E383">
        <v>658957</v>
      </c>
      <c r="F383" t="s">
        <v>136</v>
      </c>
      <c r="H383" t="s">
        <v>2419</v>
      </c>
      <c r="L383" s="1">
        <v>42639</v>
      </c>
      <c r="M383" s="1">
        <v>42719</v>
      </c>
    </row>
    <row r="384" spans="2:13" x14ac:dyDescent="0.25">
      <c r="B384" t="s">
        <v>2416</v>
      </c>
      <c r="C384" t="s">
        <v>0</v>
      </c>
      <c r="D384" t="s">
        <v>1</v>
      </c>
      <c r="E384">
        <v>641961</v>
      </c>
      <c r="F384" t="s">
        <v>163</v>
      </c>
      <c r="H384" t="s">
        <v>2417</v>
      </c>
      <c r="L384" s="1">
        <v>42122</v>
      </c>
      <c r="M384" s="1">
        <v>42170</v>
      </c>
    </row>
    <row r="385" spans="2:13" x14ac:dyDescent="0.25">
      <c r="L385" s="1"/>
      <c r="M385" s="1"/>
    </row>
    <row r="386" spans="2:13" x14ac:dyDescent="0.25">
      <c r="B386" t="s">
        <v>2414</v>
      </c>
      <c r="C386" t="s">
        <v>0</v>
      </c>
      <c r="D386" t="s">
        <v>1</v>
      </c>
      <c r="E386">
        <v>606379</v>
      </c>
      <c r="F386" t="s">
        <v>136</v>
      </c>
      <c r="H386" t="s">
        <v>2415</v>
      </c>
      <c r="L386" s="1">
        <v>41232</v>
      </c>
      <c r="M386" s="1">
        <v>41283</v>
      </c>
    </row>
    <row r="387" spans="2:13" x14ac:dyDescent="0.25">
      <c r="B387" t="s">
        <v>2413</v>
      </c>
      <c r="C387" t="s">
        <v>139</v>
      </c>
      <c r="F387" t="s">
        <v>395</v>
      </c>
      <c r="H387" t="s">
        <v>2412</v>
      </c>
      <c r="L387" s="1">
        <v>42809</v>
      </c>
      <c r="M387" s="1">
        <v>42891</v>
      </c>
    </row>
    <row r="388" spans="2:13" x14ac:dyDescent="0.25">
      <c r="B388" t="s">
        <v>2411</v>
      </c>
      <c r="C388" t="s">
        <v>0</v>
      </c>
      <c r="D388" t="s">
        <v>1</v>
      </c>
      <c r="E388">
        <v>658931</v>
      </c>
      <c r="F388" t="s">
        <v>395</v>
      </c>
      <c r="H388" t="s">
        <v>2412</v>
      </c>
      <c r="L388" s="1">
        <v>42681</v>
      </c>
      <c r="M388" s="1">
        <v>42718</v>
      </c>
    </row>
    <row r="389" spans="2:13" x14ac:dyDescent="0.25">
      <c r="B389" t="s">
        <v>2410</v>
      </c>
      <c r="C389" t="s">
        <v>76</v>
      </c>
      <c r="F389" t="s">
        <v>1831</v>
      </c>
      <c r="H389" t="s">
        <v>2409</v>
      </c>
      <c r="L389" s="1">
        <v>42768</v>
      </c>
      <c r="M389" s="1">
        <v>42835</v>
      </c>
    </row>
    <row r="390" spans="2:13" x14ac:dyDescent="0.25">
      <c r="B390" t="s">
        <v>2408</v>
      </c>
      <c r="C390" t="s">
        <v>139</v>
      </c>
      <c r="F390" t="s">
        <v>163</v>
      </c>
      <c r="H390" t="s">
        <v>2409</v>
      </c>
      <c r="L390" s="1">
        <v>42740</v>
      </c>
      <c r="M390" s="1">
        <v>42837</v>
      </c>
    </row>
    <row r="391" spans="2:13" x14ac:dyDescent="0.25">
      <c r="B391" t="s">
        <v>2406</v>
      </c>
      <c r="C391" t="s">
        <v>139</v>
      </c>
      <c r="F391" t="s">
        <v>280</v>
      </c>
      <c r="H391" t="s">
        <v>2407</v>
      </c>
      <c r="L391" s="1">
        <v>42569</v>
      </c>
      <c r="M391" s="1">
        <v>42891</v>
      </c>
    </row>
    <row r="392" spans="2:13" x14ac:dyDescent="0.25">
      <c r="B392" t="s">
        <v>2404</v>
      </c>
      <c r="C392" t="s">
        <v>0</v>
      </c>
      <c r="D392" t="s">
        <v>1</v>
      </c>
      <c r="E392">
        <v>659019</v>
      </c>
      <c r="F392" t="s">
        <v>163</v>
      </c>
      <c r="H392" t="s">
        <v>2405</v>
      </c>
      <c r="L392" s="1">
        <v>42528</v>
      </c>
      <c r="M392" s="1">
        <v>42723</v>
      </c>
    </row>
    <row r="393" spans="2:13" x14ac:dyDescent="0.25">
      <c r="B393" t="s">
        <v>2403</v>
      </c>
      <c r="C393" t="s">
        <v>139</v>
      </c>
      <c r="F393" t="s">
        <v>163</v>
      </c>
      <c r="H393" t="s">
        <v>2401</v>
      </c>
      <c r="L393" s="1">
        <v>42528</v>
      </c>
      <c r="M393" s="1">
        <v>42620</v>
      </c>
    </row>
    <row r="394" spans="2:13" x14ac:dyDescent="0.25">
      <c r="B394" t="s">
        <v>2402</v>
      </c>
      <c r="C394" t="s">
        <v>139</v>
      </c>
      <c r="F394" t="s">
        <v>163</v>
      </c>
      <c r="H394" t="s">
        <v>2401</v>
      </c>
      <c r="L394" s="1">
        <v>42528</v>
      </c>
      <c r="M394" s="1">
        <v>42620</v>
      </c>
    </row>
    <row r="395" spans="2:13" x14ac:dyDescent="0.25">
      <c r="B395" t="s">
        <v>2400</v>
      </c>
      <c r="C395" t="s">
        <v>139</v>
      </c>
      <c r="F395" t="s">
        <v>280</v>
      </c>
      <c r="H395" t="s">
        <v>2401</v>
      </c>
      <c r="L395" s="1">
        <v>42429</v>
      </c>
      <c r="M395" s="1">
        <v>42898</v>
      </c>
    </row>
    <row r="396" spans="2:13" x14ac:dyDescent="0.25">
      <c r="B396" t="s">
        <v>2398</v>
      </c>
      <c r="C396" t="s">
        <v>0</v>
      </c>
      <c r="D396" t="s">
        <v>1</v>
      </c>
      <c r="E396">
        <v>656578</v>
      </c>
      <c r="F396" t="s">
        <v>163</v>
      </c>
      <c r="H396" t="s">
        <v>2399</v>
      </c>
      <c r="L396" s="1">
        <v>42564</v>
      </c>
      <c r="M396" s="1">
        <v>42646</v>
      </c>
    </row>
    <row r="397" spans="2:13" x14ac:dyDescent="0.25">
      <c r="B397" t="s">
        <v>2396</v>
      </c>
      <c r="C397" t="s">
        <v>0</v>
      </c>
      <c r="D397" t="s">
        <v>1</v>
      </c>
      <c r="E397">
        <v>653110</v>
      </c>
      <c r="F397" t="s">
        <v>163</v>
      </c>
      <c r="H397" t="s">
        <v>2397</v>
      </c>
      <c r="L397" s="1">
        <v>42353</v>
      </c>
      <c r="M397" s="1">
        <v>42522</v>
      </c>
    </row>
    <row r="398" spans="2:13" x14ac:dyDescent="0.25">
      <c r="B398" t="s">
        <v>2394</v>
      </c>
      <c r="C398" t="s">
        <v>0</v>
      </c>
      <c r="D398" t="s">
        <v>1</v>
      </c>
      <c r="E398">
        <v>657571</v>
      </c>
      <c r="F398" t="s">
        <v>136</v>
      </c>
      <c r="H398" t="s">
        <v>2395</v>
      </c>
      <c r="L398" s="1">
        <v>42587</v>
      </c>
      <c r="M398" s="1">
        <v>42677</v>
      </c>
    </row>
    <row r="399" spans="2:13" x14ac:dyDescent="0.25">
      <c r="B399" t="s">
        <v>2393</v>
      </c>
      <c r="C399" t="s">
        <v>0</v>
      </c>
      <c r="D399" t="s">
        <v>1</v>
      </c>
      <c r="E399">
        <v>656809</v>
      </c>
      <c r="F399" t="s">
        <v>136</v>
      </c>
      <c r="H399" t="s">
        <v>2392</v>
      </c>
      <c r="L399" s="1">
        <v>42587</v>
      </c>
      <c r="M399" s="1">
        <v>42654</v>
      </c>
    </row>
    <row r="400" spans="2:13" x14ac:dyDescent="0.25">
      <c r="B400" t="s">
        <v>2391</v>
      </c>
      <c r="C400" t="s">
        <v>100</v>
      </c>
      <c r="D400" t="s">
        <v>50</v>
      </c>
      <c r="E400">
        <v>654713</v>
      </c>
      <c r="F400" t="s">
        <v>136</v>
      </c>
      <c r="H400" t="s">
        <v>2392</v>
      </c>
      <c r="L400" s="1">
        <v>42426</v>
      </c>
    </row>
    <row r="401" spans="2:13" x14ac:dyDescent="0.25">
      <c r="B401" t="s">
        <v>2390</v>
      </c>
      <c r="C401" t="s">
        <v>0</v>
      </c>
      <c r="D401" t="s">
        <v>1</v>
      </c>
      <c r="E401">
        <v>653265</v>
      </c>
      <c r="F401" t="s">
        <v>163</v>
      </c>
      <c r="H401" t="s">
        <v>2389</v>
      </c>
      <c r="L401" s="1">
        <v>42353</v>
      </c>
      <c r="M401" s="1">
        <v>42527</v>
      </c>
    </row>
    <row r="402" spans="2:13" x14ac:dyDescent="0.25">
      <c r="B402" t="s">
        <v>2388</v>
      </c>
      <c r="C402" t="s">
        <v>100</v>
      </c>
      <c r="D402" t="s">
        <v>50</v>
      </c>
      <c r="E402">
        <v>652530</v>
      </c>
      <c r="F402" t="s">
        <v>397</v>
      </c>
      <c r="H402" t="s">
        <v>2389</v>
      </c>
      <c r="L402" s="1">
        <v>42353</v>
      </c>
    </row>
    <row r="403" spans="2:13" x14ac:dyDescent="0.25">
      <c r="B403" t="s">
        <v>2386</v>
      </c>
      <c r="C403" t="s">
        <v>0</v>
      </c>
      <c r="D403" t="s">
        <v>1</v>
      </c>
      <c r="E403">
        <v>663422</v>
      </c>
      <c r="F403" t="s">
        <v>136</v>
      </c>
      <c r="H403" t="s">
        <v>2387</v>
      </c>
      <c r="L403" s="1">
        <v>42719</v>
      </c>
      <c r="M403" s="1">
        <v>42859</v>
      </c>
    </row>
    <row r="404" spans="2:13" x14ac:dyDescent="0.25">
      <c r="B404" t="s">
        <v>2384</v>
      </c>
      <c r="C404" t="s">
        <v>0</v>
      </c>
      <c r="D404" t="s">
        <v>1</v>
      </c>
      <c r="E404">
        <v>658971</v>
      </c>
      <c r="F404" t="s">
        <v>397</v>
      </c>
      <c r="H404" t="s">
        <v>2385</v>
      </c>
      <c r="L404" s="1">
        <v>42690</v>
      </c>
      <c r="M404" s="1">
        <v>42719</v>
      </c>
    </row>
    <row r="405" spans="2:13" x14ac:dyDescent="0.25">
      <c r="B405" t="s">
        <v>2382</v>
      </c>
      <c r="C405" t="s">
        <v>0</v>
      </c>
      <c r="D405" t="s">
        <v>1</v>
      </c>
      <c r="E405">
        <v>651988</v>
      </c>
      <c r="F405" t="s">
        <v>397</v>
      </c>
      <c r="H405" t="s">
        <v>2383</v>
      </c>
      <c r="L405" s="1">
        <v>42396</v>
      </c>
      <c r="M405" s="1">
        <v>42481</v>
      </c>
    </row>
    <row r="406" spans="2:13" x14ac:dyDescent="0.25">
      <c r="B406" t="s">
        <v>2380</v>
      </c>
      <c r="C406" t="s">
        <v>0</v>
      </c>
      <c r="D406" t="s">
        <v>1</v>
      </c>
      <c r="E406">
        <v>651987</v>
      </c>
      <c r="F406" t="s">
        <v>397</v>
      </c>
      <c r="H406" t="s">
        <v>2381</v>
      </c>
      <c r="L406" s="1">
        <v>42396</v>
      </c>
      <c r="M406" s="1">
        <v>42481</v>
      </c>
    </row>
    <row r="407" spans="2:13" x14ac:dyDescent="0.25">
      <c r="B407" t="s">
        <v>2378</v>
      </c>
      <c r="C407" t="s">
        <v>0</v>
      </c>
      <c r="D407" t="s">
        <v>1</v>
      </c>
      <c r="E407">
        <v>658697</v>
      </c>
      <c r="F407" t="s">
        <v>136</v>
      </c>
      <c r="H407" t="s">
        <v>2379</v>
      </c>
      <c r="L407" s="1">
        <v>42643</v>
      </c>
      <c r="M407" s="1">
        <v>42712</v>
      </c>
    </row>
    <row r="408" spans="2:13" x14ac:dyDescent="0.25">
      <c r="B408" t="s">
        <v>2376</v>
      </c>
      <c r="C408" t="s">
        <v>0</v>
      </c>
      <c r="D408" t="s">
        <v>1</v>
      </c>
      <c r="E408">
        <v>660872</v>
      </c>
      <c r="F408" t="s">
        <v>136</v>
      </c>
      <c r="H408" t="s">
        <v>2377</v>
      </c>
      <c r="L408" s="1">
        <v>42656</v>
      </c>
      <c r="M408" s="1">
        <v>42775</v>
      </c>
    </row>
    <row r="409" spans="2:13" x14ac:dyDescent="0.25">
      <c r="B409" t="s">
        <v>2374</v>
      </c>
      <c r="C409" t="s">
        <v>0</v>
      </c>
      <c r="D409" t="s">
        <v>1</v>
      </c>
      <c r="E409">
        <v>664187</v>
      </c>
      <c r="F409" t="s">
        <v>163</v>
      </c>
      <c r="H409" t="s">
        <v>2375</v>
      </c>
      <c r="L409" s="1">
        <v>42780</v>
      </c>
      <c r="M409" s="1">
        <v>42886</v>
      </c>
    </row>
    <row r="410" spans="2:13" x14ac:dyDescent="0.25">
      <c r="B410" t="s">
        <v>2373</v>
      </c>
      <c r="C410" t="s">
        <v>0</v>
      </c>
      <c r="D410" t="s">
        <v>1</v>
      </c>
      <c r="E410">
        <v>642391</v>
      </c>
      <c r="F410" t="s">
        <v>332</v>
      </c>
      <c r="H410" t="s">
        <v>2372</v>
      </c>
      <c r="L410" s="1">
        <v>42125</v>
      </c>
      <c r="M410" s="1">
        <v>42179</v>
      </c>
    </row>
    <row r="411" spans="2:13" x14ac:dyDescent="0.25">
      <c r="B411" t="s">
        <v>2371</v>
      </c>
      <c r="C411" t="s">
        <v>0</v>
      </c>
      <c r="D411" t="s">
        <v>1</v>
      </c>
      <c r="E411">
        <v>638306</v>
      </c>
      <c r="F411" t="s">
        <v>332</v>
      </c>
      <c r="H411" t="s">
        <v>2372</v>
      </c>
      <c r="L411" s="1">
        <v>42042</v>
      </c>
      <c r="M411" s="1">
        <v>42089</v>
      </c>
    </row>
    <row r="412" spans="2:13" x14ac:dyDescent="0.25">
      <c r="B412" t="s">
        <v>2369</v>
      </c>
      <c r="C412" t="s">
        <v>0</v>
      </c>
      <c r="D412" t="s">
        <v>1</v>
      </c>
      <c r="E412">
        <v>652995</v>
      </c>
      <c r="F412" t="s">
        <v>397</v>
      </c>
      <c r="H412" t="s">
        <v>2370</v>
      </c>
      <c r="L412" s="1">
        <v>42479</v>
      </c>
      <c r="M412" s="1">
        <v>42515</v>
      </c>
    </row>
    <row r="413" spans="2:13" x14ac:dyDescent="0.25">
      <c r="B413" t="s">
        <v>2367</v>
      </c>
      <c r="C413" t="s">
        <v>0</v>
      </c>
      <c r="D413" t="s">
        <v>1</v>
      </c>
      <c r="E413">
        <v>661266</v>
      </c>
      <c r="F413" t="s">
        <v>136</v>
      </c>
      <c r="H413" t="s">
        <v>2368</v>
      </c>
      <c r="L413" s="1">
        <v>42656</v>
      </c>
      <c r="M413" s="1">
        <v>42788</v>
      </c>
    </row>
    <row r="414" spans="2:13" x14ac:dyDescent="0.25">
      <c r="B414" t="s">
        <v>2365</v>
      </c>
      <c r="C414" t="s">
        <v>0</v>
      </c>
      <c r="D414" t="s">
        <v>1</v>
      </c>
      <c r="E414">
        <v>658696</v>
      </c>
      <c r="F414" t="s">
        <v>136</v>
      </c>
      <c r="H414" t="s">
        <v>2366</v>
      </c>
      <c r="L414" s="1">
        <v>42643</v>
      </c>
      <c r="M414" s="1">
        <v>42712</v>
      </c>
    </row>
    <row r="415" spans="2:13" x14ac:dyDescent="0.25">
      <c r="B415" t="s">
        <v>2363</v>
      </c>
      <c r="C415" t="s">
        <v>139</v>
      </c>
      <c r="F415" t="s">
        <v>280</v>
      </c>
      <c r="H415" t="s">
        <v>2364</v>
      </c>
      <c r="L415" s="1">
        <v>42746</v>
      </c>
      <c r="M415" s="1">
        <v>42898</v>
      </c>
    </row>
    <row r="416" spans="2:13" x14ac:dyDescent="0.25">
      <c r="B416" t="s">
        <v>2361</v>
      </c>
      <c r="C416" t="s">
        <v>139</v>
      </c>
      <c r="F416" t="s">
        <v>136</v>
      </c>
      <c r="H416" t="s">
        <v>2362</v>
      </c>
      <c r="L416" s="1">
        <v>42821</v>
      </c>
      <c r="M416" s="1">
        <v>42844</v>
      </c>
    </row>
    <row r="417" spans="2:13" x14ac:dyDescent="0.25">
      <c r="B417" t="s">
        <v>2359</v>
      </c>
      <c r="C417" t="s">
        <v>139</v>
      </c>
      <c r="F417" t="s">
        <v>136</v>
      </c>
      <c r="H417" t="s">
        <v>2360</v>
      </c>
      <c r="L417" s="1">
        <v>42821</v>
      </c>
      <c r="M417" s="1">
        <v>42844</v>
      </c>
    </row>
    <row r="418" spans="2:13" x14ac:dyDescent="0.25">
      <c r="B418" t="s">
        <v>2357</v>
      </c>
      <c r="C418" t="s">
        <v>0</v>
      </c>
      <c r="D418" t="s">
        <v>1</v>
      </c>
      <c r="E418">
        <v>653974</v>
      </c>
      <c r="F418" t="s">
        <v>280</v>
      </c>
      <c r="H418" t="s">
        <v>2358</v>
      </c>
      <c r="L418" s="1">
        <v>42433</v>
      </c>
      <c r="M418" s="1">
        <v>42556</v>
      </c>
    </row>
    <row r="419" spans="2:13" x14ac:dyDescent="0.25">
      <c r="B419" t="s">
        <v>2356</v>
      </c>
      <c r="C419" t="s">
        <v>0</v>
      </c>
      <c r="D419" t="s">
        <v>1</v>
      </c>
      <c r="E419">
        <v>659505</v>
      </c>
      <c r="F419" t="s">
        <v>163</v>
      </c>
      <c r="H419" t="s">
        <v>2355</v>
      </c>
      <c r="L419" s="1">
        <v>42639</v>
      </c>
      <c r="M419" s="1">
        <v>42738</v>
      </c>
    </row>
    <row r="420" spans="2:13" x14ac:dyDescent="0.25">
      <c r="B420" t="s">
        <v>2353</v>
      </c>
      <c r="C420" t="s">
        <v>100</v>
      </c>
      <c r="F420" t="s">
        <v>2354</v>
      </c>
      <c r="H420" t="s">
        <v>2355</v>
      </c>
      <c r="L420" s="1">
        <v>42552</v>
      </c>
    </row>
    <row r="421" spans="2:13" x14ac:dyDescent="0.25">
      <c r="B421" t="s">
        <v>2351</v>
      </c>
      <c r="C421" t="s">
        <v>100</v>
      </c>
      <c r="D421" t="s">
        <v>50</v>
      </c>
      <c r="E421">
        <v>660750</v>
      </c>
      <c r="F421" t="s">
        <v>136</v>
      </c>
      <c r="H421" t="s">
        <v>2352</v>
      </c>
      <c r="L421" s="1">
        <v>42725</v>
      </c>
    </row>
    <row r="422" spans="2:13" x14ac:dyDescent="0.25">
      <c r="L422" s="1"/>
    </row>
    <row r="423" spans="2:13" x14ac:dyDescent="0.25">
      <c r="L423" s="1"/>
    </row>
    <row r="424" spans="2:13" x14ac:dyDescent="0.25">
      <c r="L424" s="1"/>
    </row>
    <row r="425" spans="2:13" x14ac:dyDescent="0.25">
      <c r="B425" t="s">
        <v>2349</v>
      </c>
      <c r="C425" t="s">
        <v>139</v>
      </c>
      <c r="F425" t="s">
        <v>2339</v>
      </c>
      <c r="H425" t="s">
        <v>2350</v>
      </c>
      <c r="L425" s="1">
        <v>42804</v>
      </c>
    </row>
    <row r="426" spans="2:13" x14ac:dyDescent="0.25">
      <c r="B426" t="s">
        <v>2347</v>
      </c>
      <c r="C426" t="s">
        <v>0</v>
      </c>
      <c r="D426" t="s">
        <v>1</v>
      </c>
      <c r="E426">
        <v>642713</v>
      </c>
      <c r="F426" t="s">
        <v>397</v>
      </c>
      <c r="H426" t="s">
        <v>2348</v>
      </c>
      <c r="L426" s="1">
        <v>42158</v>
      </c>
      <c r="M426" s="1">
        <v>42191</v>
      </c>
    </row>
    <row r="427" spans="2:13" x14ac:dyDescent="0.25">
      <c r="B427" t="s">
        <v>2345</v>
      </c>
      <c r="C427" t="s">
        <v>76</v>
      </c>
      <c r="F427" t="s">
        <v>136</v>
      </c>
      <c r="H427" t="s">
        <v>2346</v>
      </c>
      <c r="L427" s="1">
        <v>42781</v>
      </c>
    </row>
    <row r="428" spans="2:13" x14ac:dyDescent="0.25">
      <c r="B428" t="s">
        <v>2343</v>
      </c>
      <c r="C428" t="s">
        <v>100</v>
      </c>
      <c r="F428" t="s">
        <v>1831</v>
      </c>
      <c r="H428" t="s">
        <v>2344</v>
      </c>
      <c r="L428" s="1">
        <v>42768</v>
      </c>
    </row>
    <row r="429" spans="2:13" x14ac:dyDescent="0.25">
      <c r="B429" t="s">
        <v>2342</v>
      </c>
      <c r="C429" t="s">
        <v>0</v>
      </c>
      <c r="D429" t="s">
        <v>1</v>
      </c>
      <c r="E429">
        <v>643799</v>
      </c>
      <c r="F429" t="s">
        <v>397</v>
      </c>
      <c r="H429" t="s">
        <v>2341</v>
      </c>
      <c r="L429" s="1">
        <v>42179</v>
      </c>
      <c r="M429" s="1">
        <v>42220</v>
      </c>
    </row>
    <row r="430" spans="2:13" x14ac:dyDescent="0.25">
      <c r="B430" t="s">
        <v>2338</v>
      </c>
      <c r="C430" t="s">
        <v>139</v>
      </c>
      <c r="F430" t="s">
        <v>2339</v>
      </c>
      <c r="H430" t="s">
        <v>2340</v>
      </c>
      <c r="L430" s="1">
        <v>42804</v>
      </c>
      <c r="M430" s="1">
        <v>42850</v>
      </c>
    </row>
    <row r="431" spans="2:13" x14ac:dyDescent="0.25">
      <c r="B431" t="s">
        <v>2337</v>
      </c>
      <c r="C431" t="s">
        <v>0</v>
      </c>
      <c r="D431" t="s">
        <v>1</v>
      </c>
      <c r="E431">
        <v>660258</v>
      </c>
      <c r="F431" t="s">
        <v>136</v>
      </c>
      <c r="H431" t="s">
        <v>2336</v>
      </c>
      <c r="L431" s="1">
        <v>42705</v>
      </c>
      <c r="M431" s="1">
        <v>42761</v>
      </c>
    </row>
    <row r="432" spans="2:13" x14ac:dyDescent="0.25">
      <c r="B432" t="s">
        <v>2334</v>
      </c>
      <c r="C432" t="s">
        <v>140</v>
      </c>
      <c r="F432" t="s">
        <v>397</v>
      </c>
      <c r="H432" t="s">
        <v>2335</v>
      </c>
      <c r="L432" s="1">
        <v>42788</v>
      </c>
      <c r="M432" s="1">
        <v>42900</v>
      </c>
    </row>
    <row r="433" spans="2:13" x14ac:dyDescent="0.25">
      <c r="B433" t="s">
        <v>2332</v>
      </c>
      <c r="C433" t="s">
        <v>0</v>
      </c>
      <c r="D433" t="s">
        <v>1</v>
      </c>
      <c r="E433">
        <v>662721</v>
      </c>
      <c r="F433" t="s">
        <v>136</v>
      </c>
      <c r="H433" t="s">
        <v>2333</v>
      </c>
      <c r="L433" s="1">
        <v>42725</v>
      </c>
      <c r="M433" s="1">
        <v>42837</v>
      </c>
    </row>
    <row r="434" spans="2:13" x14ac:dyDescent="0.25">
      <c r="B434" t="s">
        <v>2330</v>
      </c>
      <c r="C434" t="s">
        <v>140</v>
      </c>
      <c r="F434" t="s">
        <v>397</v>
      </c>
      <c r="H434" t="s">
        <v>2331</v>
      </c>
      <c r="L434" s="1">
        <v>42755</v>
      </c>
      <c r="M434" s="1">
        <v>42900</v>
      </c>
    </row>
    <row r="435" spans="2:13" x14ac:dyDescent="0.25">
      <c r="B435" t="s">
        <v>2328</v>
      </c>
      <c r="C435" t="s">
        <v>0</v>
      </c>
      <c r="D435" t="s">
        <v>1</v>
      </c>
      <c r="E435">
        <v>653797</v>
      </c>
      <c r="F435" t="s">
        <v>397</v>
      </c>
      <c r="H435" t="s">
        <v>2329</v>
      </c>
      <c r="L435" s="1">
        <v>42523</v>
      </c>
      <c r="M435" s="1">
        <v>42548</v>
      </c>
    </row>
    <row r="436" spans="2:13" x14ac:dyDescent="0.25">
      <c r="B436" t="s">
        <v>2326</v>
      </c>
      <c r="C436" t="s">
        <v>100</v>
      </c>
      <c r="D436" t="s">
        <v>50</v>
      </c>
      <c r="E436">
        <v>655027</v>
      </c>
      <c r="F436" t="s">
        <v>397</v>
      </c>
      <c r="H436" t="s">
        <v>2327</v>
      </c>
      <c r="L436" s="1">
        <v>42530</v>
      </c>
    </row>
    <row r="437" spans="2:13" x14ac:dyDescent="0.25">
      <c r="L437" s="1"/>
    </row>
    <row r="438" spans="2:13" x14ac:dyDescent="0.25">
      <c r="L438" s="1"/>
    </row>
    <row r="439" spans="2:13" x14ac:dyDescent="0.25">
      <c r="L439" s="1"/>
    </row>
    <row r="440" spans="2:13" x14ac:dyDescent="0.25">
      <c r="L440" s="1"/>
    </row>
    <row r="441" spans="2:13" x14ac:dyDescent="0.25">
      <c r="B441" t="s">
        <v>2324</v>
      </c>
      <c r="C441" t="s">
        <v>0</v>
      </c>
      <c r="D441" t="s">
        <v>1</v>
      </c>
      <c r="E441">
        <v>653154</v>
      </c>
      <c r="F441" t="s">
        <v>280</v>
      </c>
      <c r="H441" t="s">
        <v>2325</v>
      </c>
      <c r="L441" s="1">
        <v>42457</v>
      </c>
      <c r="M441" s="1">
        <v>42523</v>
      </c>
    </row>
    <row r="442" spans="2:13" x14ac:dyDescent="0.25">
      <c r="B442" t="s">
        <v>2322</v>
      </c>
      <c r="C442" t="s">
        <v>140</v>
      </c>
      <c r="F442" t="s">
        <v>280</v>
      </c>
      <c r="H442" t="s">
        <v>2323</v>
      </c>
      <c r="L442" s="1">
        <v>42531</v>
      </c>
      <c r="M442" s="1">
        <v>42969</v>
      </c>
    </row>
    <row r="443" spans="2:13" x14ac:dyDescent="0.25">
      <c r="B443" t="s">
        <v>2320</v>
      </c>
      <c r="C443" t="s">
        <v>0</v>
      </c>
      <c r="D443" t="s">
        <v>1</v>
      </c>
      <c r="E443">
        <v>661921</v>
      </c>
      <c r="F443" t="s">
        <v>1831</v>
      </c>
      <c r="H443" t="s">
        <v>2321</v>
      </c>
      <c r="L443" s="1">
        <v>42720</v>
      </c>
      <c r="M443" s="1">
        <v>42809</v>
      </c>
    </row>
    <row r="444" spans="2:13" x14ac:dyDescent="0.25">
      <c r="B444" t="s">
        <v>2318</v>
      </c>
      <c r="C444" t="s">
        <v>139</v>
      </c>
      <c r="F444" t="s">
        <v>1831</v>
      </c>
      <c r="H444" t="s">
        <v>2319</v>
      </c>
      <c r="L444" s="1">
        <v>42886</v>
      </c>
      <c r="M444" s="1">
        <v>42899</v>
      </c>
    </row>
    <row r="445" spans="2:13" x14ac:dyDescent="0.25">
      <c r="B445" t="s">
        <v>2317</v>
      </c>
      <c r="C445" t="s">
        <v>139</v>
      </c>
      <c r="F445" t="s">
        <v>2088</v>
      </c>
      <c r="H445" t="s">
        <v>2316</v>
      </c>
      <c r="L445" s="1">
        <v>42789</v>
      </c>
      <c r="M445" s="1">
        <v>42898</v>
      </c>
    </row>
    <row r="446" spans="2:13" x14ac:dyDescent="0.25">
      <c r="B446" t="s">
        <v>2315</v>
      </c>
      <c r="C446" t="s">
        <v>139</v>
      </c>
      <c r="F446" t="s">
        <v>280</v>
      </c>
      <c r="H446" t="s">
        <v>2316</v>
      </c>
      <c r="L446" s="1">
        <v>42545</v>
      </c>
      <c r="M446" s="1">
        <v>42681</v>
      </c>
    </row>
    <row r="447" spans="2:13" x14ac:dyDescent="0.25">
      <c r="B447" t="s">
        <v>2313</v>
      </c>
      <c r="C447" t="s">
        <v>139</v>
      </c>
      <c r="F447" t="s">
        <v>2088</v>
      </c>
      <c r="H447" t="s">
        <v>2314</v>
      </c>
      <c r="L447" s="1">
        <v>42838</v>
      </c>
      <c r="M447" s="1">
        <v>42899</v>
      </c>
    </row>
    <row r="448" spans="2:13" x14ac:dyDescent="0.25">
      <c r="B448" t="s">
        <v>2311</v>
      </c>
      <c r="C448" t="s">
        <v>0</v>
      </c>
      <c r="D448" t="s">
        <v>1</v>
      </c>
      <c r="E448">
        <v>654029</v>
      </c>
      <c r="F448" t="s">
        <v>163</v>
      </c>
      <c r="H448" t="s">
        <v>2312</v>
      </c>
      <c r="L448" s="1">
        <v>42464</v>
      </c>
      <c r="M448" s="1">
        <v>42557</v>
      </c>
    </row>
    <row r="449" spans="2:13" x14ac:dyDescent="0.25">
      <c r="B449" t="s">
        <v>2310</v>
      </c>
      <c r="C449" t="s">
        <v>139</v>
      </c>
      <c r="F449" t="s">
        <v>397</v>
      </c>
      <c r="H449" t="s">
        <v>2309</v>
      </c>
      <c r="L449" s="1">
        <v>42726</v>
      </c>
      <c r="M449" s="1">
        <v>42870</v>
      </c>
    </row>
    <row r="450" spans="2:13" x14ac:dyDescent="0.25">
      <c r="B450" t="s">
        <v>2308</v>
      </c>
      <c r="C450" t="s">
        <v>140</v>
      </c>
      <c r="F450" t="s">
        <v>280</v>
      </c>
      <c r="H450" t="s">
        <v>2309</v>
      </c>
      <c r="L450" s="1">
        <v>42531</v>
      </c>
      <c r="M450" s="1">
        <v>42969</v>
      </c>
    </row>
    <row r="451" spans="2:13" x14ac:dyDescent="0.25">
      <c r="B451" t="s">
        <v>2306</v>
      </c>
      <c r="C451" t="s">
        <v>0</v>
      </c>
      <c r="D451" t="s">
        <v>1</v>
      </c>
      <c r="E451">
        <v>662591</v>
      </c>
      <c r="F451" t="s">
        <v>395</v>
      </c>
      <c r="H451" t="s">
        <v>2307</v>
      </c>
      <c r="L451" s="1">
        <v>42769</v>
      </c>
      <c r="M451" s="1">
        <v>42831</v>
      </c>
    </row>
    <row r="452" spans="2:13" x14ac:dyDescent="0.25">
      <c r="B452" t="s">
        <v>2304</v>
      </c>
      <c r="C452" t="s">
        <v>0</v>
      </c>
      <c r="D452" t="s">
        <v>1</v>
      </c>
      <c r="E452">
        <v>653784</v>
      </c>
      <c r="F452" t="s">
        <v>280</v>
      </c>
      <c r="H452" t="s">
        <v>2305</v>
      </c>
      <c r="L452" s="1">
        <v>42457</v>
      </c>
      <c r="M452" s="1">
        <v>42548</v>
      </c>
    </row>
    <row r="453" spans="2:13" x14ac:dyDescent="0.25">
      <c r="B453" t="s">
        <v>2302</v>
      </c>
      <c r="C453" t="s">
        <v>76</v>
      </c>
      <c r="F453" t="s">
        <v>280</v>
      </c>
      <c r="H453" t="s">
        <v>2303</v>
      </c>
      <c r="L453" s="1">
        <v>42493</v>
      </c>
      <c r="M453" s="1">
        <v>42769</v>
      </c>
    </row>
    <row r="454" spans="2:13" x14ac:dyDescent="0.25">
      <c r="B454" t="s">
        <v>2300</v>
      </c>
      <c r="C454" t="s">
        <v>0</v>
      </c>
      <c r="D454" t="s">
        <v>1</v>
      </c>
      <c r="E454">
        <v>645844</v>
      </c>
      <c r="F454" t="s">
        <v>280</v>
      </c>
      <c r="H454" t="s">
        <v>2301</v>
      </c>
      <c r="L454" s="1">
        <v>42216</v>
      </c>
      <c r="M454" s="1">
        <v>42284</v>
      </c>
    </row>
    <row r="455" spans="2:13" x14ac:dyDescent="0.25">
      <c r="B455" t="s">
        <v>2299</v>
      </c>
      <c r="C455" t="s">
        <v>139</v>
      </c>
      <c r="F455" t="s">
        <v>397</v>
      </c>
      <c r="H455" t="s">
        <v>2298</v>
      </c>
      <c r="L455" s="1">
        <v>42726</v>
      </c>
      <c r="M455" s="1">
        <v>42870</v>
      </c>
    </row>
    <row r="456" spans="2:13" x14ac:dyDescent="0.25">
      <c r="B456" t="s">
        <v>2297</v>
      </c>
      <c r="C456" t="s">
        <v>139</v>
      </c>
      <c r="F456" t="s">
        <v>280</v>
      </c>
      <c r="H456" t="s">
        <v>2298</v>
      </c>
      <c r="L456" s="1">
        <v>42541</v>
      </c>
      <c r="M456" s="1">
        <v>42821</v>
      </c>
    </row>
    <row r="457" spans="2:13" x14ac:dyDescent="0.25">
      <c r="B457" t="s">
        <v>2295</v>
      </c>
      <c r="C457" t="s">
        <v>0</v>
      </c>
      <c r="D457" t="s">
        <v>1</v>
      </c>
      <c r="E457">
        <v>654028</v>
      </c>
      <c r="F457" t="s">
        <v>163</v>
      </c>
      <c r="H457" t="s">
        <v>2296</v>
      </c>
      <c r="L457" s="1">
        <v>42464</v>
      </c>
      <c r="M457" s="1">
        <v>42557</v>
      </c>
    </row>
    <row r="458" spans="2:13" x14ac:dyDescent="0.25">
      <c r="B458" t="s">
        <v>2293</v>
      </c>
      <c r="C458" t="s">
        <v>0</v>
      </c>
      <c r="D458" t="s">
        <v>1</v>
      </c>
      <c r="E458">
        <v>655097</v>
      </c>
      <c r="F458" t="s">
        <v>163</v>
      </c>
      <c r="H458" t="s">
        <v>2294</v>
      </c>
      <c r="L458" s="1">
        <v>42409</v>
      </c>
      <c r="M458" s="1">
        <v>42592</v>
      </c>
    </row>
    <row r="459" spans="2:13" x14ac:dyDescent="0.25">
      <c r="B459" t="s">
        <v>2291</v>
      </c>
      <c r="C459" t="s">
        <v>0</v>
      </c>
      <c r="D459" t="s">
        <v>1</v>
      </c>
      <c r="E459">
        <v>657885</v>
      </c>
      <c r="F459" t="s">
        <v>163</v>
      </c>
      <c r="H459" t="s">
        <v>2292</v>
      </c>
      <c r="L459" s="1">
        <v>42489</v>
      </c>
      <c r="M459" s="1">
        <v>42688</v>
      </c>
    </row>
    <row r="460" spans="2:13" x14ac:dyDescent="0.25">
      <c r="B460" t="s">
        <v>2290</v>
      </c>
      <c r="C460" t="s">
        <v>162</v>
      </c>
      <c r="F460" t="s">
        <v>44</v>
      </c>
      <c r="H460" t="s">
        <v>2289</v>
      </c>
      <c r="L460" s="1">
        <v>42878</v>
      </c>
      <c r="M460" s="1">
        <v>42906</v>
      </c>
    </row>
    <row r="461" spans="2:13" x14ac:dyDescent="0.25">
      <c r="B461" t="s">
        <v>2288</v>
      </c>
      <c r="C461" t="s">
        <v>139</v>
      </c>
      <c r="F461" t="s">
        <v>280</v>
      </c>
      <c r="H461" t="s">
        <v>2289</v>
      </c>
      <c r="L461" s="1">
        <v>42541</v>
      </c>
      <c r="M461" s="1">
        <v>42821</v>
      </c>
    </row>
    <row r="462" spans="2:13" x14ac:dyDescent="0.25">
      <c r="B462" t="s">
        <v>2286</v>
      </c>
      <c r="C462" t="s">
        <v>0</v>
      </c>
      <c r="D462" t="s">
        <v>1</v>
      </c>
      <c r="E462">
        <v>646150</v>
      </c>
      <c r="F462" t="s">
        <v>280</v>
      </c>
      <c r="H462" t="s">
        <v>2287</v>
      </c>
      <c r="L462" s="1">
        <v>42216</v>
      </c>
      <c r="M462" s="1">
        <v>42296</v>
      </c>
    </row>
    <row r="463" spans="2:13" x14ac:dyDescent="0.25">
      <c r="B463" t="s">
        <v>2284</v>
      </c>
      <c r="C463" t="s">
        <v>0</v>
      </c>
      <c r="D463" t="s">
        <v>1</v>
      </c>
      <c r="E463">
        <v>659908</v>
      </c>
      <c r="F463" t="s">
        <v>280</v>
      </c>
      <c r="H463" t="s">
        <v>2285</v>
      </c>
      <c r="L463" s="1">
        <v>42493</v>
      </c>
      <c r="M463" s="1">
        <v>42752</v>
      </c>
    </row>
    <row r="464" spans="2:13" x14ac:dyDescent="0.25">
      <c r="B464" t="s">
        <v>2283</v>
      </c>
      <c r="C464" t="s">
        <v>139</v>
      </c>
      <c r="F464" t="s">
        <v>397</v>
      </c>
      <c r="H464" t="s">
        <v>2282</v>
      </c>
      <c r="L464" s="1">
        <v>42726</v>
      </c>
      <c r="M464" s="1">
        <v>42891</v>
      </c>
    </row>
    <row r="465" spans="2:13" x14ac:dyDescent="0.25">
      <c r="B465" t="s">
        <v>2281</v>
      </c>
      <c r="C465" t="s">
        <v>140</v>
      </c>
      <c r="F465" t="s">
        <v>280</v>
      </c>
      <c r="H465" t="s">
        <v>2282</v>
      </c>
      <c r="L465" s="1">
        <v>42571</v>
      </c>
      <c r="M465" s="1">
        <v>42913</v>
      </c>
    </row>
    <row r="466" spans="2:13" x14ac:dyDescent="0.25">
      <c r="B466" t="s">
        <v>2279</v>
      </c>
      <c r="C466" t="s">
        <v>0</v>
      </c>
      <c r="D466" t="s">
        <v>1</v>
      </c>
      <c r="E466">
        <v>660250</v>
      </c>
      <c r="F466" t="s">
        <v>395</v>
      </c>
      <c r="H466" t="s">
        <v>2280</v>
      </c>
      <c r="L466" s="1">
        <v>42671</v>
      </c>
      <c r="M466" s="1">
        <v>42761</v>
      </c>
    </row>
    <row r="467" spans="2:13" x14ac:dyDescent="0.25">
      <c r="B467" t="s">
        <v>2278</v>
      </c>
      <c r="C467" t="s">
        <v>139</v>
      </c>
      <c r="F467" t="s">
        <v>1831</v>
      </c>
      <c r="H467" t="s">
        <v>2277</v>
      </c>
      <c r="L467" s="1">
        <v>42713</v>
      </c>
    </row>
    <row r="468" spans="2:13" x14ac:dyDescent="0.25">
      <c r="B468" t="s">
        <v>2276</v>
      </c>
      <c r="C468" t="s">
        <v>139</v>
      </c>
      <c r="F468" t="s">
        <v>280</v>
      </c>
      <c r="H468" t="s">
        <v>2277</v>
      </c>
      <c r="L468" s="1">
        <v>42535</v>
      </c>
      <c r="M468" s="1">
        <v>42821</v>
      </c>
    </row>
    <row r="469" spans="2:13" x14ac:dyDescent="0.25">
      <c r="B469" t="s">
        <v>2274</v>
      </c>
      <c r="C469" t="s">
        <v>139</v>
      </c>
      <c r="F469" t="s">
        <v>280</v>
      </c>
      <c r="H469" t="s">
        <v>2275</v>
      </c>
      <c r="L469" s="1">
        <v>42535</v>
      </c>
      <c r="M469" s="1">
        <v>42863</v>
      </c>
    </row>
    <row r="470" spans="2:13" x14ac:dyDescent="0.25">
      <c r="B470" t="s">
        <v>2272</v>
      </c>
      <c r="C470" t="s">
        <v>139</v>
      </c>
      <c r="F470" t="s">
        <v>1771</v>
      </c>
      <c r="H470" t="s">
        <v>2273</v>
      </c>
      <c r="L470" s="1">
        <v>42697</v>
      </c>
      <c r="M470" s="1">
        <v>42899</v>
      </c>
    </row>
    <row r="471" spans="2:13" x14ac:dyDescent="0.25">
      <c r="B471" t="s">
        <v>2270</v>
      </c>
      <c r="C471" t="s">
        <v>76</v>
      </c>
      <c r="F471" t="s">
        <v>280</v>
      </c>
      <c r="H471" t="s">
        <v>2271</v>
      </c>
      <c r="L471" s="1">
        <v>42556</v>
      </c>
      <c r="M471" s="1">
        <v>42766</v>
      </c>
    </row>
    <row r="472" spans="2:13" x14ac:dyDescent="0.25">
      <c r="B472" t="s">
        <v>2269</v>
      </c>
      <c r="C472" t="s">
        <v>139</v>
      </c>
      <c r="F472" t="s">
        <v>397</v>
      </c>
      <c r="H472" t="s">
        <v>2268</v>
      </c>
      <c r="L472" s="1">
        <v>42726</v>
      </c>
      <c r="M472" s="1">
        <v>42891</v>
      </c>
    </row>
    <row r="473" spans="2:13" x14ac:dyDescent="0.25">
      <c r="B473" t="s">
        <v>2267</v>
      </c>
      <c r="C473" t="s">
        <v>140</v>
      </c>
      <c r="F473" t="s">
        <v>280</v>
      </c>
      <c r="H473" t="s">
        <v>2268</v>
      </c>
      <c r="L473" s="1">
        <v>42571</v>
      </c>
      <c r="M473" s="1">
        <v>42913</v>
      </c>
    </row>
    <row r="474" spans="2:13" x14ac:dyDescent="0.25">
      <c r="B474" t="s">
        <v>2265</v>
      </c>
      <c r="C474" t="s">
        <v>0</v>
      </c>
      <c r="D474" t="s">
        <v>1</v>
      </c>
      <c r="E474">
        <v>658703</v>
      </c>
      <c r="F474" t="s">
        <v>397</v>
      </c>
      <c r="H474" t="s">
        <v>2266</v>
      </c>
      <c r="L474" s="1">
        <v>42678</v>
      </c>
      <c r="M474" s="1">
        <v>42712</v>
      </c>
    </row>
    <row r="475" spans="2:13" x14ac:dyDescent="0.25">
      <c r="L475" s="1"/>
      <c r="M475" s="1"/>
    </row>
    <row r="476" spans="2:13" x14ac:dyDescent="0.25">
      <c r="L476" s="1"/>
      <c r="M476" s="1"/>
    </row>
    <row r="477" spans="2:13" x14ac:dyDescent="0.25">
      <c r="L477" s="1"/>
      <c r="M477" s="1"/>
    </row>
    <row r="478" spans="2:13" x14ac:dyDescent="0.25">
      <c r="L478" s="1"/>
      <c r="M478" s="1"/>
    </row>
    <row r="479" spans="2:13" x14ac:dyDescent="0.25">
      <c r="L479" s="1"/>
      <c r="M479" s="1"/>
    </row>
    <row r="480" spans="2:13" x14ac:dyDescent="0.25">
      <c r="L480" s="1"/>
      <c r="M480" s="1"/>
    </row>
    <row r="481" spans="2:13" x14ac:dyDescent="0.25">
      <c r="L481" s="1"/>
      <c r="M481" s="1"/>
    </row>
    <row r="482" spans="2:13" x14ac:dyDescent="0.25">
      <c r="B482" t="s">
        <v>2263</v>
      </c>
      <c r="C482" t="s">
        <v>0</v>
      </c>
      <c r="D482" t="s">
        <v>1</v>
      </c>
      <c r="E482">
        <v>662912</v>
      </c>
      <c r="F482" t="s">
        <v>44</v>
      </c>
      <c r="H482" t="s">
        <v>2264</v>
      </c>
      <c r="L482" s="1">
        <v>42788</v>
      </c>
      <c r="M482" s="1">
        <v>42844</v>
      </c>
    </row>
    <row r="483" spans="2:13" x14ac:dyDescent="0.25">
      <c r="B483" t="s">
        <v>2261</v>
      </c>
      <c r="C483" t="s">
        <v>140</v>
      </c>
      <c r="F483" t="s">
        <v>397</v>
      </c>
      <c r="H483" t="s">
        <v>2262</v>
      </c>
      <c r="L483" s="1">
        <v>42811</v>
      </c>
      <c r="M483" s="1">
        <v>42912</v>
      </c>
    </row>
    <row r="484" spans="2:13" x14ac:dyDescent="0.25">
      <c r="B484" t="s">
        <v>2260</v>
      </c>
      <c r="C484" t="s">
        <v>140</v>
      </c>
      <c r="F484" t="s">
        <v>44</v>
      </c>
      <c r="H484" t="s">
        <v>2259</v>
      </c>
      <c r="L484" s="1">
        <v>42856</v>
      </c>
      <c r="M484" s="1">
        <v>42906</v>
      </c>
    </row>
    <row r="485" spans="2:13" x14ac:dyDescent="0.25">
      <c r="B485" t="s">
        <v>2257</v>
      </c>
      <c r="C485" t="s">
        <v>140</v>
      </c>
      <c r="F485" t="s">
        <v>280</v>
      </c>
      <c r="H485" t="s">
        <v>2258</v>
      </c>
      <c r="L485" s="1">
        <v>42535</v>
      </c>
      <c r="M485" s="1">
        <v>42907</v>
      </c>
    </row>
    <row r="486" spans="2:13" x14ac:dyDescent="0.25">
      <c r="B486" t="s">
        <v>2256</v>
      </c>
      <c r="C486" t="s">
        <v>139</v>
      </c>
      <c r="F486" t="s">
        <v>44</v>
      </c>
      <c r="H486" t="s">
        <v>2255</v>
      </c>
      <c r="L486" s="1">
        <v>42824</v>
      </c>
      <c r="M486" s="1">
        <v>42898</v>
      </c>
    </row>
    <row r="487" spans="2:13" x14ac:dyDescent="0.25">
      <c r="B487" t="s">
        <v>2253</v>
      </c>
      <c r="C487" t="s">
        <v>0</v>
      </c>
      <c r="D487" t="s">
        <v>1</v>
      </c>
      <c r="E487">
        <v>661065</v>
      </c>
      <c r="F487" t="s">
        <v>395</v>
      </c>
      <c r="H487" t="s">
        <v>2254</v>
      </c>
      <c r="L487" s="1">
        <v>42710</v>
      </c>
      <c r="M487" s="1">
        <v>42781</v>
      </c>
    </row>
    <row r="488" spans="2:13" x14ac:dyDescent="0.25">
      <c r="B488" t="s">
        <v>2251</v>
      </c>
      <c r="C488" t="s">
        <v>0</v>
      </c>
      <c r="D488" t="s">
        <v>1</v>
      </c>
      <c r="E488">
        <v>663481</v>
      </c>
      <c r="F488" t="s">
        <v>397</v>
      </c>
      <c r="H488" t="s">
        <v>2252</v>
      </c>
      <c r="L488" s="1">
        <v>42741</v>
      </c>
      <c r="M488" s="1">
        <v>42863</v>
      </c>
    </row>
    <row r="489" spans="2:13" x14ac:dyDescent="0.25">
      <c r="B489" t="s">
        <v>2249</v>
      </c>
      <c r="C489" t="s">
        <v>0</v>
      </c>
      <c r="D489" t="s">
        <v>1</v>
      </c>
      <c r="E489">
        <v>663480</v>
      </c>
      <c r="F489" t="s">
        <v>397</v>
      </c>
      <c r="H489" t="s">
        <v>2250</v>
      </c>
      <c r="L489" s="1">
        <v>42741</v>
      </c>
      <c r="M489" s="1">
        <v>42863</v>
      </c>
    </row>
    <row r="490" spans="2:13" x14ac:dyDescent="0.25">
      <c r="B490" t="s">
        <v>2247</v>
      </c>
      <c r="C490" t="s">
        <v>0</v>
      </c>
      <c r="D490" t="s">
        <v>1</v>
      </c>
      <c r="E490">
        <v>659734</v>
      </c>
      <c r="F490" t="s">
        <v>1771</v>
      </c>
      <c r="H490" t="s">
        <v>2248</v>
      </c>
      <c r="L490" s="1">
        <v>42678</v>
      </c>
      <c r="M490" s="1">
        <v>42745</v>
      </c>
    </row>
    <row r="491" spans="2:13" x14ac:dyDescent="0.25">
      <c r="B491" t="s">
        <v>2245</v>
      </c>
      <c r="C491" t="s">
        <v>139</v>
      </c>
      <c r="F491" t="s">
        <v>1771</v>
      </c>
      <c r="H491" t="s">
        <v>2246</v>
      </c>
      <c r="L491" s="1">
        <v>42695</v>
      </c>
      <c r="M491" s="1">
        <v>42899</v>
      </c>
    </row>
    <row r="492" spans="2:13" x14ac:dyDescent="0.25">
      <c r="B492" t="s">
        <v>2244</v>
      </c>
      <c r="C492" t="s">
        <v>76</v>
      </c>
      <c r="F492" t="s">
        <v>2237</v>
      </c>
      <c r="H492" t="s">
        <v>2243</v>
      </c>
      <c r="L492" s="1">
        <v>42856</v>
      </c>
    </row>
    <row r="493" spans="2:13" x14ac:dyDescent="0.25">
      <c r="B493" t="s">
        <v>2241</v>
      </c>
      <c r="C493" t="s">
        <v>140</v>
      </c>
      <c r="F493" t="s">
        <v>280</v>
      </c>
      <c r="H493" t="s">
        <v>2242</v>
      </c>
      <c r="L493" s="1">
        <v>42535</v>
      </c>
      <c r="M493" s="1">
        <v>42907</v>
      </c>
    </row>
    <row r="494" spans="2:13" x14ac:dyDescent="0.25">
      <c r="B494" t="s">
        <v>2239</v>
      </c>
      <c r="C494" t="s">
        <v>139</v>
      </c>
      <c r="F494" t="s">
        <v>1771</v>
      </c>
      <c r="H494" t="s">
        <v>2240</v>
      </c>
      <c r="L494" s="1">
        <v>42668</v>
      </c>
      <c r="M494" s="1">
        <v>42864</v>
      </c>
    </row>
    <row r="495" spans="2:13" x14ac:dyDescent="0.25">
      <c r="B495" t="s">
        <v>2236</v>
      </c>
      <c r="C495" t="s">
        <v>76</v>
      </c>
      <c r="F495" t="s">
        <v>2237</v>
      </c>
      <c r="H495" t="s">
        <v>2238</v>
      </c>
      <c r="L495" s="1">
        <v>42856</v>
      </c>
    </row>
    <row r="496" spans="2:13" x14ac:dyDescent="0.25">
      <c r="B496" t="s">
        <v>2234</v>
      </c>
      <c r="C496" t="s">
        <v>139</v>
      </c>
      <c r="F496" t="s">
        <v>1771</v>
      </c>
      <c r="H496" t="s">
        <v>2235</v>
      </c>
      <c r="L496" s="1">
        <v>42695</v>
      </c>
      <c r="M496" s="1">
        <v>42899</v>
      </c>
    </row>
    <row r="497" spans="2:13" x14ac:dyDescent="0.25">
      <c r="B497" t="s">
        <v>2232</v>
      </c>
      <c r="C497" t="s">
        <v>0</v>
      </c>
      <c r="D497" t="s">
        <v>1</v>
      </c>
      <c r="E497">
        <v>660829</v>
      </c>
      <c r="F497" t="s">
        <v>1771</v>
      </c>
      <c r="H497" t="s">
        <v>2233</v>
      </c>
      <c r="L497" s="1">
        <v>42704</v>
      </c>
      <c r="M497" s="1">
        <v>42774</v>
      </c>
    </row>
    <row r="498" spans="2:13" x14ac:dyDescent="0.25">
      <c r="B498" t="s">
        <v>2231</v>
      </c>
      <c r="C498" t="s">
        <v>139</v>
      </c>
      <c r="F498" t="s">
        <v>280</v>
      </c>
      <c r="H498" t="s">
        <v>2230</v>
      </c>
      <c r="L498" s="1">
        <v>42577</v>
      </c>
      <c r="M498" s="1">
        <v>42774</v>
      </c>
    </row>
    <row r="499" spans="2:13" x14ac:dyDescent="0.25">
      <c r="B499" t="s">
        <v>2228</v>
      </c>
      <c r="C499" t="s">
        <v>0</v>
      </c>
      <c r="D499" t="s">
        <v>1</v>
      </c>
      <c r="E499">
        <v>663482</v>
      </c>
      <c r="F499" t="s">
        <v>395</v>
      </c>
      <c r="H499" t="s">
        <v>2229</v>
      </c>
      <c r="L499" s="1">
        <v>42755</v>
      </c>
      <c r="M499" s="1">
        <v>42863</v>
      </c>
    </row>
    <row r="500" spans="2:13" x14ac:dyDescent="0.25">
      <c r="B500" t="s">
        <v>2226</v>
      </c>
      <c r="C500" t="s">
        <v>140</v>
      </c>
      <c r="F500" t="s">
        <v>280</v>
      </c>
      <c r="H500" t="s">
        <v>2227</v>
      </c>
      <c r="L500" s="1">
        <v>42646</v>
      </c>
      <c r="M500" s="1">
        <v>42905</v>
      </c>
    </row>
    <row r="501" spans="2:13" x14ac:dyDescent="0.25">
      <c r="B501" t="s">
        <v>2224</v>
      </c>
      <c r="C501" t="s">
        <v>0</v>
      </c>
      <c r="D501" t="s">
        <v>1</v>
      </c>
      <c r="E501">
        <v>662041</v>
      </c>
      <c r="F501" t="s">
        <v>395</v>
      </c>
      <c r="H501" t="s">
        <v>2225</v>
      </c>
      <c r="L501" s="1">
        <v>42692</v>
      </c>
      <c r="M501" s="1">
        <v>42814</v>
      </c>
    </row>
    <row r="502" spans="2:13" x14ac:dyDescent="0.25">
      <c r="B502" t="s">
        <v>2222</v>
      </c>
      <c r="C502" t="s">
        <v>140</v>
      </c>
      <c r="F502" t="s">
        <v>280</v>
      </c>
      <c r="H502" t="s">
        <v>2223</v>
      </c>
      <c r="L502" s="1">
        <v>42646</v>
      </c>
      <c r="M502" s="1">
        <v>42905</v>
      </c>
    </row>
    <row r="503" spans="2:13" x14ac:dyDescent="0.25">
      <c r="B503" t="s">
        <v>2221</v>
      </c>
      <c r="C503" t="s">
        <v>0</v>
      </c>
      <c r="D503" t="s">
        <v>1</v>
      </c>
      <c r="E503">
        <v>663483</v>
      </c>
      <c r="F503" t="s">
        <v>395</v>
      </c>
      <c r="H503" t="s">
        <v>2220</v>
      </c>
      <c r="L503" s="1">
        <v>42759</v>
      </c>
      <c r="M503" s="1">
        <v>42863</v>
      </c>
    </row>
    <row r="504" spans="2:13" x14ac:dyDescent="0.25">
      <c r="B504" t="s">
        <v>2218</v>
      </c>
      <c r="C504" t="s">
        <v>0</v>
      </c>
      <c r="D504" t="s">
        <v>1</v>
      </c>
      <c r="E504">
        <v>657037</v>
      </c>
      <c r="F504" t="s">
        <v>280</v>
      </c>
      <c r="H504" t="s">
        <v>2219</v>
      </c>
      <c r="L504" s="1">
        <v>42583</v>
      </c>
      <c r="M504" s="1">
        <v>42661</v>
      </c>
    </row>
    <row r="552" spans="2:13" x14ac:dyDescent="0.25">
      <c r="B552" t="s">
        <v>2216</v>
      </c>
      <c r="C552" t="s">
        <v>139</v>
      </c>
      <c r="F552" t="s">
        <v>136</v>
      </c>
      <c r="H552" t="s">
        <v>2217</v>
      </c>
      <c r="L552" s="1">
        <v>42768</v>
      </c>
      <c r="M552" s="1">
        <v>42851</v>
      </c>
    </row>
    <row r="553" spans="2:13" x14ac:dyDescent="0.25">
      <c r="B553" t="s">
        <v>2214</v>
      </c>
      <c r="C553" t="s">
        <v>139</v>
      </c>
      <c r="F553" t="s">
        <v>163</v>
      </c>
      <c r="H553" t="s">
        <v>2215</v>
      </c>
      <c r="L553" s="1">
        <v>42765</v>
      </c>
      <c r="M553" s="1">
        <v>42829</v>
      </c>
    </row>
    <row r="554" spans="2:13" x14ac:dyDescent="0.25">
      <c r="B554" t="s">
        <v>2213</v>
      </c>
      <c r="C554" t="s">
        <v>0</v>
      </c>
      <c r="D554" t="s">
        <v>1</v>
      </c>
      <c r="E554">
        <v>653798</v>
      </c>
      <c r="F554" t="s">
        <v>397</v>
      </c>
      <c r="H554" t="s">
        <v>2211</v>
      </c>
      <c r="L554" s="1">
        <v>42523</v>
      </c>
      <c r="M554" s="1">
        <v>42548</v>
      </c>
    </row>
    <row r="555" spans="2:13" x14ac:dyDescent="0.25">
      <c r="B555" t="s">
        <v>2212</v>
      </c>
      <c r="C555" t="s">
        <v>100</v>
      </c>
      <c r="D555" t="s">
        <v>50</v>
      </c>
      <c r="E555">
        <v>632939</v>
      </c>
      <c r="F555" t="s">
        <v>397</v>
      </c>
      <c r="H555" t="s">
        <v>2211</v>
      </c>
      <c r="L555" s="1">
        <v>41907</v>
      </c>
    </row>
    <row r="556" spans="2:13" x14ac:dyDescent="0.25">
      <c r="B556" t="s">
        <v>2209</v>
      </c>
      <c r="C556" t="s">
        <v>100</v>
      </c>
      <c r="D556" t="s">
        <v>50</v>
      </c>
      <c r="E556">
        <v>637502</v>
      </c>
      <c r="F556" t="s">
        <v>2210</v>
      </c>
      <c r="H556" t="s">
        <v>2211</v>
      </c>
      <c r="L556" s="1">
        <v>41899</v>
      </c>
    </row>
    <row r="557" spans="2:13" x14ac:dyDescent="0.25">
      <c r="B557" t="s">
        <v>2208</v>
      </c>
      <c r="C557" t="s">
        <v>0</v>
      </c>
      <c r="D557" t="s">
        <v>1</v>
      </c>
      <c r="E557">
        <v>661651</v>
      </c>
      <c r="F557" t="s">
        <v>397</v>
      </c>
      <c r="H557" t="s">
        <v>2206</v>
      </c>
      <c r="L557" s="1">
        <v>42723</v>
      </c>
      <c r="M557" s="1">
        <v>42800</v>
      </c>
    </row>
    <row r="558" spans="2:13" x14ac:dyDescent="0.25">
      <c r="B558" t="s">
        <v>2207</v>
      </c>
      <c r="C558" t="s">
        <v>100</v>
      </c>
      <c r="D558" t="s">
        <v>50</v>
      </c>
      <c r="E558">
        <v>657283</v>
      </c>
      <c r="F558" t="s">
        <v>397</v>
      </c>
      <c r="H558" t="s">
        <v>2206</v>
      </c>
      <c r="L558" s="1">
        <v>42600</v>
      </c>
    </row>
    <row r="559" spans="2:13" x14ac:dyDescent="0.25">
      <c r="B559" t="s">
        <v>2205</v>
      </c>
      <c r="C559" t="s">
        <v>0</v>
      </c>
      <c r="D559" t="s">
        <v>1</v>
      </c>
      <c r="E559">
        <v>634575</v>
      </c>
      <c r="F559" t="s">
        <v>397</v>
      </c>
      <c r="H559" t="s">
        <v>2206</v>
      </c>
      <c r="L559" s="1">
        <v>41927</v>
      </c>
      <c r="M559" s="1">
        <v>42002</v>
      </c>
    </row>
    <row r="560" spans="2:13" x14ac:dyDescent="0.25">
      <c r="B560" t="s">
        <v>2203</v>
      </c>
      <c r="C560" t="s">
        <v>0</v>
      </c>
      <c r="D560" t="s">
        <v>1</v>
      </c>
      <c r="E560">
        <v>649761</v>
      </c>
      <c r="F560" t="s">
        <v>397</v>
      </c>
      <c r="H560" t="s">
        <v>2204</v>
      </c>
      <c r="L560" s="1">
        <v>42328</v>
      </c>
      <c r="M560" s="1">
        <v>42411</v>
      </c>
    </row>
    <row r="561" spans="2:13" x14ac:dyDescent="0.25">
      <c r="B561" t="s">
        <v>2201</v>
      </c>
      <c r="C561" t="s">
        <v>0</v>
      </c>
      <c r="D561" t="s">
        <v>1</v>
      </c>
      <c r="E561">
        <v>647734</v>
      </c>
      <c r="F561" t="s">
        <v>397</v>
      </c>
      <c r="H561" t="s">
        <v>2202</v>
      </c>
      <c r="L561" s="1">
        <v>42303</v>
      </c>
      <c r="M561" s="1">
        <v>42354</v>
      </c>
    </row>
    <row r="562" spans="2:13" x14ac:dyDescent="0.25">
      <c r="B562" t="s">
        <v>2200</v>
      </c>
      <c r="C562" t="s">
        <v>100</v>
      </c>
      <c r="D562" t="s">
        <v>50</v>
      </c>
      <c r="E562">
        <v>650570</v>
      </c>
      <c r="F562" t="s">
        <v>163</v>
      </c>
      <c r="H562" t="s">
        <v>2199</v>
      </c>
      <c r="L562" s="1">
        <v>42353</v>
      </c>
    </row>
    <row r="563" spans="2:13" x14ac:dyDescent="0.25">
      <c r="B563" t="s">
        <v>2198</v>
      </c>
      <c r="C563" t="s">
        <v>0</v>
      </c>
      <c r="D563" t="s">
        <v>1</v>
      </c>
      <c r="E563">
        <v>650615</v>
      </c>
      <c r="F563" t="s">
        <v>397</v>
      </c>
      <c r="H563" t="s">
        <v>2199</v>
      </c>
      <c r="L563" s="1">
        <v>42354</v>
      </c>
      <c r="M563" s="1">
        <v>42438</v>
      </c>
    </row>
    <row r="564" spans="2:13" x14ac:dyDescent="0.25">
      <c r="B564" t="s">
        <v>2196</v>
      </c>
      <c r="C564" t="s">
        <v>162</v>
      </c>
      <c r="F564" t="s">
        <v>136</v>
      </c>
      <c r="H564" t="s">
        <v>2197</v>
      </c>
      <c r="L564" s="1">
        <v>42894</v>
      </c>
      <c r="M564" s="1">
        <v>42926</v>
      </c>
    </row>
    <row r="565" spans="2:13" x14ac:dyDescent="0.25">
      <c r="B565" t="s">
        <v>2195</v>
      </c>
      <c r="C565" t="s">
        <v>139</v>
      </c>
      <c r="F565" t="s">
        <v>280</v>
      </c>
      <c r="H565" t="s">
        <v>2194</v>
      </c>
      <c r="L565" s="1">
        <v>42773</v>
      </c>
      <c r="M565" s="1">
        <v>42828</v>
      </c>
    </row>
    <row r="566" spans="2:13" x14ac:dyDescent="0.25">
      <c r="B566" t="s">
        <v>2193</v>
      </c>
      <c r="C566" t="s">
        <v>139</v>
      </c>
      <c r="F566" t="s">
        <v>136</v>
      </c>
      <c r="H566" t="s">
        <v>2194</v>
      </c>
      <c r="L566" s="1">
        <v>42768</v>
      </c>
      <c r="M566" s="1">
        <v>42851</v>
      </c>
    </row>
    <row r="567" spans="2:13" x14ac:dyDescent="0.25">
      <c r="B567" t="s">
        <v>2192</v>
      </c>
      <c r="C567" t="s">
        <v>139</v>
      </c>
      <c r="F567" t="s">
        <v>280</v>
      </c>
      <c r="H567" t="s">
        <v>2191</v>
      </c>
      <c r="L567" s="1">
        <v>42800</v>
      </c>
      <c r="M567" s="1">
        <v>42842</v>
      </c>
    </row>
    <row r="568" spans="2:13" x14ac:dyDescent="0.25">
      <c r="B568" t="s">
        <v>2190</v>
      </c>
      <c r="C568" t="s">
        <v>0</v>
      </c>
      <c r="D568" t="s">
        <v>1</v>
      </c>
      <c r="E568">
        <v>656447</v>
      </c>
      <c r="F568" t="s">
        <v>280</v>
      </c>
      <c r="H568" t="s">
        <v>2191</v>
      </c>
      <c r="L568" s="1">
        <v>42409</v>
      </c>
      <c r="M568" s="1">
        <v>42641</v>
      </c>
    </row>
    <row r="569" spans="2:13" x14ac:dyDescent="0.25">
      <c r="B569" t="s">
        <v>2189</v>
      </c>
      <c r="C569" t="s">
        <v>139</v>
      </c>
      <c r="F569" t="s">
        <v>397</v>
      </c>
      <c r="H569" t="s">
        <v>2188</v>
      </c>
      <c r="L569" s="1">
        <v>42845</v>
      </c>
      <c r="M569" s="1">
        <v>42878</v>
      </c>
    </row>
    <row r="570" spans="2:13" x14ac:dyDescent="0.25">
      <c r="B570" t="s">
        <v>2187</v>
      </c>
      <c r="C570" t="s">
        <v>0</v>
      </c>
      <c r="D570" t="s">
        <v>1</v>
      </c>
      <c r="E570">
        <v>657203</v>
      </c>
      <c r="F570" t="s">
        <v>397</v>
      </c>
      <c r="H570" t="s">
        <v>2188</v>
      </c>
      <c r="L570" s="1">
        <v>42611</v>
      </c>
      <c r="M570" s="1">
        <v>42667</v>
      </c>
    </row>
    <row r="571" spans="2:13" x14ac:dyDescent="0.25">
      <c r="B571" t="s">
        <v>2186</v>
      </c>
      <c r="C571" t="s">
        <v>0</v>
      </c>
      <c r="D571" t="s">
        <v>1</v>
      </c>
      <c r="E571">
        <v>650625</v>
      </c>
      <c r="F571" t="s">
        <v>397</v>
      </c>
      <c r="H571" t="s">
        <v>2184</v>
      </c>
      <c r="L571" s="1">
        <v>42411</v>
      </c>
      <c r="M571" s="1">
        <v>42438</v>
      </c>
    </row>
    <row r="572" spans="2:13" x14ac:dyDescent="0.25">
      <c r="B572" t="s">
        <v>2185</v>
      </c>
      <c r="C572" t="s">
        <v>100</v>
      </c>
      <c r="D572" t="s">
        <v>50</v>
      </c>
      <c r="E572">
        <v>650569</v>
      </c>
      <c r="F572" t="s">
        <v>163</v>
      </c>
      <c r="H572" t="s">
        <v>2184</v>
      </c>
      <c r="L572" s="1">
        <v>42353</v>
      </c>
    </row>
    <row r="573" spans="2:13" x14ac:dyDescent="0.25">
      <c r="B573" t="s">
        <v>2183</v>
      </c>
      <c r="C573" t="s">
        <v>0</v>
      </c>
      <c r="D573" t="s">
        <v>1</v>
      </c>
      <c r="E573">
        <v>650614</v>
      </c>
      <c r="F573" t="s">
        <v>397</v>
      </c>
      <c r="H573" t="s">
        <v>2184</v>
      </c>
      <c r="L573" s="1">
        <v>42354</v>
      </c>
      <c r="M573" s="1">
        <v>42438</v>
      </c>
    </row>
    <row r="574" spans="2:13" x14ac:dyDescent="0.25">
      <c r="B574" t="s">
        <v>2181</v>
      </c>
      <c r="C574" t="s">
        <v>0</v>
      </c>
      <c r="D574" t="s">
        <v>1</v>
      </c>
      <c r="E574">
        <v>656394</v>
      </c>
      <c r="F574" t="s">
        <v>397</v>
      </c>
      <c r="H574" t="s">
        <v>2182</v>
      </c>
      <c r="L574" s="1">
        <v>42579</v>
      </c>
      <c r="M574" s="1">
        <v>42639</v>
      </c>
    </row>
    <row r="575" spans="2:13" x14ac:dyDescent="0.25">
      <c r="B575" t="s">
        <v>2180</v>
      </c>
      <c r="C575" t="s">
        <v>0</v>
      </c>
      <c r="D575" t="s">
        <v>1</v>
      </c>
      <c r="E575">
        <v>643771</v>
      </c>
      <c r="F575" t="s">
        <v>280</v>
      </c>
      <c r="H575" t="s">
        <v>2178</v>
      </c>
      <c r="L575" s="1">
        <v>41974</v>
      </c>
      <c r="M575" s="1">
        <v>42220</v>
      </c>
    </row>
    <row r="576" spans="2:13" x14ac:dyDescent="0.25">
      <c r="B576" t="s">
        <v>2179</v>
      </c>
      <c r="C576" t="s">
        <v>100</v>
      </c>
      <c r="D576" t="s">
        <v>50</v>
      </c>
      <c r="E576">
        <v>632856</v>
      </c>
      <c r="F576" t="s">
        <v>280</v>
      </c>
      <c r="H576" t="s">
        <v>2178</v>
      </c>
      <c r="L576" s="1">
        <v>41942</v>
      </c>
    </row>
    <row r="577" spans="2:13" x14ac:dyDescent="0.25">
      <c r="B577" t="s">
        <v>2177</v>
      </c>
      <c r="C577" t="s">
        <v>100</v>
      </c>
      <c r="D577" t="s">
        <v>50</v>
      </c>
      <c r="E577">
        <v>642638</v>
      </c>
      <c r="F577" t="s">
        <v>397</v>
      </c>
      <c r="H577" t="s">
        <v>2178</v>
      </c>
      <c r="L577" s="1">
        <v>41940</v>
      </c>
    </row>
    <row r="578" spans="2:13" x14ac:dyDescent="0.25">
      <c r="B578" t="s">
        <v>2175</v>
      </c>
      <c r="C578" t="s">
        <v>0</v>
      </c>
      <c r="D578" t="s">
        <v>1</v>
      </c>
      <c r="E578">
        <v>659737</v>
      </c>
      <c r="F578" t="s">
        <v>397</v>
      </c>
      <c r="H578" t="s">
        <v>2176</v>
      </c>
      <c r="L578" s="1">
        <v>42712</v>
      </c>
      <c r="M578" s="1">
        <v>42745</v>
      </c>
    </row>
    <row r="579" spans="2:13" x14ac:dyDescent="0.25">
      <c r="B579" t="s">
        <v>2173</v>
      </c>
      <c r="C579" t="s">
        <v>0</v>
      </c>
      <c r="D579" t="s">
        <v>1</v>
      </c>
      <c r="E579">
        <v>656421</v>
      </c>
      <c r="F579" t="s">
        <v>397</v>
      </c>
      <c r="H579" t="s">
        <v>2174</v>
      </c>
      <c r="L579" s="1">
        <v>42579</v>
      </c>
      <c r="M579" s="1">
        <v>42640</v>
      </c>
    </row>
    <row r="580" spans="2:13" x14ac:dyDescent="0.25">
      <c r="B580" t="s">
        <v>2171</v>
      </c>
      <c r="C580" t="s">
        <v>0</v>
      </c>
      <c r="D580" t="s">
        <v>1</v>
      </c>
      <c r="E580">
        <v>664186</v>
      </c>
      <c r="F580" t="s">
        <v>136</v>
      </c>
      <c r="H580" t="s">
        <v>2172</v>
      </c>
      <c r="L580" s="1">
        <v>42780</v>
      </c>
      <c r="M580" s="1">
        <v>42886</v>
      </c>
    </row>
    <row r="581" spans="2:13" x14ac:dyDescent="0.25">
      <c r="B581" t="s">
        <v>2169</v>
      </c>
      <c r="C581" t="s">
        <v>0</v>
      </c>
      <c r="D581" t="s">
        <v>1</v>
      </c>
      <c r="E581">
        <v>657204</v>
      </c>
      <c r="F581" t="s">
        <v>397</v>
      </c>
      <c r="H581" t="s">
        <v>2170</v>
      </c>
      <c r="L581" s="1">
        <v>42607</v>
      </c>
      <c r="M581" s="1">
        <v>42667</v>
      </c>
    </row>
    <row r="582" spans="2:13" x14ac:dyDescent="0.25">
      <c r="B582" t="s">
        <v>2167</v>
      </c>
      <c r="C582" t="s">
        <v>0</v>
      </c>
      <c r="D582" t="s">
        <v>1</v>
      </c>
      <c r="E582">
        <v>654230</v>
      </c>
      <c r="F582" t="s">
        <v>280</v>
      </c>
      <c r="H582" t="s">
        <v>2168</v>
      </c>
      <c r="L582" s="1">
        <v>42298</v>
      </c>
      <c r="M582" s="1">
        <v>42564</v>
      </c>
    </row>
    <row r="583" spans="2:13" x14ac:dyDescent="0.25">
      <c r="B583" t="s">
        <v>2166</v>
      </c>
      <c r="C583" t="s">
        <v>0</v>
      </c>
      <c r="D583" t="s">
        <v>1</v>
      </c>
      <c r="E583">
        <v>655944</v>
      </c>
      <c r="F583" t="s">
        <v>397</v>
      </c>
      <c r="H583" t="s">
        <v>2165</v>
      </c>
      <c r="L583" s="1">
        <v>42430</v>
      </c>
      <c r="M583" s="1">
        <v>42621</v>
      </c>
    </row>
    <row r="584" spans="2:13" x14ac:dyDescent="0.25">
      <c r="B584" t="s">
        <v>2164</v>
      </c>
      <c r="C584" t="s">
        <v>100</v>
      </c>
      <c r="D584" t="s">
        <v>50</v>
      </c>
      <c r="E584">
        <v>654615</v>
      </c>
      <c r="F584" t="s">
        <v>280</v>
      </c>
      <c r="H584" t="s">
        <v>2165</v>
      </c>
      <c r="L584" s="1">
        <v>42409</v>
      </c>
    </row>
    <row r="585" spans="2:13" x14ac:dyDescent="0.25">
      <c r="B585" t="s">
        <v>2162</v>
      </c>
      <c r="C585" t="s">
        <v>0</v>
      </c>
      <c r="D585" t="s">
        <v>1</v>
      </c>
      <c r="E585">
        <v>655943</v>
      </c>
      <c r="F585" t="s">
        <v>397</v>
      </c>
      <c r="H585" t="s">
        <v>2163</v>
      </c>
      <c r="L585" s="1">
        <v>42430</v>
      </c>
      <c r="M585" s="1">
        <v>42621</v>
      </c>
    </row>
    <row r="586" spans="2:13" x14ac:dyDescent="0.25">
      <c r="B586" t="s">
        <v>2161</v>
      </c>
      <c r="C586" t="s">
        <v>76</v>
      </c>
      <c r="F586" t="s">
        <v>397</v>
      </c>
      <c r="H586" t="s">
        <v>2160</v>
      </c>
      <c r="L586" s="1">
        <v>42702</v>
      </c>
      <c r="M586" s="1">
        <v>42787</v>
      </c>
    </row>
    <row r="587" spans="2:13" x14ac:dyDescent="0.25">
      <c r="B587" t="s">
        <v>2159</v>
      </c>
      <c r="C587" t="s">
        <v>100</v>
      </c>
      <c r="D587" t="s">
        <v>50</v>
      </c>
      <c r="E587">
        <v>647470</v>
      </c>
      <c r="F587" t="s">
        <v>280</v>
      </c>
      <c r="H587" t="s">
        <v>2160</v>
      </c>
      <c r="L587" s="1">
        <v>42298</v>
      </c>
    </row>
    <row r="588" spans="2:13" x14ac:dyDescent="0.25">
      <c r="B588" t="s">
        <v>2158</v>
      </c>
      <c r="C588" t="s">
        <v>76</v>
      </c>
      <c r="F588" t="s">
        <v>136</v>
      </c>
      <c r="H588" t="s">
        <v>2157</v>
      </c>
      <c r="L588" s="1">
        <v>42755</v>
      </c>
      <c r="M588" s="1">
        <v>42787</v>
      </c>
    </row>
    <row r="589" spans="2:13" x14ac:dyDescent="0.25">
      <c r="B589" t="s">
        <v>2156</v>
      </c>
      <c r="C589" t="s">
        <v>100</v>
      </c>
      <c r="D589" t="s">
        <v>50</v>
      </c>
      <c r="E589">
        <v>659364</v>
      </c>
      <c r="F589" t="s">
        <v>280</v>
      </c>
      <c r="H589" t="s">
        <v>2157</v>
      </c>
      <c r="L589" s="1">
        <v>42262</v>
      </c>
    </row>
    <row r="590" spans="2:13" x14ac:dyDescent="0.25">
      <c r="B590" t="s">
        <v>2154</v>
      </c>
      <c r="C590" t="s">
        <v>0</v>
      </c>
      <c r="D590" t="s">
        <v>1</v>
      </c>
      <c r="E590">
        <v>645945</v>
      </c>
      <c r="F590" t="s">
        <v>280</v>
      </c>
      <c r="H590" t="s">
        <v>2155</v>
      </c>
      <c r="L590" s="1">
        <v>42187</v>
      </c>
      <c r="M590" s="1">
        <v>42289</v>
      </c>
    </row>
    <row r="591" spans="2:13" x14ac:dyDescent="0.25">
      <c r="B591" t="s">
        <v>2152</v>
      </c>
      <c r="C591" t="s">
        <v>0</v>
      </c>
      <c r="D591" t="s">
        <v>1</v>
      </c>
      <c r="E591">
        <v>648254</v>
      </c>
      <c r="F591" t="s">
        <v>280</v>
      </c>
      <c r="H591" t="s">
        <v>2153</v>
      </c>
      <c r="L591" s="1">
        <v>42321</v>
      </c>
      <c r="M591" s="1">
        <v>42373</v>
      </c>
    </row>
    <row r="592" spans="2:13" x14ac:dyDescent="0.25">
      <c r="B592" t="s">
        <v>2150</v>
      </c>
      <c r="C592" t="s">
        <v>0</v>
      </c>
      <c r="D592" t="s">
        <v>1</v>
      </c>
      <c r="E592">
        <v>659736</v>
      </c>
      <c r="F592" t="s">
        <v>397</v>
      </c>
      <c r="H592" t="s">
        <v>2151</v>
      </c>
      <c r="L592" s="1">
        <v>42703</v>
      </c>
      <c r="M592" s="1">
        <v>42745</v>
      </c>
    </row>
    <row r="593" spans="2:13" x14ac:dyDescent="0.25">
      <c r="B593" t="s">
        <v>2148</v>
      </c>
      <c r="C593" t="s">
        <v>76</v>
      </c>
      <c r="D593" t="s">
        <v>1</v>
      </c>
      <c r="E593">
        <v>648599</v>
      </c>
      <c r="F593" t="s">
        <v>280</v>
      </c>
      <c r="H593" t="s">
        <v>2149</v>
      </c>
      <c r="L593" s="1">
        <v>42321</v>
      </c>
    </row>
    <row r="594" spans="2:13" x14ac:dyDescent="0.25">
      <c r="B594" t="s">
        <v>2146</v>
      </c>
      <c r="C594" t="s">
        <v>0</v>
      </c>
      <c r="D594" t="s">
        <v>1</v>
      </c>
      <c r="E594">
        <v>646292</v>
      </c>
      <c r="F594" t="s">
        <v>280</v>
      </c>
      <c r="H594" t="s">
        <v>2147</v>
      </c>
      <c r="L594" s="1">
        <v>42251</v>
      </c>
      <c r="M594" s="1">
        <v>42299</v>
      </c>
    </row>
    <row r="595" spans="2:13" x14ac:dyDescent="0.25">
      <c r="B595" t="s">
        <v>2145</v>
      </c>
      <c r="C595" t="s">
        <v>76</v>
      </c>
      <c r="F595" t="s">
        <v>136</v>
      </c>
      <c r="H595" t="s">
        <v>2144</v>
      </c>
      <c r="L595" s="1">
        <v>42790</v>
      </c>
    </row>
    <row r="596" spans="2:13" x14ac:dyDescent="0.25">
      <c r="B596" t="s">
        <v>2143</v>
      </c>
      <c r="C596" t="s">
        <v>76</v>
      </c>
      <c r="F596" t="s">
        <v>136</v>
      </c>
      <c r="H596" t="s">
        <v>2144</v>
      </c>
      <c r="L596" s="1">
        <v>42755</v>
      </c>
      <c r="M596" s="1">
        <v>42787</v>
      </c>
    </row>
    <row r="597" spans="2:13" x14ac:dyDescent="0.25">
      <c r="B597" t="s">
        <v>2141</v>
      </c>
      <c r="C597" t="s">
        <v>76</v>
      </c>
      <c r="F597" t="s">
        <v>397</v>
      </c>
      <c r="H597" t="s">
        <v>2142</v>
      </c>
      <c r="L597" s="1">
        <v>42702</v>
      </c>
      <c r="M597" s="1">
        <v>42787</v>
      </c>
    </row>
    <row r="598" spans="2:13" x14ac:dyDescent="0.25">
      <c r="B598" t="s">
        <v>2139</v>
      </c>
      <c r="C598" t="s">
        <v>0</v>
      </c>
      <c r="D598" t="s">
        <v>1</v>
      </c>
      <c r="E598">
        <v>660477</v>
      </c>
      <c r="F598" t="s">
        <v>136</v>
      </c>
      <c r="H598" t="s">
        <v>2140</v>
      </c>
      <c r="L598" s="1">
        <v>42718</v>
      </c>
      <c r="M598" s="1">
        <v>42767</v>
      </c>
    </row>
    <row r="599" spans="2:13" x14ac:dyDescent="0.25">
      <c r="L599" s="1"/>
      <c r="M599" s="1"/>
    </row>
    <row r="600" spans="2:13" x14ac:dyDescent="0.25">
      <c r="L600" s="1"/>
      <c r="M600" s="1"/>
    </row>
    <row r="601" spans="2:13" x14ac:dyDescent="0.25">
      <c r="L601" s="1"/>
      <c r="M601" s="1"/>
    </row>
    <row r="602" spans="2:13" x14ac:dyDescent="0.25">
      <c r="L602" s="1"/>
      <c r="M602" s="1"/>
    </row>
    <row r="603" spans="2:13" x14ac:dyDescent="0.25">
      <c r="L603" s="1"/>
      <c r="M603" s="1"/>
    </row>
    <row r="604" spans="2:13" x14ac:dyDescent="0.25">
      <c r="B604" t="s">
        <v>2136</v>
      </c>
      <c r="C604" t="s">
        <v>0</v>
      </c>
      <c r="D604" t="s">
        <v>1</v>
      </c>
      <c r="E604">
        <v>664149</v>
      </c>
      <c r="F604" t="s">
        <v>44</v>
      </c>
      <c r="H604" t="s">
        <v>2137</v>
      </c>
      <c r="L604" s="1">
        <v>42640</v>
      </c>
      <c r="M604" s="1">
        <v>42886</v>
      </c>
    </row>
    <row r="605" spans="2:13" x14ac:dyDescent="0.25">
      <c r="B605" t="s">
        <v>2134</v>
      </c>
      <c r="C605" t="s">
        <v>0</v>
      </c>
      <c r="D605" t="s">
        <v>1</v>
      </c>
      <c r="E605">
        <v>659506</v>
      </c>
      <c r="F605" t="s">
        <v>163</v>
      </c>
      <c r="H605" t="s">
        <v>2135</v>
      </c>
      <c r="L605" s="1">
        <v>42639</v>
      </c>
      <c r="M605" s="1">
        <v>42739</v>
      </c>
    </row>
    <row r="606" spans="2:13" x14ac:dyDescent="0.25">
      <c r="B606" t="s">
        <v>2132</v>
      </c>
      <c r="C606" t="s">
        <v>0</v>
      </c>
      <c r="D606" t="s">
        <v>1</v>
      </c>
      <c r="E606">
        <v>657902</v>
      </c>
      <c r="F606" t="s">
        <v>136</v>
      </c>
      <c r="H606" t="s">
        <v>2133</v>
      </c>
      <c r="L606" s="1">
        <v>42614</v>
      </c>
      <c r="M606" s="1">
        <v>42688</v>
      </c>
    </row>
    <row r="607" spans="2:13" x14ac:dyDescent="0.25">
      <c r="B607" t="s">
        <v>2130</v>
      </c>
      <c r="C607" t="s">
        <v>0</v>
      </c>
      <c r="D607" t="s">
        <v>1</v>
      </c>
      <c r="E607">
        <v>656182</v>
      </c>
      <c r="F607" t="s">
        <v>163</v>
      </c>
      <c r="H607" t="s">
        <v>2131</v>
      </c>
      <c r="L607" s="1">
        <v>42590</v>
      </c>
      <c r="M607" s="1">
        <v>42632</v>
      </c>
    </row>
    <row r="608" spans="2:13" x14ac:dyDescent="0.25">
      <c r="B608" t="s">
        <v>2128</v>
      </c>
      <c r="C608" t="s">
        <v>0</v>
      </c>
      <c r="D608" t="s">
        <v>1</v>
      </c>
      <c r="E608">
        <v>651989</v>
      </c>
      <c r="F608" t="s">
        <v>280</v>
      </c>
      <c r="H608" t="s">
        <v>2129</v>
      </c>
      <c r="L608" s="1">
        <v>42391</v>
      </c>
      <c r="M608" s="1">
        <v>42481</v>
      </c>
    </row>
    <row r="609" spans="2:13" x14ac:dyDescent="0.25">
      <c r="B609" t="s">
        <v>2126</v>
      </c>
      <c r="C609" t="s">
        <v>0</v>
      </c>
      <c r="D609" t="s">
        <v>1</v>
      </c>
      <c r="E609">
        <v>651858</v>
      </c>
      <c r="F609" t="s">
        <v>280</v>
      </c>
      <c r="H609" t="s">
        <v>2127</v>
      </c>
      <c r="L609" s="1">
        <v>42391</v>
      </c>
      <c r="M609" s="1">
        <v>42478</v>
      </c>
    </row>
    <row r="610" spans="2:13" x14ac:dyDescent="0.25">
      <c r="B610" t="s">
        <v>2124</v>
      </c>
      <c r="C610" t="s">
        <v>76</v>
      </c>
      <c r="F610" t="s">
        <v>163</v>
      </c>
      <c r="H610" t="s">
        <v>2125</v>
      </c>
      <c r="L610" s="1">
        <v>42794</v>
      </c>
    </row>
    <row r="611" spans="2:13" x14ac:dyDescent="0.25">
      <c r="B611" t="s">
        <v>2122</v>
      </c>
      <c r="C611" t="s">
        <v>0</v>
      </c>
      <c r="D611" t="s">
        <v>1</v>
      </c>
      <c r="E611">
        <v>662065</v>
      </c>
      <c r="F611" t="s">
        <v>136</v>
      </c>
      <c r="H611" t="s">
        <v>2123</v>
      </c>
      <c r="L611" s="1">
        <v>42712</v>
      </c>
      <c r="M611" s="1">
        <v>42815</v>
      </c>
    </row>
    <row r="612" spans="2:13" x14ac:dyDescent="0.25">
      <c r="B612" t="s">
        <v>2121</v>
      </c>
      <c r="C612" t="s">
        <v>139</v>
      </c>
      <c r="F612" t="s">
        <v>136</v>
      </c>
      <c r="H612" t="s">
        <v>2119</v>
      </c>
      <c r="L612" s="1">
        <v>42870</v>
      </c>
    </row>
    <row r="613" spans="2:13" x14ac:dyDescent="0.25">
      <c r="B613" t="s">
        <v>2120</v>
      </c>
      <c r="C613" t="s">
        <v>139</v>
      </c>
      <c r="F613" t="s">
        <v>136</v>
      </c>
      <c r="H613" t="s">
        <v>2119</v>
      </c>
      <c r="L613" s="1">
        <v>42857</v>
      </c>
      <c r="M613" s="1">
        <v>42899</v>
      </c>
    </row>
    <row r="614" spans="2:13" x14ac:dyDescent="0.25">
      <c r="B614" t="s">
        <v>2118</v>
      </c>
      <c r="C614" t="s">
        <v>0</v>
      </c>
      <c r="D614" t="s">
        <v>1</v>
      </c>
      <c r="E614">
        <v>660466</v>
      </c>
      <c r="F614" t="s">
        <v>136</v>
      </c>
      <c r="H614" t="s">
        <v>2119</v>
      </c>
      <c r="L614" s="1">
        <v>42691</v>
      </c>
      <c r="M614" s="1">
        <v>42767</v>
      </c>
    </row>
    <row r="615" spans="2:13" x14ac:dyDescent="0.25">
      <c r="B615" t="s">
        <v>2117</v>
      </c>
      <c r="C615" t="s">
        <v>0</v>
      </c>
      <c r="D615" t="s">
        <v>1</v>
      </c>
      <c r="E615">
        <v>664148</v>
      </c>
      <c r="F615" t="s">
        <v>44</v>
      </c>
      <c r="H615" t="s">
        <v>2114</v>
      </c>
      <c r="L615" s="1">
        <v>42640</v>
      </c>
      <c r="M615" s="1">
        <v>42886</v>
      </c>
    </row>
    <row r="616" spans="2:13" x14ac:dyDescent="0.25">
      <c r="B616" t="s">
        <v>2116</v>
      </c>
      <c r="C616" t="s">
        <v>0</v>
      </c>
      <c r="D616" t="s">
        <v>1</v>
      </c>
      <c r="E616">
        <v>664148</v>
      </c>
      <c r="F616" t="s">
        <v>1771</v>
      </c>
      <c r="H616" t="s">
        <v>2114</v>
      </c>
      <c r="L616" s="1">
        <v>42606</v>
      </c>
      <c r="M616" s="1">
        <v>42886</v>
      </c>
    </row>
    <row r="617" spans="2:13" x14ac:dyDescent="0.25">
      <c r="B617" t="s">
        <v>2115</v>
      </c>
      <c r="C617" t="s">
        <v>100</v>
      </c>
      <c r="D617" t="s">
        <v>50</v>
      </c>
      <c r="E617">
        <v>655681</v>
      </c>
      <c r="F617" t="s">
        <v>1771</v>
      </c>
      <c r="H617" t="s">
        <v>2114</v>
      </c>
      <c r="L617" s="1">
        <v>42583</v>
      </c>
    </row>
    <row r="618" spans="2:13" x14ac:dyDescent="0.25">
      <c r="B618" t="s">
        <v>2112</v>
      </c>
      <c r="C618" t="s">
        <v>100</v>
      </c>
      <c r="D618" t="s">
        <v>50</v>
      </c>
      <c r="E618">
        <v>655102</v>
      </c>
      <c r="F618" t="s">
        <v>2113</v>
      </c>
      <c r="H618" t="s">
        <v>2114</v>
      </c>
      <c r="L618" s="1">
        <v>42472</v>
      </c>
    </row>
    <row r="619" spans="2:13" x14ac:dyDescent="0.25">
      <c r="B619" t="s">
        <v>2110</v>
      </c>
      <c r="C619" t="s">
        <v>0</v>
      </c>
      <c r="D619" t="s">
        <v>1</v>
      </c>
      <c r="E619">
        <v>663991</v>
      </c>
      <c r="F619" t="s">
        <v>136</v>
      </c>
      <c r="H619" t="s">
        <v>2111</v>
      </c>
      <c r="L619" s="1">
        <v>42821</v>
      </c>
      <c r="M619" s="1">
        <v>42880</v>
      </c>
    </row>
    <row r="620" spans="2:13" x14ac:dyDescent="0.25">
      <c r="B620" t="s">
        <v>2108</v>
      </c>
      <c r="C620" t="s">
        <v>139</v>
      </c>
      <c r="F620" t="s">
        <v>136</v>
      </c>
      <c r="H620" t="s">
        <v>2109</v>
      </c>
      <c r="L620" s="1">
        <v>42857</v>
      </c>
      <c r="M620" s="1">
        <v>42899</v>
      </c>
    </row>
    <row r="621" spans="2:13" x14ac:dyDescent="0.25">
      <c r="B621" t="s">
        <v>2106</v>
      </c>
      <c r="C621" t="s">
        <v>139</v>
      </c>
      <c r="F621" t="s">
        <v>44</v>
      </c>
      <c r="H621" t="s">
        <v>2107</v>
      </c>
      <c r="L621" s="1">
        <v>42838</v>
      </c>
      <c r="M621" s="1">
        <v>42898</v>
      </c>
    </row>
    <row r="622" spans="2:13" x14ac:dyDescent="0.25">
      <c r="B622" t="s">
        <v>2105</v>
      </c>
      <c r="C622" t="s">
        <v>139</v>
      </c>
      <c r="F622" t="s">
        <v>163</v>
      </c>
      <c r="H622" t="s">
        <v>2104</v>
      </c>
      <c r="L622" s="1">
        <v>42794</v>
      </c>
      <c r="M622" s="1">
        <v>42891</v>
      </c>
    </row>
    <row r="623" spans="2:13" x14ac:dyDescent="0.25">
      <c r="B623" t="s">
        <v>2103</v>
      </c>
      <c r="C623" t="s">
        <v>139</v>
      </c>
      <c r="F623" t="s">
        <v>397</v>
      </c>
      <c r="H623" t="s">
        <v>2104</v>
      </c>
      <c r="L623" s="1">
        <v>42796</v>
      </c>
      <c r="M623" s="1">
        <v>42849</v>
      </c>
    </row>
    <row r="624" spans="2:13" x14ac:dyDescent="0.25">
      <c r="B624" t="s">
        <v>2101</v>
      </c>
      <c r="C624" t="s">
        <v>140</v>
      </c>
      <c r="F624" t="s">
        <v>280</v>
      </c>
      <c r="H624" t="s">
        <v>2102</v>
      </c>
      <c r="L624" s="1">
        <v>42578</v>
      </c>
      <c r="M624" s="1">
        <v>42905</v>
      </c>
    </row>
    <row r="625" spans="2:13" x14ac:dyDescent="0.25">
      <c r="B625" t="s">
        <v>2100</v>
      </c>
      <c r="C625" t="s">
        <v>139</v>
      </c>
      <c r="F625" t="s">
        <v>280</v>
      </c>
      <c r="H625" t="s">
        <v>2099</v>
      </c>
      <c r="L625" s="1">
        <v>42811</v>
      </c>
      <c r="M625" s="1">
        <v>42899</v>
      </c>
    </row>
    <row r="626" spans="2:13" x14ac:dyDescent="0.25">
      <c r="B626" t="s">
        <v>2098</v>
      </c>
      <c r="C626" t="s">
        <v>139</v>
      </c>
      <c r="F626" t="s">
        <v>1771</v>
      </c>
      <c r="H626" t="s">
        <v>2099</v>
      </c>
      <c r="L626" s="1">
        <v>42639</v>
      </c>
      <c r="M626" s="1">
        <v>42891</v>
      </c>
    </row>
    <row r="627" spans="2:13" x14ac:dyDescent="0.25">
      <c r="B627" t="s">
        <v>2097</v>
      </c>
      <c r="C627" t="s">
        <v>0</v>
      </c>
      <c r="D627" t="s">
        <v>1</v>
      </c>
      <c r="E627">
        <v>652789</v>
      </c>
      <c r="F627" t="s">
        <v>280</v>
      </c>
      <c r="H627" t="s">
        <v>2096</v>
      </c>
      <c r="L627" s="1">
        <v>42439</v>
      </c>
      <c r="M627" s="1">
        <v>42509</v>
      </c>
    </row>
    <row r="628" spans="2:13" x14ac:dyDescent="0.25">
      <c r="B628" t="s">
        <v>2095</v>
      </c>
      <c r="C628" t="s">
        <v>0</v>
      </c>
      <c r="D628" t="s">
        <v>1</v>
      </c>
      <c r="E628">
        <v>647746</v>
      </c>
      <c r="F628" t="s">
        <v>280</v>
      </c>
      <c r="H628" t="s">
        <v>2096</v>
      </c>
      <c r="L628" s="1">
        <v>42251</v>
      </c>
      <c r="M628" s="1">
        <v>42355</v>
      </c>
    </row>
    <row r="629" spans="2:13" x14ac:dyDescent="0.25">
      <c r="B629" t="s">
        <v>2094</v>
      </c>
      <c r="C629" t="s">
        <v>139</v>
      </c>
      <c r="F629" t="s">
        <v>1831</v>
      </c>
      <c r="H629" t="s">
        <v>2093</v>
      </c>
      <c r="L629" s="1">
        <v>42815</v>
      </c>
      <c r="M629" s="1">
        <v>42898</v>
      </c>
    </row>
    <row r="630" spans="2:13" x14ac:dyDescent="0.25">
      <c r="B630" t="s">
        <v>2092</v>
      </c>
      <c r="C630" t="s">
        <v>140</v>
      </c>
      <c r="F630" t="s">
        <v>280</v>
      </c>
      <c r="H630" t="s">
        <v>2093</v>
      </c>
      <c r="L630" s="1">
        <v>42578</v>
      </c>
      <c r="M630" s="1">
        <v>42905</v>
      </c>
    </row>
    <row r="631" spans="2:13" x14ac:dyDescent="0.25">
      <c r="B631" t="s">
        <v>2091</v>
      </c>
      <c r="C631" t="s">
        <v>139</v>
      </c>
      <c r="F631" t="s">
        <v>397</v>
      </c>
      <c r="H631" t="s">
        <v>2090</v>
      </c>
      <c r="L631" s="1">
        <v>42796</v>
      </c>
      <c r="M631" s="1">
        <v>42849</v>
      </c>
    </row>
    <row r="632" spans="2:13" x14ac:dyDescent="0.25">
      <c r="B632" t="s">
        <v>2089</v>
      </c>
      <c r="C632" t="s">
        <v>139</v>
      </c>
      <c r="F632" t="s">
        <v>163</v>
      </c>
      <c r="H632" t="s">
        <v>2090</v>
      </c>
      <c r="L632" s="1">
        <v>42776</v>
      </c>
      <c r="M632" s="1">
        <v>42891</v>
      </c>
    </row>
    <row r="633" spans="2:13" x14ac:dyDescent="0.25">
      <c r="B633" t="s">
        <v>2087</v>
      </c>
      <c r="C633" t="s">
        <v>139</v>
      </c>
      <c r="F633" t="s">
        <v>2088</v>
      </c>
      <c r="H633" t="s">
        <v>2086</v>
      </c>
      <c r="L633" s="1">
        <v>42808</v>
      </c>
      <c r="M633" s="1">
        <v>42885</v>
      </c>
    </row>
    <row r="634" spans="2:13" x14ac:dyDescent="0.25">
      <c r="B634" t="s">
        <v>2085</v>
      </c>
      <c r="C634" t="s">
        <v>140</v>
      </c>
      <c r="F634" t="s">
        <v>1771</v>
      </c>
      <c r="H634" t="s">
        <v>2086</v>
      </c>
      <c r="L634" s="1">
        <v>42697</v>
      </c>
      <c r="M634" s="1">
        <v>42905</v>
      </c>
    </row>
    <row r="635" spans="2:13" x14ac:dyDescent="0.25">
      <c r="B635" t="s">
        <v>2084</v>
      </c>
      <c r="C635" t="s">
        <v>0</v>
      </c>
      <c r="D635" t="s">
        <v>1</v>
      </c>
      <c r="E635">
        <v>660254</v>
      </c>
      <c r="F635" t="s">
        <v>280</v>
      </c>
      <c r="H635" t="s">
        <v>2083</v>
      </c>
      <c r="L635" s="1">
        <v>42689</v>
      </c>
      <c r="M635" s="1">
        <v>42761</v>
      </c>
    </row>
    <row r="636" spans="2:13" x14ac:dyDescent="0.25">
      <c r="B636" t="s">
        <v>2082</v>
      </c>
      <c r="C636" t="s">
        <v>0</v>
      </c>
      <c r="D636" t="s">
        <v>1</v>
      </c>
      <c r="E636">
        <v>647253</v>
      </c>
      <c r="F636" t="s">
        <v>280</v>
      </c>
      <c r="H636" t="s">
        <v>2083</v>
      </c>
      <c r="L636" s="1">
        <v>42248</v>
      </c>
      <c r="M636" s="1">
        <v>42338</v>
      </c>
    </row>
    <row r="637" spans="2:13" x14ac:dyDescent="0.25">
      <c r="B637" t="s">
        <v>2080</v>
      </c>
      <c r="C637" t="s">
        <v>0</v>
      </c>
      <c r="D637" t="s">
        <v>1</v>
      </c>
      <c r="E637">
        <v>656759</v>
      </c>
      <c r="F637" t="s">
        <v>163</v>
      </c>
      <c r="H637" t="s">
        <v>2081</v>
      </c>
      <c r="L637" s="1">
        <v>42576</v>
      </c>
      <c r="M637" s="1">
        <v>42653</v>
      </c>
    </row>
    <row r="638" spans="2:13" x14ac:dyDescent="0.25">
      <c r="B638" t="s">
        <v>2078</v>
      </c>
      <c r="C638" t="s">
        <v>0</v>
      </c>
      <c r="D638" t="s">
        <v>1</v>
      </c>
      <c r="E638">
        <v>654711</v>
      </c>
      <c r="F638" t="s">
        <v>163</v>
      </c>
      <c r="H638" t="s">
        <v>2079</v>
      </c>
      <c r="L638" s="1">
        <v>42425</v>
      </c>
      <c r="M638" s="1">
        <v>42579</v>
      </c>
    </row>
    <row r="639" spans="2:13" x14ac:dyDescent="0.25">
      <c r="B639" t="s">
        <v>2076</v>
      </c>
      <c r="C639" t="s">
        <v>0</v>
      </c>
      <c r="D639" t="s">
        <v>1</v>
      </c>
      <c r="E639">
        <v>651859</v>
      </c>
      <c r="F639" t="s">
        <v>280</v>
      </c>
      <c r="H639" t="s">
        <v>2077</v>
      </c>
      <c r="L639" s="1">
        <v>42394</v>
      </c>
      <c r="M639" s="1">
        <v>42478</v>
      </c>
    </row>
    <row r="640" spans="2:13" x14ac:dyDescent="0.25">
      <c r="B640" t="s">
        <v>2074</v>
      </c>
      <c r="C640" t="s">
        <v>0</v>
      </c>
      <c r="D640" t="s">
        <v>1</v>
      </c>
      <c r="E640">
        <v>656373</v>
      </c>
      <c r="F640" t="s">
        <v>280</v>
      </c>
      <c r="H640" t="s">
        <v>2075</v>
      </c>
      <c r="L640" s="1">
        <v>42285</v>
      </c>
      <c r="M640" s="1">
        <v>42639</v>
      </c>
    </row>
    <row r="641" spans="2:13" x14ac:dyDescent="0.25">
      <c r="B641" t="s">
        <v>2072</v>
      </c>
      <c r="C641" t="s">
        <v>0</v>
      </c>
      <c r="D641" t="s">
        <v>1</v>
      </c>
      <c r="E641">
        <v>659334</v>
      </c>
      <c r="F641" t="s">
        <v>1831</v>
      </c>
      <c r="H641" t="s">
        <v>2073</v>
      </c>
      <c r="L641" s="1">
        <v>42702</v>
      </c>
      <c r="M641" s="1">
        <v>42732</v>
      </c>
    </row>
    <row r="642" spans="2:13" x14ac:dyDescent="0.25">
      <c r="B642" t="s">
        <v>2071</v>
      </c>
      <c r="C642" t="s">
        <v>0</v>
      </c>
      <c r="D642" t="s">
        <v>1</v>
      </c>
      <c r="E642">
        <v>652788</v>
      </c>
      <c r="F642" t="s">
        <v>280</v>
      </c>
      <c r="H642" t="s">
        <v>2069</v>
      </c>
      <c r="L642" s="1">
        <v>42439</v>
      </c>
      <c r="M642" s="1">
        <v>42509</v>
      </c>
    </row>
    <row r="643" spans="2:13" x14ac:dyDescent="0.25">
      <c r="B643" t="s">
        <v>2070</v>
      </c>
      <c r="C643" t="s">
        <v>0</v>
      </c>
      <c r="D643" t="s">
        <v>1</v>
      </c>
      <c r="E643">
        <v>653550</v>
      </c>
      <c r="F643" t="s">
        <v>280</v>
      </c>
      <c r="H643" t="s">
        <v>2069</v>
      </c>
      <c r="L643" s="1">
        <v>42374</v>
      </c>
      <c r="M643" s="1">
        <v>42537</v>
      </c>
    </row>
    <row r="644" spans="2:13" x14ac:dyDescent="0.25">
      <c r="B644" t="s">
        <v>2068</v>
      </c>
      <c r="C644" t="s">
        <v>0</v>
      </c>
      <c r="D644" t="s">
        <v>1</v>
      </c>
      <c r="E644">
        <v>647274</v>
      </c>
      <c r="F644" t="s">
        <v>280</v>
      </c>
      <c r="H644" t="s">
        <v>2069</v>
      </c>
      <c r="L644" s="1">
        <v>42272</v>
      </c>
      <c r="M644" s="1">
        <v>42338</v>
      </c>
    </row>
    <row r="645" spans="2:13" x14ac:dyDescent="0.25">
      <c r="B645" t="s">
        <v>2066</v>
      </c>
      <c r="C645" t="s">
        <v>0</v>
      </c>
      <c r="D645" t="s">
        <v>1</v>
      </c>
      <c r="E645">
        <v>660456</v>
      </c>
      <c r="F645" t="s">
        <v>280</v>
      </c>
      <c r="H645" t="s">
        <v>2067</v>
      </c>
      <c r="L645" s="1">
        <v>42593</v>
      </c>
      <c r="M645" s="1">
        <v>42767</v>
      </c>
    </row>
    <row r="646" spans="2:13" x14ac:dyDescent="0.25">
      <c r="B646" t="s">
        <v>2065</v>
      </c>
      <c r="C646" t="s">
        <v>76</v>
      </c>
      <c r="F646" t="s">
        <v>280</v>
      </c>
      <c r="H646" t="s">
        <v>2063</v>
      </c>
      <c r="L646" s="1">
        <v>42717</v>
      </c>
      <c r="M646" s="1">
        <v>42878</v>
      </c>
    </row>
    <row r="647" spans="2:13" x14ac:dyDescent="0.25">
      <c r="B647" t="s">
        <v>2064</v>
      </c>
      <c r="C647" t="s">
        <v>0</v>
      </c>
      <c r="D647" t="s">
        <v>1</v>
      </c>
      <c r="E647">
        <v>654235</v>
      </c>
      <c r="F647" t="s">
        <v>280</v>
      </c>
      <c r="H647" t="s">
        <v>2063</v>
      </c>
      <c r="L647" s="1">
        <v>42453</v>
      </c>
      <c r="M647" s="1">
        <v>42564</v>
      </c>
    </row>
    <row r="648" spans="2:13" x14ac:dyDescent="0.25">
      <c r="B648" t="s">
        <v>2062</v>
      </c>
      <c r="C648" t="s">
        <v>100</v>
      </c>
      <c r="D648" t="s">
        <v>50</v>
      </c>
      <c r="E648">
        <v>651254</v>
      </c>
      <c r="F648" t="s">
        <v>280</v>
      </c>
      <c r="H648" t="s">
        <v>2063</v>
      </c>
      <c r="L648" s="1">
        <v>42285</v>
      </c>
    </row>
    <row r="649" spans="2:13" x14ac:dyDescent="0.25">
      <c r="B649" t="s">
        <v>2060</v>
      </c>
      <c r="C649" t="s">
        <v>0</v>
      </c>
      <c r="D649" t="s">
        <v>1</v>
      </c>
      <c r="E649">
        <v>654710</v>
      </c>
      <c r="F649" t="s">
        <v>163</v>
      </c>
      <c r="H649" t="s">
        <v>2061</v>
      </c>
      <c r="L649" s="1">
        <v>42425</v>
      </c>
      <c r="M649" s="1">
        <v>42579</v>
      </c>
    </row>
    <row r="650" spans="2:13" x14ac:dyDescent="0.25">
      <c r="B650" t="s">
        <v>2058</v>
      </c>
      <c r="C650" t="s">
        <v>0</v>
      </c>
      <c r="D650" t="s">
        <v>1</v>
      </c>
      <c r="E650">
        <v>651195</v>
      </c>
      <c r="F650" t="s">
        <v>163</v>
      </c>
      <c r="H650" t="s">
        <v>2059</v>
      </c>
      <c r="L650" s="1">
        <v>42345</v>
      </c>
      <c r="M650" s="1">
        <v>42457</v>
      </c>
    </row>
    <row r="651" spans="2:13" x14ac:dyDescent="0.25">
      <c r="L651" s="1"/>
      <c r="M651" s="1"/>
    </row>
    <row r="652" spans="2:13" x14ac:dyDescent="0.25">
      <c r="L652" s="1"/>
      <c r="M652" s="1"/>
    </row>
    <row r="653" spans="2:13" x14ac:dyDescent="0.25">
      <c r="L653" s="1"/>
      <c r="M653" s="1"/>
    </row>
    <row r="654" spans="2:13" x14ac:dyDescent="0.25">
      <c r="B654" t="s">
        <v>2057</v>
      </c>
      <c r="C654" t="s">
        <v>0</v>
      </c>
      <c r="D654" t="s">
        <v>1</v>
      </c>
      <c r="E654">
        <v>645774</v>
      </c>
      <c r="F654" t="s">
        <v>280</v>
      </c>
      <c r="H654" t="s">
        <v>2056</v>
      </c>
      <c r="L654" s="1">
        <v>42053</v>
      </c>
      <c r="M654" s="1">
        <v>42282</v>
      </c>
    </row>
    <row r="655" spans="2:13" x14ac:dyDescent="0.25">
      <c r="B655" t="s">
        <v>2055</v>
      </c>
      <c r="C655" t="s">
        <v>100</v>
      </c>
      <c r="D655" t="s">
        <v>50</v>
      </c>
      <c r="E655">
        <v>640834</v>
      </c>
      <c r="F655" t="s">
        <v>332</v>
      </c>
      <c r="H655" t="s">
        <v>2056</v>
      </c>
      <c r="L655" s="1">
        <v>42024</v>
      </c>
    </row>
    <row r="656" spans="2:13" x14ac:dyDescent="0.25">
      <c r="B656" t="s">
        <v>2054</v>
      </c>
      <c r="C656" t="s">
        <v>100</v>
      </c>
      <c r="D656" t="s">
        <v>50</v>
      </c>
      <c r="E656">
        <v>661754</v>
      </c>
      <c r="F656" t="s">
        <v>136</v>
      </c>
      <c r="H656" t="s">
        <v>2052</v>
      </c>
      <c r="L656" s="1">
        <v>42765</v>
      </c>
    </row>
    <row r="657" spans="2:13" x14ac:dyDescent="0.25">
      <c r="B657" t="s">
        <v>2053</v>
      </c>
      <c r="C657" t="s">
        <v>0</v>
      </c>
      <c r="D657" t="s">
        <v>1</v>
      </c>
      <c r="E657">
        <v>660744</v>
      </c>
      <c r="F657" t="s">
        <v>136</v>
      </c>
      <c r="H657" t="s">
        <v>2052</v>
      </c>
      <c r="L657" s="1">
        <v>42724</v>
      </c>
      <c r="M657" s="1">
        <v>42772</v>
      </c>
    </row>
    <row r="658" spans="2:13" x14ac:dyDescent="0.25">
      <c r="B658" t="s">
        <v>2051</v>
      </c>
      <c r="C658" t="s">
        <v>0</v>
      </c>
      <c r="D658" t="s">
        <v>1</v>
      </c>
      <c r="E658">
        <v>645790</v>
      </c>
      <c r="F658" t="s">
        <v>332</v>
      </c>
      <c r="H658" t="s">
        <v>2052</v>
      </c>
      <c r="L658" s="1">
        <v>42226</v>
      </c>
      <c r="M658" s="1">
        <v>42282</v>
      </c>
    </row>
    <row r="659" spans="2:13" x14ac:dyDescent="0.25">
      <c r="B659" t="s">
        <v>2049</v>
      </c>
      <c r="C659" t="s">
        <v>0</v>
      </c>
      <c r="D659" t="s">
        <v>1</v>
      </c>
      <c r="E659">
        <v>644973</v>
      </c>
      <c r="F659" t="s">
        <v>44</v>
      </c>
      <c r="H659" t="s">
        <v>2050</v>
      </c>
      <c r="L659" s="1">
        <v>42214</v>
      </c>
      <c r="M659" s="1">
        <v>42256</v>
      </c>
    </row>
    <row r="660" spans="2:13" x14ac:dyDescent="0.25">
      <c r="B660" t="s">
        <v>2048</v>
      </c>
      <c r="C660" t="s">
        <v>0</v>
      </c>
      <c r="D660" t="s">
        <v>1</v>
      </c>
      <c r="E660">
        <v>651739</v>
      </c>
      <c r="F660" t="s">
        <v>136</v>
      </c>
      <c r="H660" t="s">
        <v>2047</v>
      </c>
      <c r="L660" s="1">
        <v>42402</v>
      </c>
      <c r="M660" s="1">
        <v>42473</v>
      </c>
    </row>
    <row r="661" spans="2:13" x14ac:dyDescent="0.25">
      <c r="B661" t="s">
        <v>2046</v>
      </c>
      <c r="C661" t="s">
        <v>0</v>
      </c>
      <c r="D661" t="s">
        <v>1</v>
      </c>
      <c r="E661">
        <v>640964</v>
      </c>
      <c r="F661" t="s">
        <v>332</v>
      </c>
      <c r="H661" t="s">
        <v>2047</v>
      </c>
      <c r="L661" s="1">
        <v>42047</v>
      </c>
      <c r="M661" s="1">
        <v>42145</v>
      </c>
    </row>
    <row r="662" spans="2:13" x14ac:dyDescent="0.25">
      <c r="B662" t="s">
        <v>2044</v>
      </c>
      <c r="C662" t="s">
        <v>0</v>
      </c>
      <c r="D662" t="s">
        <v>1</v>
      </c>
      <c r="E662">
        <v>640965</v>
      </c>
      <c r="F662" t="s">
        <v>332</v>
      </c>
      <c r="H662" t="s">
        <v>2045</v>
      </c>
      <c r="L662" s="1">
        <v>42047</v>
      </c>
      <c r="M662" s="1">
        <v>42145</v>
      </c>
    </row>
    <row r="663" spans="2:13" x14ac:dyDescent="0.25">
      <c r="B663" t="s">
        <v>2042</v>
      </c>
      <c r="C663" t="s">
        <v>0</v>
      </c>
      <c r="D663" t="s">
        <v>1</v>
      </c>
      <c r="E663">
        <v>645775</v>
      </c>
      <c r="F663" t="s">
        <v>280</v>
      </c>
      <c r="H663" t="s">
        <v>2043</v>
      </c>
      <c r="L663" s="1">
        <v>42053</v>
      </c>
      <c r="M663" s="1">
        <v>42282</v>
      </c>
    </row>
    <row r="664" spans="2:13" x14ac:dyDescent="0.25">
      <c r="B664" t="s">
        <v>2040</v>
      </c>
      <c r="C664" t="s">
        <v>0</v>
      </c>
      <c r="D664" t="s">
        <v>1</v>
      </c>
      <c r="E664">
        <v>656739</v>
      </c>
      <c r="F664" t="s">
        <v>280</v>
      </c>
      <c r="H664" t="s">
        <v>2041</v>
      </c>
      <c r="L664" s="1">
        <v>42177</v>
      </c>
      <c r="M664" s="1">
        <v>42653</v>
      </c>
    </row>
    <row r="665" spans="2:13" x14ac:dyDescent="0.25">
      <c r="B665" t="s">
        <v>2039</v>
      </c>
      <c r="C665" t="s">
        <v>0</v>
      </c>
      <c r="D665" t="s">
        <v>1</v>
      </c>
      <c r="E665">
        <v>656761</v>
      </c>
      <c r="F665" t="s">
        <v>136</v>
      </c>
      <c r="H665" t="s">
        <v>2037</v>
      </c>
      <c r="L665" s="1">
        <v>42579</v>
      </c>
      <c r="M665" s="1">
        <v>42653</v>
      </c>
    </row>
    <row r="666" spans="2:13" x14ac:dyDescent="0.25">
      <c r="B666" t="s">
        <v>2038</v>
      </c>
      <c r="C666" t="s">
        <v>100</v>
      </c>
      <c r="D666" t="s">
        <v>50</v>
      </c>
      <c r="E666">
        <v>651013</v>
      </c>
      <c r="F666" t="s">
        <v>332</v>
      </c>
      <c r="H666" t="s">
        <v>2037</v>
      </c>
      <c r="L666" s="1">
        <v>42178</v>
      </c>
    </row>
    <row r="667" spans="2:13" x14ac:dyDescent="0.25">
      <c r="B667" t="s">
        <v>2036</v>
      </c>
      <c r="C667" t="s">
        <v>100</v>
      </c>
      <c r="D667" t="s">
        <v>50</v>
      </c>
      <c r="E667">
        <v>654280</v>
      </c>
      <c r="F667" t="s">
        <v>280</v>
      </c>
      <c r="H667" t="s">
        <v>2037</v>
      </c>
      <c r="L667" s="1">
        <v>42177</v>
      </c>
    </row>
    <row r="668" spans="2:13" x14ac:dyDescent="0.25">
      <c r="B668" t="s">
        <v>2034</v>
      </c>
      <c r="C668" t="s">
        <v>0</v>
      </c>
      <c r="D668" t="s">
        <v>1</v>
      </c>
      <c r="E668">
        <v>647020</v>
      </c>
      <c r="F668" t="s">
        <v>280</v>
      </c>
      <c r="H668" t="s">
        <v>2035</v>
      </c>
      <c r="L668" s="1">
        <v>42177</v>
      </c>
      <c r="M668" s="1">
        <v>42327</v>
      </c>
    </row>
    <row r="669" spans="2:13" x14ac:dyDescent="0.25">
      <c r="B669" t="s">
        <v>2032</v>
      </c>
      <c r="C669" t="s">
        <v>0</v>
      </c>
      <c r="D669" t="s">
        <v>1</v>
      </c>
      <c r="E669">
        <v>642695</v>
      </c>
      <c r="F669" t="s">
        <v>280</v>
      </c>
      <c r="H669" t="s">
        <v>2033</v>
      </c>
      <c r="L669" s="1">
        <v>42110</v>
      </c>
      <c r="M669" s="1">
        <v>42191</v>
      </c>
    </row>
    <row r="670" spans="2:13" x14ac:dyDescent="0.25">
      <c r="B670" t="s">
        <v>2030</v>
      </c>
      <c r="C670" t="s">
        <v>0</v>
      </c>
      <c r="D670" t="s">
        <v>1</v>
      </c>
      <c r="E670">
        <v>642702</v>
      </c>
      <c r="F670" t="s">
        <v>332</v>
      </c>
      <c r="H670" t="s">
        <v>2031</v>
      </c>
      <c r="L670" s="1">
        <v>42139</v>
      </c>
      <c r="M670" s="1">
        <v>42191</v>
      </c>
    </row>
    <row r="671" spans="2:13" x14ac:dyDescent="0.25">
      <c r="B671" t="s">
        <v>2028</v>
      </c>
      <c r="C671" t="s">
        <v>0</v>
      </c>
      <c r="D671" t="s">
        <v>1</v>
      </c>
      <c r="E671">
        <v>650790</v>
      </c>
      <c r="F671" t="s">
        <v>136</v>
      </c>
      <c r="H671" t="s">
        <v>2029</v>
      </c>
      <c r="L671" s="1">
        <v>42401</v>
      </c>
      <c r="M671" s="1">
        <v>42443</v>
      </c>
    </row>
    <row r="672" spans="2:13" x14ac:dyDescent="0.25">
      <c r="B672" t="s">
        <v>2026</v>
      </c>
      <c r="C672" t="s">
        <v>0</v>
      </c>
      <c r="D672" t="s">
        <v>1</v>
      </c>
      <c r="E672">
        <v>642696</v>
      </c>
      <c r="F672" t="s">
        <v>280</v>
      </c>
      <c r="H672" t="s">
        <v>2027</v>
      </c>
      <c r="L672" s="1">
        <v>42110</v>
      </c>
      <c r="M672" s="1">
        <v>42191</v>
      </c>
    </row>
    <row r="673" spans="2:13" x14ac:dyDescent="0.25">
      <c r="B673" t="s">
        <v>2024</v>
      </c>
      <c r="C673" t="s">
        <v>0</v>
      </c>
      <c r="D673" t="s">
        <v>1</v>
      </c>
      <c r="E673">
        <v>647147</v>
      </c>
      <c r="F673" t="s">
        <v>280</v>
      </c>
      <c r="H673" t="s">
        <v>2025</v>
      </c>
      <c r="L673" s="1">
        <v>42177</v>
      </c>
      <c r="M673" s="1">
        <v>42331</v>
      </c>
    </row>
    <row r="674" spans="2:13" x14ac:dyDescent="0.25">
      <c r="B674" t="s">
        <v>2022</v>
      </c>
      <c r="C674" t="s">
        <v>0</v>
      </c>
      <c r="D674" t="s">
        <v>1</v>
      </c>
      <c r="E674">
        <v>654859</v>
      </c>
      <c r="F674" t="s">
        <v>332</v>
      </c>
      <c r="H674" t="s">
        <v>2023</v>
      </c>
      <c r="L674" s="1">
        <v>42178</v>
      </c>
      <c r="M674" s="1">
        <v>42584</v>
      </c>
    </row>
    <row r="675" spans="2:13" x14ac:dyDescent="0.25">
      <c r="B675" t="s">
        <v>2020</v>
      </c>
      <c r="C675" t="s">
        <v>0</v>
      </c>
      <c r="D675" t="s">
        <v>1</v>
      </c>
      <c r="E675">
        <v>646428</v>
      </c>
      <c r="F675" t="s">
        <v>147</v>
      </c>
      <c r="H675" t="s">
        <v>2021</v>
      </c>
      <c r="L675" s="1">
        <v>42235</v>
      </c>
      <c r="M675" s="1">
        <v>42305</v>
      </c>
    </row>
    <row r="676" spans="2:13" x14ac:dyDescent="0.25">
      <c r="B676" t="s">
        <v>2018</v>
      </c>
      <c r="C676" t="s">
        <v>0</v>
      </c>
      <c r="D676" t="s">
        <v>1</v>
      </c>
      <c r="E676">
        <v>648584</v>
      </c>
      <c r="F676" t="s">
        <v>1997</v>
      </c>
      <c r="H676" t="s">
        <v>2019</v>
      </c>
      <c r="L676" s="1">
        <v>42249</v>
      </c>
      <c r="M676" s="1">
        <v>42382</v>
      </c>
    </row>
    <row r="677" spans="2:13" x14ac:dyDescent="0.25">
      <c r="B677" t="s">
        <v>2016</v>
      </c>
      <c r="C677" t="s">
        <v>0</v>
      </c>
      <c r="D677" t="s">
        <v>1</v>
      </c>
      <c r="E677">
        <v>645464</v>
      </c>
      <c r="F677" t="s">
        <v>280</v>
      </c>
      <c r="H677" t="s">
        <v>2017</v>
      </c>
      <c r="L677" s="1">
        <v>42128</v>
      </c>
      <c r="M677" s="1">
        <v>42271</v>
      </c>
    </row>
    <row r="678" spans="2:13" x14ac:dyDescent="0.25">
      <c r="B678" t="s">
        <v>2015</v>
      </c>
      <c r="C678" t="s">
        <v>0</v>
      </c>
      <c r="D678" t="s">
        <v>1</v>
      </c>
      <c r="E678">
        <v>641689</v>
      </c>
      <c r="F678" t="s">
        <v>280</v>
      </c>
      <c r="H678" t="s">
        <v>2014</v>
      </c>
      <c r="L678" s="1">
        <v>42052</v>
      </c>
      <c r="M678" s="1">
        <v>42164</v>
      </c>
    </row>
    <row r="679" spans="2:13" x14ac:dyDescent="0.25">
      <c r="B679" t="s">
        <v>2013</v>
      </c>
      <c r="C679" t="s">
        <v>100</v>
      </c>
      <c r="D679" t="s">
        <v>50</v>
      </c>
      <c r="E679">
        <v>640887</v>
      </c>
      <c r="F679" t="s">
        <v>332</v>
      </c>
      <c r="H679" t="s">
        <v>2014</v>
      </c>
      <c r="L679" s="1">
        <v>41989</v>
      </c>
    </row>
    <row r="680" spans="2:13" x14ac:dyDescent="0.25">
      <c r="B680" t="s">
        <v>2011</v>
      </c>
      <c r="C680" t="s">
        <v>100</v>
      </c>
      <c r="D680" t="s">
        <v>50</v>
      </c>
      <c r="E680">
        <v>642777</v>
      </c>
      <c r="F680" t="s">
        <v>280</v>
      </c>
      <c r="H680" t="s">
        <v>2012</v>
      </c>
      <c r="L680" s="1">
        <v>42145</v>
      </c>
    </row>
    <row r="681" spans="2:13" x14ac:dyDescent="0.25">
      <c r="B681" t="s">
        <v>2009</v>
      </c>
      <c r="C681" t="s">
        <v>0</v>
      </c>
      <c r="D681" t="s">
        <v>1</v>
      </c>
      <c r="E681">
        <v>643125</v>
      </c>
      <c r="F681" t="s">
        <v>280</v>
      </c>
      <c r="H681" t="s">
        <v>2010</v>
      </c>
      <c r="L681" s="1">
        <v>42158</v>
      </c>
      <c r="M681" s="1">
        <v>42200</v>
      </c>
    </row>
    <row r="682" spans="2:13" x14ac:dyDescent="0.25">
      <c r="B682" t="s">
        <v>2007</v>
      </c>
      <c r="C682" t="s">
        <v>0</v>
      </c>
      <c r="D682" t="s">
        <v>1</v>
      </c>
      <c r="E682">
        <v>643611</v>
      </c>
      <c r="F682" t="s">
        <v>280</v>
      </c>
      <c r="H682" t="s">
        <v>2008</v>
      </c>
      <c r="L682" s="1">
        <v>42158</v>
      </c>
      <c r="M682" s="1">
        <v>42215</v>
      </c>
    </row>
    <row r="683" spans="2:13" x14ac:dyDescent="0.25">
      <c r="B683" t="s">
        <v>2005</v>
      </c>
      <c r="C683" t="s">
        <v>0</v>
      </c>
      <c r="D683" t="s">
        <v>1</v>
      </c>
      <c r="E683">
        <v>643253</v>
      </c>
      <c r="F683" t="s">
        <v>280</v>
      </c>
      <c r="H683" t="s">
        <v>2006</v>
      </c>
      <c r="L683" s="1">
        <v>42145</v>
      </c>
      <c r="M683" s="1">
        <v>42205</v>
      </c>
    </row>
    <row r="684" spans="2:13" x14ac:dyDescent="0.25">
      <c r="B684" t="s">
        <v>2004</v>
      </c>
      <c r="C684" t="s">
        <v>0</v>
      </c>
      <c r="D684" t="s">
        <v>1</v>
      </c>
      <c r="E684">
        <v>641618</v>
      </c>
      <c r="F684" t="s">
        <v>280</v>
      </c>
      <c r="H684" t="s">
        <v>2003</v>
      </c>
      <c r="L684" s="1">
        <v>42052</v>
      </c>
      <c r="M684" s="1">
        <v>42163</v>
      </c>
    </row>
    <row r="685" spans="2:13" x14ac:dyDescent="0.25">
      <c r="B685" t="s">
        <v>2002</v>
      </c>
      <c r="C685" t="s">
        <v>100</v>
      </c>
      <c r="D685" t="s">
        <v>50</v>
      </c>
      <c r="E685">
        <v>640886</v>
      </c>
      <c r="F685" t="s">
        <v>332</v>
      </c>
      <c r="H685" t="s">
        <v>2003</v>
      </c>
      <c r="L685" s="1">
        <v>41989</v>
      </c>
    </row>
    <row r="686" spans="2:13" x14ac:dyDescent="0.25">
      <c r="B686" t="s">
        <v>2001</v>
      </c>
      <c r="C686" t="s">
        <v>0</v>
      </c>
      <c r="D686" t="s">
        <v>1</v>
      </c>
      <c r="E686">
        <v>644909</v>
      </c>
      <c r="F686" t="s">
        <v>280</v>
      </c>
      <c r="H686" t="s">
        <v>2000</v>
      </c>
      <c r="L686" s="1">
        <v>42128</v>
      </c>
      <c r="M686" s="1">
        <v>42255</v>
      </c>
    </row>
    <row r="687" spans="2:13" x14ac:dyDescent="0.25">
      <c r="B687" t="s">
        <v>1999</v>
      </c>
      <c r="C687" t="s">
        <v>100</v>
      </c>
      <c r="D687" t="s">
        <v>50</v>
      </c>
      <c r="E687">
        <v>644428</v>
      </c>
      <c r="F687" t="s">
        <v>332</v>
      </c>
      <c r="H687" t="s">
        <v>2000</v>
      </c>
      <c r="L687" s="1">
        <v>42080</v>
      </c>
    </row>
    <row r="688" spans="2:13" x14ac:dyDescent="0.25">
      <c r="B688" t="s">
        <v>1996</v>
      </c>
      <c r="C688" t="s">
        <v>0</v>
      </c>
      <c r="D688" t="s">
        <v>1</v>
      </c>
      <c r="E688">
        <v>648583</v>
      </c>
      <c r="F688" t="s">
        <v>1997</v>
      </c>
      <c r="H688" t="s">
        <v>1998</v>
      </c>
      <c r="L688" s="1">
        <v>42249</v>
      </c>
      <c r="M688" s="1">
        <v>42382</v>
      </c>
    </row>
    <row r="689" spans="2:13" x14ac:dyDescent="0.25">
      <c r="B689" t="s">
        <v>1994</v>
      </c>
      <c r="C689" t="s">
        <v>0</v>
      </c>
      <c r="D689" t="s">
        <v>1</v>
      </c>
      <c r="E689">
        <v>646427</v>
      </c>
      <c r="F689" t="s">
        <v>147</v>
      </c>
      <c r="H689" t="s">
        <v>1995</v>
      </c>
      <c r="L689" s="1">
        <v>42235</v>
      </c>
      <c r="M689" s="1">
        <v>42305</v>
      </c>
    </row>
    <row r="696" spans="2:13" x14ac:dyDescent="0.25">
      <c r="B696" t="s">
        <v>2057</v>
      </c>
      <c r="C696" t="s">
        <v>0</v>
      </c>
      <c r="D696" t="s">
        <v>1</v>
      </c>
      <c r="E696">
        <v>645774</v>
      </c>
      <c r="F696" t="s">
        <v>280</v>
      </c>
      <c r="H696" t="s">
        <v>2056</v>
      </c>
      <c r="L696" s="1">
        <v>42053</v>
      </c>
      <c r="M696" s="1">
        <v>42282</v>
      </c>
    </row>
    <row r="697" spans="2:13" x14ac:dyDescent="0.25">
      <c r="B697" t="s">
        <v>2055</v>
      </c>
      <c r="C697" t="s">
        <v>100</v>
      </c>
      <c r="D697" t="s">
        <v>50</v>
      </c>
      <c r="E697">
        <v>640834</v>
      </c>
      <c r="F697" t="s">
        <v>332</v>
      </c>
      <c r="H697" t="s">
        <v>2056</v>
      </c>
      <c r="L697" s="1">
        <v>42024</v>
      </c>
    </row>
    <row r="698" spans="2:13" x14ac:dyDescent="0.25">
      <c r="B698" t="s">
        <v>2054</v>
      </c>
      <c r="C698" t="s">
        <v>100</v>
      </c>
      <c r="D698" t="s">
        <v>50</v>
      </c>
      <c r="E698">
        <v>661754</v>
      </c>
      <c r="F698" t="s">
        <v>136</v>
      </c>
      <c r="H698" t="s">
        <v>2052</v>
      </c>
      <c r="L698" s="1">
        <v>42765</v>
      </c>
    </row>
    <row r="699" spans="2:13" x14ac:dyDescent="0.25">
      <c r="B699" t="s">
        <v>2053</v>
      </c>
      <c r="C699" t="s">
        <v>0</v>
      </c>
      <c r="D699" t="s">
        <v>1</v>
      </c>
      <c r="E699">
        <v>660744</v>
      </c>
      <c r="F699" t="s">
        <v>136</v>
      </c>
      <c r="H699" t="s">
        <v>2052</v>
      </c>
      <c r="L699" s="1">
        <v>42724</v>
      </c>
      <c r="M699" s="1">
        <v>42772</v>
      </c>
    </row>
    <row r="700" spans="2:13" x14ac:dyDescent="0.25">
      <c r="B700" t="s">
        <v>2051</v>
      </c>
      <c r="C700" t="s">
        <v>0</v>
      </c>
      <c r="D700" t="s">
        <v>1</v>
      </c>
      <c r="E700">
        <v>645790</v>
      </c>
      <c r="F700" t="s">
        <v>332</v>
      </c>
      <c r="H700" t="s">
        <v>2052</v>
      </c>
      <c r="L700" s="1">
        <v>42226</v>
      </c>
      <c r="M700" s="1">
        <v>42282</v>
      </c>
    </row>
    <row r="701" spans="2:13" x14ac:dyDescent="0.25">
      <c r="B701" t="s">
        <v>2049</v>
      </c>
      <c r="C701" t="s">
        <v>0</v>
      </c>
      <c r="D701" t="s">
        <v>1</v>
      </c>
      <c r="E701">
        <v>644973</v>
      </c>
      <c r="F701" t="s">
        <v>44</v>
      </c>
      <c r="H701" t="s">
        <v>2050</v>
      </c>
      <c r="L701" s="1">
        <v>42214</v>
      </c>
      <c r="M701" s="1">
        <v>42256</v>
      </c>
    </row>
    <row r="702" spans="2:13" x14ac:dyDescent="0.25">
      <c r="B702" t="s">
        <v>2048</v>
      </c>
      <c r="C702" t="s">
        <v>0</v>
      </c>
      <c r="D702" t="s">
        <v>1</v>
      </c>
      <c r="E702">
        <v>651739</v>
      </c>
      <c r="F702" t="s">
        <v>136</v>
      </c>
      <c r="H702" t="s">
        <v>2047</v>
      </c>
      <c r="L702" s="1">
        <v>42402</v>
      </c>
      <c r="M702" s="1">
        <v>42473</v>
      </c>
    </row>
    <row r="703" spans="2:13" x14ac:dyDescent="0.25">
      <c r="B703" t="s">
        <v>2046</v>
      </c>
      <c r="C703" t="s">
        <v>0</v>
      </c>
      <c r="D703" t="s">
        <v>1</v>
      </c>
      <c r="E703">
        <v>640964</v>
      </c>
      <c r="F703" t="s">
        <v>332</v>
      </c>
      <c r="H703" t="s">
        <v>2047</v>
      </c>
      <c r="L703" s="1">
        <v>42047</v>
      </c>
      <c r="M703" s="1">
        <v>42145</v>
      </c>
    </row>
    <row r="704" spans="2:13" x14ac:dyDescent="0.25">
      <c r="B704" t="s">
        <v>2044</v>
      </c>
      <c r="C704" t="s">
        <v>0</v>
      </c>
      <c r="D704" t="s">
        <v>1</v>
      </c>
      <c r="E704">
        <v>640965</v>
      </c>
      <c r="F704" t="s">
        <v>332</v>
      </c>
      <c r="H704" t="s">
        <v>2045</v>
      </c>
      <c r="L704" s="1">
        <v>42047</v>
      </c>
      <c r="M704" s="1">
        <v>42145</v>
      </c>
    </row>
    <row r="705" spans="2:13" x14ac:dyDescent="0.25">
      <c r="B705" t="s">
        <v>2042</v>
      </c>
      <c r="C705" t="s">
        <v>0</v>
      </c>
      <c r="D705" t="s">
        <v>1</v>
      </c>
      <c r="E705">
        <v>645775</v>
      </c>
      <c r="F705" t="s">
        <v>280</v>
      </c>
      <c r="H705" t="s">
        <v>2043</v>
      </c>
      <c r="L705" s="1">
        <v>42053</v>
      </c>
      <c r="M705" s="1">
        <v>42282</v>
      </c>
    </row>
    <row r="706" spans="2:13" x14ac:dyDescent="0.25">
      <c r="B706" t="s">
        <v>2040</v>
      </c>
      <c r="C706" t="s">
        <v>0</v>
      </c>
      <c r="D706" t="s">
        <v>1</v>
      </c>
      <c r="E706">
        <v>656739</v>
      </c>
      <c r="F706" t="s">
        <v>280</v>
      </c>
      <c r="H706" t="s">
        <v>2041</v>
      </c>
      <c r="L706" s="1">
        <v>42177</v>
      </c>
      <c r="M706" s="1">
        <v>42653</v>
      </c>
    </row>
    <row r="707" spans="2:13" x14ac:dyDescent="0.25">
      <c r="B707" t="s">
        <v>2039</v>
      </c>
      <c r="C707" t="s">
        <v>0</v>
      </c>
      <c r="D707" t="s">
        <v>1</v>
      </c>
      <c r="E707">
        <v>656761</v>
      </c>
      <c r="F707" t="s">
        <v>136</v>
      </c>
      <c r="H707" t="s">
        <v>2037</v>
      </c>
      <c r="L707" s="1">
        <v>42579</v>
      </c>
      <c r="M707" s="1">
        <v>42653</v>
      </c>
    </row>
    <row r="708" spans="2:13" x14ac:dyDescent="0.25">
      <c r="B708" t="s">
        <v>2038</v>
      </c>
      <c r="C708" t="s">
        <v>100</v>
      </c>
      <c r="D708" t="s">
        <v>50</v>
      </c>
      <c r="E708">
        <v>651013</v>
      </c>
      <c r="F708" t="s">
        <v>332</v>
      </c>
      <c r="H708" t="s">
        <v>2037</v>
      </c>
      <c r="L708" s="1">
        <v>42178</v>
      </c>
    </row>
    <row r="709" spans="2:13" x14ac:dyDescent="0.25">
      <c r="B709" t="s">
        <v>2036</v>
      </c>
      <c r="C709" t="s">
        <v>100</v>
      </c>
      <c r="D709" t="s">
        <v>50</v>
      </c>
      <c r="E709">
        <v>654280</v>
      </c>
      <c r="F709" t="s">
        <v>280</v>
      </c>
      <c r="H709" t="s">
        <v>2037</v>
      </c>
      <c r="L709" s="1">
        <v>42177</v>
      </c>
    </row>
    <row r="710" spans="2:13" x14ac:dyDescent="0.25">
      <c r="B710" t="s">
        <v>2034</v>
      </c>
      <c r="C710" t="s">
        <v>0</v>
      </c>
      <c r="D710" t="s">
        <v>1</v>
      </c>
      <c r="E710">
        <v>647020</v>
      </c>
      <c r="F710" t="s">
        <v>280</v>
      </c>
      <c r="H710" t="s">
        <v>2035</v>
      </c>
      <c r="L710" s="1">
        <v>42177</v>
      </c>
      <c r="M710" s="1">
        <v>42327</v>
      </c>
    </row>
    <row r="711" spans="2:13" x14ac:dyDescent="0.25">
      <c r="B711" t="s">
        <v>2032</v>
      </c>
      <c r="C711" t="s">
        <v>0</v>
      </c>
      <c r="D711" t="s">
        <v>1</v>
      </c>
      <c r="E711">
        <v>642695</v>
      </c>
      <c r="F711" t="s">
        <v>280</v>
      </c>
      <c r="H711" t="s">
        <v>2033</v>
      </c>
      <c r="L711" s="1">
        <v>42110</v>
      </c>
      <c r="M711" s="1">
        <v>42191</v>
      </c>
    </row>
    <row r="712" spans="2:13" x14ac:dyDescent="0.25">
      <c r="B712" t="s">
        <v>2030</v>
      </c>
      <c r="C712" t="s">
        <v>0</v>
      </c>
      <c r="D712" t="s">
        <v>1</v>
      </c>
      <c r="E712">
        <v>642702</v>
      </c>
      <c r="F712" t="s">
        <v>332</v>
      </c>
      <c r="H712" t="s">
        <v>2031</v>
      </c>
      <c r="L712" s="1">
        <v>42139</v>
      </c>
      <c r="M712" s="1">
        <v>42191</v>
      </c>
    </row>
    <row r="713" spans="2:13" x14ac:dyDescent="0.25">
      <c r="B713" t="s">
        <v>2028</v>
      </c>
      <c r="C713" t="s">
        <v>0</v>
      </c>
      <c r="D713" t="s">
        <v>1</v>
      </c>
      <c r="E713">
        <v>650790</v>
      </c>
      <c r="F713" t="s">
        <v>136</v>
      </c>
      <c r="H713" t="s">
        <v>2029</v>
      </c>
      <c r="L713" s="1">
        <v>42401</v>
      </c>
      <c r="M713" s="1">
        <v>42443</v>
      </c>
    </row>
    <row r="714" spans="2:13" x14ac:dyDescent="0.25">
      <c r="B714" t="s">
        <v>2026</v>
      </c>
      <c r="C714" t="s">
        <v>0</v>
      </c>
      <c r="D714" t="s">
        <v>1</v>
      </c>
      <c r="E714">
        <v>642696</v>
      </c>
      <c r="F714" t="s">
        <v>280</v>
      </c>
      <c r="H714" t="s">
        <v>2027</v>
      </c>
      <c r="L714" s="1">
        <v>42110</v>
      </c>
      <c r="M714" s="1">
        <v>42191</v>
      </c>
    </row>
    <row r="715" spans="2:13" x14ac:dyDescent="0.25">
      <c r="B715" t="s">
        <v>2024</v>
      </c>
      <c r="C715" t="s">
        <v>0</v>
      </c>
      <c r="D715" t="s">
        <v>1</v>
      </c>
      <c r="E715">
        <v>647147</v>
      </c>
      <c r="F715" t="s">
        <v>280</v>
      </c>
      <c r="H715" t="s">
        <v>2025</v>
      </c>
      <c r="L715" s="1">
        <v>42177</v>
      </c>
      <c r="M715" s="1">
        <v>42331</v>
      </c>
    </row>
    <row r="716" spans="2:13" x14ac:dyDescent="0.25">
      <c r="B716" t="s">
        <v>2022</v>
      </c>
      <c r="C716" t="s">
        <v>0</v>
      </c>
      <c r="D716" t="s">
        <v>1</v>
      </c>
      <c r="E716">
        <v>654859</v>
      </c>
      <c r="F716" t="s">
        <v>332</v>
      </c>
      <c r="H716" t="s">
        <v>2023</v>
      </c>
      <c r="L716" s="1">
        <v>42178</v>
      </c>
      <c r="M716" s="1">
        <v>42584</v>
      </c>
    </row>
    <row r="717" spans="2:13" x14ac:dyDescent="0.25">
      <c r="B717" t="s">
        <v>2020</v>
      </c>
      <c r="C717" t="s">
        <v>0</v>
      </c>
      <c r="D717" t="s">
        <v>1</v>
      </c>
      <c r="E717">
        <v>646428</v>
      </c>
      <c r="F717" t="s">
        <v>147</v>
      </c>
      <c r="H717" t="s">
        <v>2021</v>
      </c>
      <c r="L717" s="1">
        <v>42235</v>
      </c>
      <c r="M717" s="1">
        <v>42305</v>
      </c>
    </row>
    <row r="718" spans="2:13" x14ac:dyDescent="0.25">
      <c r="B718" t="s">
        <v>2018</v>
      </c>
      <c r="C718" t="s">
        <v>0</v>
      </c>
      <c r="D718" t="s">
        <v>1</v>
      </c>
      <c r="E718">
        <v>648584</v>
      </c>
      <c r="F718" t="s">
        <v>1997</v>
      </c>
      <c r="H718" t="s">
        <v>2019</v>
      </c>
      <c r="L718" s="1">
        <v>42249</v>
      </c>
      <c r="M718" s="1">
        <v>42382</v>
      </c>
    </row>
    <row r="719" spans="2:13" x14ac:dyDescent="0.25">
      <c r="B719" t="s">
        <v>2016</v>
      </c>
      <c r="C719" t="s">
        <v>0</v>
      </c>
      <c r="D719" t="s">
        <v>1</v>
      </c>
      <c r="E719">
        <v>645464</v>
      </c>
      <c r="F719" t="s">
        <v>280</v>
      </c>
      <c r="H719" t="s">
        <v>2017</v>
      </c>
      <c r="L719" s="1">
        <v>42128</v>
      </c>
      <c r="M719" s="1">
        <v>42271</v>
      </c>
    </row>
    <row r="720" spans="2:13" x14ac:dyDescent="0.25">
      <c r="B720" t="s">
        <v>2015</v>
      </c>
      <c r="C720" t="s">
        <v>0</v>
      </c>
      <c r="D720" t="s">
        <v>1</v>
      </c>
      <c r="E720">
        <v>641689</v>
      </c>
      <c r="F720" t="s">
        <v>280</v>
      </c>
      <c r="H720" t="s">
        <v>2014</v>
      </c>
      <c r="L720" s="1">
        <v>42052</v>
      </c>
      <c r="M720" s="1">
        <v>42164</v>
      </c>
    </row>
    <row r="721" spans="2:13" x14ac:dyDescent="0.25">
      <c r="B721" t="s">
        <v>2013</v>
      </c>
      <c r="C721" t="s">
        <v>100</v>
      </c>
      <c r="D721" t="s">
        <v>50</v>
      </c>
      <c r="E721">
        <v>640887</v>
      </c>
      <c r="F721" t="s">
        <v>332</v>
      </c>
      <c r="H721" t="s">
        <v>2014</v>
      </c>
      <c r="L721" s="1">
        <v>41989</v>
      </c>
    </row>
    <row r="722" spans="2:13" x14ac:dyDescent="0.25">
      <c r="B722" t="s">
        <v>2011</v>
      </c>
      <c r="C722" t="s">
        <v>100</v>
      </c>
      <c r="D722" t="s">
        <v>50</v>
      </c>
      <c r="E722">
        <v>642777</v>
      </c>
      <c r="F722" t="s">
        <v>280</v>
      </c>
      <c r="H722" t="s">
        <v>2012</v>
      </c>
      <c r="L722" s="1">
        <v>42145</v>
      </c>
    </row>
    <row r="723" spans="2:13" x14ac:dyDescent="0.25">
      <c r="B723" t="s">
        <v>2009</v>
      </c>
      <c r="C723" t="s">
        <v>0</v>
      </c>
      <c r="D723" t="s">
        <v>1</v>
      </c>
      <c r="E723">
        <v>643125</v>
      </c>
      <c r="F723" t="s">
        <v>280</v>
      </c>
      <c r="H723" t="s">
        <v>2010</v>
      </c>
      <c r="L723" s="1">
        <v>42158</v>
      </c>
      <c r="M723" s="1">
        <v>42200</v>
      </c>
    </row>
    <row r="724" spans="2:13" x14ac:dyDescent="0.25">
      <c r="B724" t="s">
        <v>2007</v>
      </c>
      <c r="C724" t="s">
        <v>0</v>
      </c>
      <c r="D724" t="s">
        <v>1</v>
      </c>
      <c r="E724">
        <v>643611</v>
      </c>
      <c r="F724" t="s">
        <v>280</v>
      </c>
      <c r="H724" t="s">
        <v>2008</v>
      </c>
      <c r="L724" s="1">
        <v>42158</v>
      </c>
      <c r="M724" s="1">
        <v>42215</v>
      </c>
    </row>
    <row r="725" spans="2:13" x14ac:dyDescent="0.25">
      <c r="B725" t="s">
        <v>2005</v>
      </c>
      <c r="C725" t="s">
        <v>0</v>
      </c>
      <c r="D725" t="s">
        <v>1</v>
      </c>
      <c r="E725">
        <v>643253</v>
      </c>
      <c r="F725" t="s">
        <v>280</v>
      </c>
      <c r="H725" t="s">
        <v>2006</v>
      </c>
      <c r="L725" s="1">
        <v>42145</v>
      </c>
      <c r="M725" s="1">
        <v>42205</v>
      </c>
    </row>
    <row r="726" spans="2:13" x14ac:dyDescent="0.25">
      <c r="B726" t="s">
        <v>2004</v>
      </c>
      <c r="C726" t="s">
        <v>0</v>
      </c>
      <c r="D726" t="s">
        <v>1</v>
      </c>
      <c r="E726">
        <v>641618</v>
      </c>
      <c r="F726" t="s">
        <v>280</v>
      </c>
      <c r="H726" t="s">
        <v>2003</v>
      </c>
      <c r="L726" s="1">
        <v>42052</v>
      </c>
      <c r="M726" s="1">
        <v>42163</v>
      </c>
    </row>
    <row r="727" spans="2:13" x14ac:dyDescent="0.25">
      <c r="B727" t="s">
        <v>2002</v>
      </c>
      <c r="C727" t="s">
        <v>100</v>
      </c>
      <c r="D727" t="s">
        <v>50</v>
      </c>
      <c r="E727">
        <v>640886</v>
      </c>
      <c r="F727" t="s">
        <v>332</v>
      </c>
      <c r="H727" t="s">
        <v>2003</v>
      </c>
      <c r="L727" s="1">
        <v>41989</v>
      </c>
    </row>
    <row r="728" spans="2:13" x14ac:dyDescent="0.25">
      <c r="B728" t="s">
        <v>2001</v>
      </c>
      <c r="C728" t="s">
        <v>0</v>
      </c>
      <c r="D728" t="s">
        <v>1</v>
      </c>
      <c r="E728">
        <v>644909</v>
      </c>
      <c r="F728" t="s">
        <v>280</v>
      </c>
      <c r="H728" t="s">
        <v>2000</v>
      </c>
      <c r="L728" s="1">
        <v>42128</v>
      </c>
      <c r="M728" s="1">
        <v>42255</v>
      </c>
    </row>
    <row r="729" spans="2:13" x14ac:dyDescent="0.25">
      <c r="B729" t="s">
        <v>1999</v>
      </c>
      <c r="C729" t="s">
        <v>100</v>
      </c>
      <c r="D729" t="s">
        <v>50</v>
      </c>
      <c r="E729">
        <v>644428</v>
      </c>
      <c r="F729" t="s">
        <v>332</v>
      </c>
      <c r="H729" t="s">
        <v>2000</v>
      </c>
      <c r="L729" s="1">
        <v>42080</v>
      </c>
    </row>
    <row r="730" spans="2:13" x14ac:dyDescent="0.25">
      <c r="B730" t="s">
        <v>1996</v>
      </c>
      <c r="C730" t="s">
        <v>0</v>
      </c>
      <c r="D730" t="s">
        <v>1</v>
      </c>
      <c r="E730">
        <v>648583</v>
      </c>
      <c r="F730" t="s">
        <v>1997</v>
      </c>
      <c r="H730" t="s">
        <v>1998</v>
      </c>
      <c r="L730" s="1">
        <v>42249</v>
      </c>
      <c r="M730" s="1">
        <v>42382</v>
      </c>
    </row>
    <row r="731" spans="2:13" x14ac:dyDescent="0.25">
      <c r="B731" t="s">
        <v>1994</v>
      </c>
      <c r="C731" t="s">
        <v>0</v>
      </c>
      <c r="D731" t="s">
        <v>1</v>
      </c>
      <c r="E731">
        <v>646427</v>
      </c>
      <c r="F731" t="s">
        <v>147</v>
      </c>
      <c r="H731" t="s">
        <v>1995</v>
      </c>
      <c r="L731" s="1">
        <v>42235</v>
      </c>
      <c r="M731" s="1">
        <v>42305</v>
      </c>
    </row>
    <row r="732" spans="2:13" x14ac:dyDescent="0.25">
      <c r="B732" t="s">
        <v>1992</v>
      </c>
      <c r="C732" t="s">
        <v>0</v>
      </c>
      <c r="D732" t="s">
        <v>1</v>
      </c>
      <c r="E732">
        <v>650320</v>
      </c>
      <c r="F732" t="s">
        <v>163</v>
      </c>
      <c r="H732" t="s">
        <v>1993</v>
      </c>
      <c r="L732" s="1">
        <v>42383</v>
      </c>
      <c r="M732" s="1">
        <v>42429</v>
      </c>
    </row>
    <row r="733" spans="2:13" x14ac:dyDescent="0.25">
      <c r="B733" t="s">
        <v>1991</v>
      </c>
      <c r="C733" t="s">
        <v>0</v>
      </c>
      <c r="D733" t="s">
        <v>1</v>
      </c>
      <c r="E733">
        <v>658205</v>
      </c>
      <c r="F733" t="s">
        <v>136</v>
      </c>
      <c r="H733" t="s">
        <v>1990</v>
      </c>
      <c r="L733" s="1">
        <v>42656</v>
      </c>
      <c r="M733" s="1">
        <v>42696</v>
      </c>
    </row>
    <row r="734" spans="2:13" x14ac:dyDescent="0.25">
      <c r="B734" t="s">
        <v>1989</v>
      </c>
      <c r="C734" t="s">
        <v>100</v>
      </c>
      <c r="D734" t="s">
        <v>50</v>
      </c>
      <c r="E734">
        <v>650354</v>
      </c>
      <c r="F734" t="s">
        <v>332</v>
      </c>
      <c r="H734" t="s">
        <v>1990</v>
      </c>
      <c r="L734" s="1">
        <v>42230</v>
      </c>
    </row>
    <row r="735" spans="2:13" x14ac:dyDescent="0.25">
      <c r="B735" t="s">
        <v>1987</v>
      </c>
      <c r="C735" t="s">
        <v>0</v>
      </c>
      <c r="D735" t="s">
        <v>1</v>
      </c>
      <c r="E735">
        <v>647042</v>
      </c>
      <c r="F735" t="s">
        <v>44</v>
      </c>
      <c r="H735" t="s">
        <v>1988</v>
      </c>
      <c r="L735" s="1">
        <v>42275</v>
      </c>
      <c r="M735" s="1">
        <v>42327</v>
      </c>
    </row>
    <row r="736" spans="2:13" x14ac:dyDescent="0.25">
      <c r="B736" t="s">
        <v>1985</v>
      </c>
      <c r="C736" t="s">
        <v>0</v>
      </c>
      <c r="D736" t="s">
        <v>1</v>
      </c>
      <c r="E736">
        <v>647278</v>
      </c>
      <c r="F736" t="s">
        <v>332</v>
      </c>
      <c r="H736" t="s">
        <v>1986</v>
      </c>
      <c r="L736" s="1">
        <v>42279</v>
      </c>
      <c r="M736" s="1">
        <v>42338</v>
      </c>
    </row>
    <row r="737" spans="2:13" x14ac:dyDescent="0.25">
      <c r="B737" t="s">
        <v>1983</v>
      </c>
      <c r="C737" t="s">
        <v>100</v>
      </c>
      <c r="D737" t="s">
        <v>50</v>
      </c>
      <c r="E737">
        <v>646527</v>
      </c>
      <c r="F737" t="s">
        <v>332</v>
      </c>
      <c r="H737" t="s">
        <v>1984</v>
      </c>
      <c r="L737" s="1">
        <v>42279</v>
      </c>
    </row>
    <row r="738" spans="2:13" x14ac:dyDescent="0.25">
      <c r="B738" t="s">
        <v>1982</v>
      </c>
      <c r="C738" t="s">
        <v>0</v>
      </c>
      <c r="D738" t="s">
        <v>1</v>
      </c>
      <c r="E738">
        <v>648533</v>
      </c>
      <c r="F738" t="s">
        <v>147</v>
      </c>
      <c r="H738" t="s">
        <v>1981</v>
      </c>
      <c r="L738" s="1">
        <v>42242</v>
      </c>
      <c r="M738" s="1">
        <v>42381</v>
      </c>
    </row>
    <row r="739" spans="2:13" x14ac:dyDescent="0.25">
      <c r="B739" t="s">
        <v>1980</v>
      </c>
      <c r="C739" t="s">
        <v>100</v>
      </c>
      <c r="D739" t="s">
        <v>50</v>
      </c>
      <c r="E739">
        <v>647446</v>
      </c>
      <c r="F739" t="s">
        <v>332</v>
      </c>
      <c r="H739" t="s">
        <v>1981</v>
      </c>
      <c r="L739" s="1">
        <v>42230</v>
      </c>
    </row>
    <row r="740" spans="2:13" x14ac:dyDescent="0.25">
      <c r="B740" t="s">
        <v>1978</v>
      </c>
      <c r="C740" t="s">
        <v>0</v>
      </c>
      <c r="D740" t="s">
        <v>1</v>
      </c>
      <c r="E740">
        <v>648306</v>
      </c>
      <c r="F740" t="s">
        <v>163</v>
      </c>
      <c r="H740" t="s">
        <v>1979</v>
      </c>
      <c r="L740" s="1">
        <v>42331</v>
      </c>
      <c r="M740" s="1">
        <v>42374</v>
      </c>
    </row>
    <row r="741" spans="2:13" x14ac:dyDescent="0.25">
      <c r="B741" t="s">
        <v>1976</v>
      </c>
      <c r="C741" t="s">
        <v>0</v>
      </c>
      <c r="D741" t="s">
        <v>1</v>
      </c>
      <c r="E741">
        <v>646700</v>
      </c>
      <c r="F741" t="s">
        <v>332</v>
      </c>
      <c r="H741" t="s">
        <v>1977</v>
      </c>
      <c r="L741" s="1">
        <v>42115</v>
      </c>
      <c r="M741" s="1">
        <v>42317</v>
      </c>
    </row>
    <row r="742" spans="2:13" x14ac:dyDescent="0.25">
      <c r="B742" t="s">
        <v>1974</v>
      </c>
      <c r="C742" t="s">
        <v>0</v>
      </c>
      <c r="D742" t="s">
        <v>1</v>
      </c>
      <c r="E742">
        <v>651199</v>
      </c>
      <c r="F742" t="s">
        <v>163</v>
      </c>
      <c r="H742" t="s">
        <v>1975</v>
      </c>
      <c r="L742" s="1">
        <v>42383</v>
      </c>
      <c r="M742" s="1">
        <v>42457</v>
      </c>
    </row>
    <row r="743" spans="2:13" x14ac:dyDescent="0.25">
      <c r="B743" t="s">
        <v>1973</v>
      </c>
      <c r="C743" t="s">
        <v>0</v>
      </c>
      <c r="D743" t="s">
        <v>1</v>
      </c>
      <c r="E743">
        <v>650319</v>
      </c>
      <c r="F743" t="s">
        <v>163</v>
      </c>
      <c r="H743" t="s">
        <v>1972</v>
      </c>
      <c r="L743" s="1">
        <v>42383</v>
      </c>
      <c r="M743" s="1">
        <v>42429</v>
      </c>
    </row>
    <row r="744" spans="2:13" x14ac:dyDescent="0.25">
      <c r="B744" t="s">
        <v>1971</v>
      </c>
      <c r="C744" t="s">
        <v>100</v>
      </c>
      <c r="D744" t="s">
        <v>50</v>
      </c>
      <c r="E744">
        <v>645365</v>
      </c>
      <c r="F744" t="s">
        <v>332</v>
      </c>
      <c r="H744" t="s">
        <v>1972</v>
      </c>
      <c r="L744" s="1">
        <v>42139</v>
      </c>
    </row>
    <row r="745" spans="2:13" x14ac:dyDescent="0.25">
      <c r="B745" t="s">
        <v>1970</v>
      </c>
      <c r="C745" t="s">
        <v>100</v>
      </c>
      <c r="D745" t="s">
        <v>1769</v>
      </c>
      <c r="E745">
        <v>643603</v>
      </c>
      <c r="F745" t="s">
        <v>44</v>
      </c>
      <c r="H745" t="s">
        <v>1969</v>
      </c>
      <c r="L745" s="1">
        <v>42122</v>
      </c>
    </row>
    <row r="746" spans="2:13" x14ac:dyDescent="0.25">
      <c r="B746" t="s">
        <v>1968</v>
      </c>
      <c r="C746" t="s">
        <v>0</v>
      </c>
      <c r="D746" t="s">
        <v>1</v>
      </c>
      <c r="E746">
        <v>645433</v>
      </c>
      <c r="F746" t="s">
        <v>332</v>
      </c>
      <c r="H746" t="s">
        <v>1969</v>
      </c>
      <c r="L746" s="1">
        <v>42047</v>
      </c>
      <c r="M746" s="1">
        <v>42270</v>
      </c>
    </row>
    <row r="747" spans="2:13" x14ac:dyDescent="0.25">
      <c r="B747" t="s">
        <v>1966</v>
      </c>
      <c r="C747" t="s">
        <v>0</v>
      </c>
      <c r="D747" t="s">
        <v>1</v>
      </c>
      <c r="E747">
        <v>649886</v>
      </c>
      <c r="F747" t="s">
        <v>163</v>
      </c>
      <c r="H747" t="s">
        <v>1967</v>
      </c>
      <c r="L747" s="1">
        <v>42331</v>
      </c>
      <c r="M747" s="1">
        <v>42417</v>
      </c>
    </row>
    <row r="748" spans="2:13" x14ac:dyDescent="0.25">
      <c r="B748" t="s">
        <v>1964</v>
      </c>
      <c r="C748" t="s">
        <v>0</v>
      </c>
      <c r="D748" t="s">
        <v>1</v>
      </c>
      <c r="E748">
        <v>640692</v>
      </c>
      <c r="F748" t="s">
        <v>44</v>
      </c>
      <c r="H748" t="s">
        <v>1965</v>
      </c>
      <c r="L748" s="1">
        <v>42101</v>
      </c>
      <c r="M748" s="1">
        <v>42138</v>
      </c>
    </row>
    <row r="749" spans="2:13" x14ac:dyDescent="0.25">
      <c r="B749" t="s">
        <v>1962</v>
      </c>
      <c r="C749" t="s">
        <v>0</v>
      </c>
      <c r="D749" t="s">
        <v>1</v>
      </c>
      <c r="E749">
        <v>664385</v>
      </c>
      <c r="F749" t="s">
        <v>136</v>
      </c>
      <c r="H749" t="s">
        <v>1963</v>
      </c>
      <c r="L749" s="1">
        <v>42779</v>
      </c>
      <c r="M749" s="1">
        <v>42891</v>
      </c>
    </row>
    <row r="750" spans="2:13" x14ac:dyDescent="0.25">
      <c r="B750" t="s">
        <v>1960</v>
      </c>
      <c r="C750" t="s">
        <v>0</v>
      </c>
      <c r="D750" t="s">
        <v>1</v>
      </c>
      <c r="E750">
        <v>643564</v>
      </c>
      <c r="F750" t="s">
        <v>44</v>
      </c>
      <c r="H750" t="s">
        <v>1961</v>
      </c>
      <c r="L750" s="1">
        <v>42157</v>
      </c>
      <c r="M750" s="1">
        <v>42214</v>
      </c>
    </row>
    <row r="751" spans="2:13" x14ac:dyDescent="0.25">
      <c r="B751" t="s">
        <v>1958</v>
      </c>
      <c r="C751" t="s">
        <v>0</v>
      </c>
      <c r="D751" t="s">
        <v>1</v>
      </c>
      <c r="E751">
        <v>640691</v>
      </c>
      <c r="F751" t="s">
        <v>44</v>
      </c>
      <c r="H751" t="s">
        <v>1959</v>
      </c>
      <c r="L751" s="1">
        <v>42103</v>
      </c>
      <c r="M751" s="1">
        <v>42138</v>
      </c>
    </row>
    <row r="752" spans="2:13" x14ac:dyDescent="0.25">
      <c r="B752" t="s">
        <v>1957</v>
      </c>
      <c r="C752" t="s">
        <v>0</v>
      </c>
      <c r="D752" t="s">
        <v>1</v>
      </c>
      <c r="E752">
        <v>627791</v>
      </c>
      <c r="F752" t="s">
        <v>44</v>
      </c>
      <c r="H752" t="s">
        <v>1956</v>
      </c>
      <c r="L752" s="1">
        <v>41725</v>
      </c>
      <c r="M752" s="1">
        <v>41834</v>
      </c>
    </row>
    <row r="753" spans="2:13" x14ac:dyDescent="0.25">
      <c r="B753" t="s">
        <v>1955</v>
      </c>
      <c r="C753" t="s">
        <v>0</v>
      </c>
      <c r="D753" t="s">
        <v>1</v>
      </c>
      <c r="E753">
        <v>627791</v>
      </c>
      <c r="F753" t="s">
        <v>1939</v>
      </c>
      <c r="H753" t="s">
        <v>1956</v>
      </c>
      <c r="L753" s="1">
        <v>41712</v>
      </c>
      <c r="M753" s="1">
        <v>41834</v>
      </c>
    </row>
    <row r="754" spans="2:13" x14ac:dyDescent="0.25">
      <c r="B754" t="s">
        <v>1953</v>
      </c>
      <c r="C754" t="s">
        <v>0</v>
      </c>
      <c r="D754" t="s">
        <v>1</v>
      </c>
      <c r="E754">
        <v>649887</v>
      </c>
      <c r="F754" t="s">
        <v>163</v>
      </c>
      <c r="H754" t="s">
        <v>1954</v>
      </c>
      <c r="L754" s="1">
        <v>42331</v>
      </c>
      <c r="M754" s="1">
        <v>42417</v>
      </c>
    </row>
    <row r="755" spans="2:13" x14ac:dyDescent="0.25">
      <c r="B755" t="s">
        <v>1951</v>
      </c>
      <c r="C755" t="s">
        <v>0</v>
      </c>
      <c r="D755" t="s">
        <v>1</v>
      </c>
      <c r="E755">
        <v>637557</v>
      </c>
      <c r="F755" t="s">
        <v>332</v>
      </c>
      <c r="H755" t="s">
        <v>1952</v>
      </c>
      <c r="L755" s="1">
        <v>42024</v>
      </c>
      <c r="M755" s="1">
        <v>42072</v>
      </c>
    </row>
    <row r="756" spans="2:13" x14ac:dyDescent="0.25">
      <c r="B756" t="s">
        <v>1950</v>
      </c>
      <c r="C756" t="s">
        <v>139</v>
      </c>
      <c r="F756" t="s">
        <v>136</v>
      </c>
      <c r="H756" t="s">
        <v>1948</v>
      </c>
      <c r="L756" s="1">
        <v>42807</v>
      </c>
      <c r="M756" s="1">
        <v>42878</v>
      </c>
    </row>
    <row r="757" spans="2:13" x14ac:dyDescent="0.25">
      <c r="B757" t="s">
        <v>1949</v>
      </c>
      <c r="C757" t="s">
        <v>139</v>
      </c>
      <c r="F757" t="s">
        <v>44</v>
      </c>
      <c r="H757" t="s">
        <v>1948</v>
      </c>
      <c r="L757" s="1">
        <v>42800</v>
      </c>
      <c r="M757" s="1">
        <v>42893</v>
      </c>
    </row>
    <row r="758" spans="2:13" x14ac:dyDescent="0.25">
      <c r="B758" t="s">
        <v>1947</v>
      </c>
      <c r="C758" t="s">
        <v>0</v>
      </c>
      <c r="D758" t="s">
        <v>1</v>
      </c>
      <c r="E758">
        <v>646385</v>
      </c>
      <c r="F758" t="s">
        <v>332</v>
      </c>
      <c r="H758" t="s">
        <v>1948</v>
      </c>
      <c r="L758" s="1">
        <v>42139</v>
      </c>
      <c r="M758" s="1">
        <v>42304</v>
      </c>
    </row>
    <row r="759" spans="2:13" x14ac:dyDescent="0.25">
      <c r="B759" t="s">
        <v>1945</v>
      </c>
      <c r="C759" t="s">
        <v>0</v>
      </c>
      <c r="D759" t="s">
        <v>1</v>
      </c>
      <c r="E759">
        <v>641304</v>
      </c>
      <c r="F759" t="s">
        <v>44</v>
      </c>
      <c r="H759" t="s">
        <v>1946</v>
      </c>
      <c r="L759" s="1">
        <v>42072</v>
      </c>
      <c r="M759" s="1">
        <v>42156</v>
      </c>
    </row>
    <row r="760" spans="2:13" x14ac:dyDescent="0.25">
      <c r="B760" t="s">
        <v>1944</v>
      </c>
      <c r="C760" t="s">
        <v>139</v>
      </c>
      <c r="F760" t="s">
        <v>136</v>
      </c>
      <c r="H760" t="s">
        <v>1943</v>
      </c>
      <c r="L760" s="1">
        <v>42796</v>
      </c>
      <c r="M760" s="1">
        <v>42853</v>
      </c>
    </row>
    <row r="761" spans="2:13" x14ac:dyDescent="0.25">
      <c r="B761" t="s">
        <v>1942</v>
      </c>
      <c r="C761" t="s">
        <v>0</v>
      </c>
      <c r="D761" t="s">
        <v>1</v>
      </c>
      <c r="E761">
        <v>643565</v>
      </c>
      <c r="F761" t="s">
        <v>332</v>
      </c>
      <c r="H761" t="s">
        <v>1943</v>
      </c>
      <c r="L761" s="1">
        <v>42151</v>
      </c>
      <c r="M761" s="1">
        <v>42214</v>
      </c>
    </row>
    <row r="762" spans="2:13" x14ac:dyDescent="0.25">
      <c r="B762" t="s">
        <v>1941</v>
      </c>
      <c r="C762" t="s">
        <v>0</v>
      </c>
      <c r="D762" t="s">
        <v>1</v>
      </c>
      <c r="E762">
        <v>627793</v>
      </c>
      <c r="F762" t="s">
        <v>44</v>
      </c>
      <c r="H762" t="s">
        <v>1940</v>
      </c>
      <c r="L762" s="1">
        <v>41725</v>
      </c>
      <c r="M762" s="1">
        <v>41834</v>
      </c>
    </row>
    <row r="763" spans="2:13" x14ac:dyDescent="0.25">
      <c r="B763" t="s">
        <v>1938</v>
      </c>
      <c r="C763" t="s">
        <v>0</v>
      </c>
      <c r="D763" t="s">
        <v>1</v>
      </c>
      <c r="E763">
        <v>627793</v>
      </c>
      <c r="F763" t="s">
        <v>1939</v>
      </c>
      <c r="H763" t="s">
        <v>1940</v>
      </c>
      <c r="L763" s="1">
        <v>41712</v>
      </c>
      <c r="M763" s="1">
        <v>41834</v>
      </c>
    </row>
    <row r="764" spans="2:13" x14ac:dyDescent="0.25">
      <c r="B764" t="s">
        <v>1937</v>
      </c>
      <c r="C764" t="s">
        <v>100</v>
      </c>
      <c r="D764" t="s">
        <v>50</v>
      </c>
      <c r="E764">
        <v>648838</v>
      </c>
      <c r="F764" t="s">
        <v>280</v>
      </c>
      <c r="H764" t="s">
        <v>1936</v>
      </c>
      <c r="L764" s="1">
        <v>42143</v>
      </c>
    </row>
    <row r="765" spans="2:13" x14ac:dyDescent="0.25">
      <c r="B765" t="s">
        <v>1935</v>
      </c>
      <c r="C765" t="s">
        <v>0</v>
      </c>
      <c r="D765" t="s">
        <v>1</v>
      </c>
      <c r="E765">
        <v>648219</v>
      </c>
      <c r="F765" t="s">
        <v>44</v>
      </c>
      <c r="H765" t="s">
        <v>1936</v>
      </c>
      <c r="L765" s="1">
        <v>42125</v>
      </c>
      <c r="M765" s="1">
        <v>42373</v>
      </c>
    </row>
    <row r="766" spans="2:13" x14ac:dyDescent="0.25">
      <c r="B766" t="s">
        <v>1934</v>
      </c>
      <c r="C766" t="s">
        <v>100</v>
      </c>
      <c r="D766" t="s">
        <v>50</v>
      </c>
      <c r="E766">
        <v>648837</v>
      </c>
      <c r="F766" t="s">
        <v>280</v>
      </c>
      <c r="H766" t="s">
        <v>1933</v>
      </c>
      <c r="L766" s="1">
        <v>42143</v>
      </c>
    </row>
    <row r="767" spans="2:13" x14ac:dyDescent="0.25">
      <c r="B767" t="s">
        <v>1932</v>
      </c>
      <c r="C767" t="s">
        <v>0</v>
      </c>
      <c r="D767" t="s">
        <v>1</v>
      </c>
      <c r="E767">
        <v>648082</v>
      </c>
      <c r="F767" t="s">
        <v>44</v>
      </c>
      <c r="H767" t="s">
        <v>1933</v>
      </c>
      <c r="L767" s="1">
        <v>42125</v>
      </c>
      <c r="M767" s="1">
        <v>42366</v>
      </c>
    </row>
    <row r="768" spans="2:13" x14ac:dyDescent="0.25">
      <c r="B768" t="s">
        <v>1930</v>
      </c>
      <c r="C768" t="s">
        <v>139</v>
      </c>
      <c r="F768" t="s">
        <v>1931</v>
      </c>
      <c r="H768" t="s">
        <v>1928</v>
      </c>
      <c r="L768" s="1">
        <v>42761</v>
      </c>
      <c r="M768" s="1">
        <v>42821</v>
      </c>
    </row>
    <row r="769" spans="2:13" x14ac:dyDescent="0.25">
      <c r="B769" t="s">
        <v>1929</v>
      </c>
      <c r="C769" t="s">
        <v>0</v>
      </c>
      <c r="D769" t="s">
        <v>1</v>
      </c>
      <c r="E769">
        <v>646290</v>
      </c>
      <c r="F769" t="s">
        <v>44</v>
      </c>
      <c r="H769" t="s">
        <v>1928</v>
      </c>
      <c r="L769" s="1">
        <v>42251</v>
      </c>
      <c r="M769" s="1">
        <v>42299</v>
      </c>
    </row>
    <row r="770" spans="2:13" x14ac:dyDescent="0.25">
      <c r="B770" t="s">
        <v>1927</v>
      </c>
      <c r="C770" t="s">
        <v>100</v>
      </c>
      <c r="D770" t="s">
        <v>50</v>
      </c>
      <c r="E770">
        <v>643030</v>
      </c>
      <c r="F770" t="s">
        <v>332</v>
      </c>
      <c r="H770" t="s">
        <v>1928</v>
      </c>
      <c r="L770" s="1">
        <v>42151</v>
      </c>
    </row>
    <row r="771" spans="2:13" x14ac:dyDescent="0.25">
      <c r="B771" t="s">
        <v>1925</v>
      </c>
      <c r="C771" t="s">
        <v>0</v>
      </c>
      <c r="D771" t="s">
        <v>1</v>
      </c>
      <c r="E771">
        <v>644423</v>
      </c>
      <c r="F771" t="s">
        <v>44</v>
      </c>
      <c r="H771" t="s">
        <v>1926</v>
      </c>
      <c r="L771" s="1">
        <v>42072</v>
      </c>
      <c r="M771" s="1">
        <v>42240</v>
      </c>
    </row>
    <row r="772" spans="2:13" x14ac:dyDescent="0.25">
      <c r="L772" s="1"/>
      <c r="M772" s="1"/>
    </row>
    <row r="773" spans="2:13" x14ac:dyDescent="0.25">
      <c r="L773" s="1"/>
      <c r="M773" s="1"/>
    </row>
    <row r="774" spans="2:13" x14ac:dyDescent="0.25">
      <c r="L774" s="1"/>
      <c r="M774" s="1"/>
    </row>
    <row r="775" spans="2:13" x14ac:dyDescent="0.25">
      <c r="B775" t="s">
        <v>1923</v>
      </c>
      <c r="C775" t="s">
        <v>0</v>
      </c>
      <c r="D775" t="s">
        <v>1</v>
      </c>
      <c r="E775">
        <v>659618</v>
      </c>
      <c r="F775" t="s">
        <v>136</v>
      </c>
      <c r="H775" t="s">
        <v>1924</v>
      </c>
      <c r="L775" s="1">
        <v>42669</v>
      </c>
      <c r="M775" s="1">
        <v>42740</v>
      </c>
    </row>
    <row r="776" spans="2:13" x14ac:dyDescent="0.25">
      <c r="B776" t="s">
        <v>1922</v>
      </c>
      <c r="C776" t="s">
        <v>100</v>
      </c>
      <c r="D776" t="s">
        <v>50</v>
      </c>
      <c r="E776">
        <v>652287</v>
      </c>
      <c r="F776" t="s">
        <v>163</v>
      </c>
      <c r="H776" t="s">
        <v>1921</v>
      </c>
      <c r="L776" s="1">
        <v>42425</v>
      </c>
    </row>
    <row r="777" spans="2:13" x14ac:dyDescent="0.25">
      <c r="B777" t="s">
        <v>1920</v>
      </c>
      <c r="C777" t="s">
        <v>0</v>
      </c>
      <c r="D777" t="s">
        <v>1</v>
      </c>
      <c r="E777">
        <v>655655</v>
      </c>
      <c r="F777" t="s">
        <v>280</v>
      </c>
      <c r="H777" t="s">
        <v>1921</v>
      </c>
      <c r="L777" s="1">
        <v>42368</v>
      </c>
      <c r="M777" s="1">
        <v>42611</v>
      </c>
    </row>
    <row r="778" spans="2:13" x14ac:dyDescent="0.25">
      <c r="B778" t="s">
        <v>1918</v>
      </c>
      <c r="C778" t="s">
        <v>162</v>
      </c>
      <c r="F778" t="s">
        <v>163</v>
      </c>
      <c r="H778" t="s">
        <v>1919</v>
      </c>
      <c r="L778" s="1">
        <v>42898</v>
      </c>
      <c r="M778" s="1">
        <v>42919</v>
      </c>
    </row>
    <row r="779" spans="2:13" x14ac:dyDescent="0.25">
      <c r="B779" t="s">
        <v>1917</v>
      </c>
      <c r="C779" t="s">
        <v>0</v>
      </c>
      <c r="D779" t="s">
        <v>1</v>
      </c>
      <c r="E779">
        <v>657446</v>
      </c>
      <c r="F779" t="s">
        <v>280</v>
      </c>
      <c r="H779" t="s">
        <v>1916</v>
      </c>
      <c r="L779" s="1">
        <v>42549</v>
      </c>
      <c r="M779" s="1">
        <v>42674</v>
      </c>
    </row>
    <row r="780" spans="2:13" x14ac:dyDescent="0.25">
      <c r="B780" t="s">
        <v>1915</v>
      </c>
      <c r="C780" t="s">
        <v>0</v>
      </c>
      <c r="D780" t="s">
        <v>1</v>
      </c>
      <c r="E780">
        <v>651683</v>
      </c>
      <c r="F780" t="s">
        <v>280</v>
      </c>
      <c r="H780" t="s">
        <v>1916</v>
      </c>
      <c r="L780" s="1">
        <v>42303</v>
      </c>
      <c r="M780" s="1">
        <v>42472</v>
      </c>
    </row>
    <row r="781" spans="2:13" x14ac:dyDescent="0.25">
      <c r="B781" t="s">
        <v>1913</v>
      </c>
      <c r="C781" t="s">
        <v>0</v>
      </c>
      <c r="D781" t="s">
        <v>1</v>
      </c>
      <c r="E781">
        <v>660457</v>
      </c>
      <c r="F781" t="s">
        <v>280</v>
      </c>
      <c r="H781" t="s">
        <v>1914</v>
      </c>
      <c r="L781" s="1">
        <v>42593</v>
      </c>
      <c r="M781" s="1">
        <v>42767</v>
      </c>
    </row>
    <row r="782" spans="2:13" x14ac:dyDescent="0.25">
      <c r="B782" t="s">
        <v>1911</v>
      </c>
      <c r="C782" t="s">
        <v>139</v>
      </c>
      <c r="F782" t="s">
        <v>136</v>
      </c>
      <c r="H782" t="s">
        <v>1912</v>
      </c>
      <c r="L782" s="1">
        <v>42723</v>
      </c>
    </row>
    <row r="783" spans="2:13" x14ac:dyDescent="0.25">
      <c r="B783" t="s">
        <v>1909</v>
      </c>
      <c r="C783" t="s">
        <v>139</v>
      </c>
      <c r="F783" t="s">
        <v>136</v>
      </c>
      <c r="H783" t="s">
        <v>1910</v>
      </c>
      <c r="L783" s="1">
        <v>42723</v>
      </c>
    </row>
    <row r="784" spans="2:13" x14ac:dyDescent="0.25">
      <c r="B784" t="s">
        <v>1907</v>
      </c>
      <c r="C784" t="s">
        <v>0</v>
      </c>
      <c r="D784" t="s">
        <v>1</v>
      </c>
      <c r="E784">
        <v>660465</v>
      </c>
      <c r="F784" t="s">
        <v>1771</v>
      </c>
      <c r="H784" t="s">
        <v>1908</v>
      </c>
      <c r="L784" s="1">
        <v>42689</v>
      </c>
      <c r="M784" s="1">
        <v>42767</v>
      </c>
    </row>
    <row r="785" spans="2:13" x14ac:dyDescent="0.25">
      <c r="B785" t="s">
        <v>1905</v>
      </c>
      <c r="C785" t="s">
        <v>0</v>
      </c>
      <c r="D785" t="s">
        <v>1</v>
      </c>
      <c r="E785">
        <v>652330</v>
      </c>
      <c r="F785" t="s">
        <v>280</v>
      </c>
      <c r="H785" t="s">
        <v>1906</v>
      </c>
      <c r="L785" s="1">
        <v>42303</v>
      </c>
      <c r="M785" s="1">
        <v>42494</v>
      </c>
    </row>
    <row r="786" spans="2:13" x14ac:dyDescent="0.25">
      <c r="B786" t="s">
        <v>1903</v>
      </c>
      <c r="C786" t="s">
        <v>0</v>
      </c>
      <c r="D786" t="s">
        <v>1</v>
      </c>
      <c r="E786">
        <v>655657</v>
      </c>
      <c r="F786" t="s">
        <v>280</v>
      </c>
      <c r="H786" t="s">
        <v>1904</v>
      </c>
      <c r="L786" s="1">
        <v>42416</v>
      </c>
      <c r="M786" s="1">
        <v>42611</v>
      </c>
    </row>
    <row r="787" spans="2:13" x14ac:dyDescent="0.25">
      <c r="B787" t="s">
        <v>1902</v>
      </c>
      <c r="C787" t="s">
        <v>76</v>
      </c>
      <c r="F787" t="s">
        <v>136</v>
      </c>
      <c r="H787" t="s">
        <v>1900</v>
      </c>
      <c r="L787" s="1">
        <v>42779</v>
      </c>
    </row>
    <row r="788" spans="2:13" x14ac:dyDescent="0.25">
      <c r="B788" t="s">
        <v>1901</v>
      </c>
      <c r="C788" t="s">
        <v>0</v>
      </c>
      <c r="D788" t="s">
        <v>1</v>
      </c>
      <c r="E788">
        <v>659726</v>
      </c>
      <c r="F788" t="s">
        <v>136</v>
      </c>
      <c r="H788" t="s">
        <v>1900</v>
      </c>
      <c r="L788" s="1">
        <v>42669</v>
      </c>
      <c r="M788" s="1">
        <v>42745</v>
      </c>
    </row>
    <row r="789" spans="2:13" x14ac:dyDescent="0.25">
      <c r="B789" t="s">
        <v>1899</v>
      </c>
      <c r="C789" t="s">
        <v>100</v>
      </c>
      <c r="D789" t="s">
        <v>50</v>
      </c>
      <c r="E789">
        <v>661253</v>
      </c>
      <c r="F789" t="s">
        <v>280</v>
      </c>
      <c r="H789" t="s">
        <v>1900</v>
      </c>
      <c r="L789" s="1">
        <v>42580</v>
      </c>
    </row>
    <row r="790" spans="2:13" x14ac:dyDescent="0.25">
      <c r="B790" t="s">
        <v>1897</v>
      </c>
      <c r="C790" t="s">
        <v>139</v>
      </c>
      <c r="D790" t="s">
        <v>1</v>
      </c>
      <c r="E790">
        <v>650609</v>
      </c>
      <c r="F790" t="s">
        <v>44</v>
      </c>
      <c r="H790" t="s">
        <v>1898</v>
      </c>
      <c r="L790" s="1">
        <v>42327</v>
      </c>
      <c r="M790" s="1">
        <v>42396</v>
      </c>
    </row>
    <row r="791" spans="2:13" x14ac:dyDescent="0.25">
      <c r="B791" t="s">
        <v>1895</v>
      </c>
      <c r="C791" t="s">
        <v>0</v>
      </c>
      <c r="D791" t="s">
        <v>1</v>
      </c>
      <c r="E791">
        <v>663521</v>
      </c>
      <c r="F791" t="s">
        <v>136</v>
      </c>
      <c r="H791" t="s">
        <v>1896</v>
      </c>
      <c r="L791" s="1">
        <v>42755</v>
      </c>
      <c r="M791" s="1">
        <v>42864</v>
      </c>
    </row>
    <row r="792" spans="2:13" x14ac:dyDescent="0.25">
      <c r="B792" t="s">
        <v>1893</v>
      </c>
      <c r="C792" t="s">
        <v>0</v>
      </c>
      <c r="D792" t="s">
        <v>1</v>
      </c>
      <c r="E792">
        <v>660714</v>
      </c>
      <c r="F792" t="s">
        <v>1771</v>
      </c>
      <c r="H792" t="s">
        <v>1894</v>
      </c>
      <c r="L792" s="1">
        <v>42689</v>
      </c>
      <c r="M792" s="1">
        <v>42772</v>
      </c>
    </row>
    <row r="793" spans="2:13" x14ac:dyDescent="0.25">
      <c r="B793" t="s">
        <v>1891</v>
      </c>
      <c r="C793" t="s">
        <v>0</v>
      </c>
      <c r="D793" t="s">
        <v>1</v>
      </c>
      <c r="E793">
        <v>659040</v>
      </c>
      <c r="F793" t="s">
        <v>1771</v>
      </c>
      <c r="H793" t="s">
        <v>1892</v>
      </c>
      <c r="L793" s="1">
        <v>42678</v>
      </c>
      <c r="M793" s="1">
        <v>42723</v>
      </c>
    </row>
    <row r="794" spans="2:13" x14ac:dyDescent="0.25">
      <c r="B794" t="s">
        <v>1890</v>
      </c>
      <c r="C794" t="s">
        <v>139</v>
      </c>
      <c r="F794" t="s">
        <v>1771</v>
      </c>
      <c r="H794" t="s">
        <v>1889</v>
      </c>
      <c r="L794" s="1">
        <v>42832</v>
      </c>
      <c r="M794" s="1">
        <v>42863</v>
      </c>
    </row>
    <row r="795" spans="2:13" x14ac:dyDescent="0.25">
      <c r="B795" t="s">
        <v>1888</v>
      </c>
      <c r="C795" t="s">
        <v>0</v>
      </c>
      <c r="D795" t="s">
        <v>1</v>
      </c>
      <c r="E795">
        <v>660251</v>
      </c>
      <c r="F795" t="s">
        <v>1771</v>
      </c>
      <c r="H795" t="s">
        <v>1889</v>
      </c>
      <c r="L795" s="1">
        <v>42678</v>
      </c>
      <c r="M795" s="1">
        <v>42761</v>
      </c>
    </row>
    <row r="796" spans="2:13" x14ac:dyDescent="0.25">
      <c r="B796" t="s">
        <v>1886</v>
      </c>
      <c r="C796" t="s">
        <v>139</v>
      </c>
      <c r="F796" t="s">
        <v>1771</v>
      </c>
      <c r="H796" t="s">
        <v>1887</v>
      </c>
      <c r="L796" s="1">
        <v>42678</v>
      </c>
      <c r="M796" s="1">
        <v>42899</v>
      </c>
    </row>
    <row r="797" spans="2:13" x14ac:dyDescent="0.25">
      <c r="B797" t="s">
        <v>1885</v>
      </c>
      <c r="C797" t="s">
        <v>139</v>
      </c>
      <c r="F797" t="s">
        <v>44</v>
      </c>
      <c r="H797" t="s">
        <v>1884</v>
      </c>
      <c r="L797" s="1">
        <v>42780</v>
      </c>
      <c r="M797" s="1">
        <v>42878</v>
      </c>
    </row>
    <row r="798" spans="2:13" x14ac:dyDescent="0.25">
      <c r="B798" t="s">
        <v>1883</v>
      </c>
      <c r="C798" t="s">
        <v>100</v>
      </c>
      <c r="D798" t="s">
        <v>50</v>
      </c>
      <c r="E798">
        <v>661291</v>
      </c>
      <c r="F798" t="s">
        <v>136</v>
      </c>
      <c r="H798" t="s">
        <v>1884</v>
      </c>
      <c r="L798" s="1">
        <v>42755</v>
      </c>
    </row>
    <row r="799" spans="2:13" x14ac:dyDescent="0.25">
      <c r="B799" t="s">
        <v>1881</v>
      </c>
      <c r="C799" t="s">
        <v>139</v>
      </c>
      <c r="F799" t="s">
        <v>395</v>
      </c>
      <c r="H799" t="s">
        <v>1882</v>
      </c>
      <c r="L799" s="1">
        <v>42856</v>
      </c>
      <c r="M799" s="1">
        <v>42891</v>
      </c>
    </row>
    <row r="800" spans="2:13" x14ac:dyDescent="0.25">
      <c r="B800" t="s">
        <v>1879</v>
      </c>
      <c r="C800" t="s">
        <v>139</v>
      </c>
      <c r="F800" t="s">
        <v>147</v>
      </c>
      <c r="H800" t="s">
        <v>1880</v>
      </c>
      <c r="L800" s="1">
        <v>42481</v>
      </c>
      <c r="M800" s="1">
        <v>42674</v>
      </c>
    </row>
    <row r="801" spans="2:13" x14ac:dyDescent="0.25">
      <c r="B801" t="s">
        <v>1877</v>
      </c>
      <c r="C801" t="s">
        <v>0</v>
      </c>
      <c r="D801" t="s">
        <v>1</v>
      </c>
      <c r="E801">
        <v>663802</v>
      </c>
      <c r="F801" t="s">
        <v>395</v>
      </c>
      <c r="H801" t="s">
        <v>1878</v>
      </c>
      <c r="L801" s="1">
        <v>42783</v>
      </c>
      <c r="M801" s="1">
        <v>42872</v>
      </c>
    </row>
    <row r="802" spans="2:13" x14ac:dyDescent="0.25">
      <c r="B802" t="s">
        <v>1875</v>
      </c>
      <c r="C802" t="s">
        <v>139</v>
      </c>
      <c r="F802" t="s">
        <v>1771</v>
      </c>
      <c r="H802" t="s">
        <v>1876</v>
      </c>
      <c r="L802" s="1">
        <v>42678</v>
      </c>
      <c r="M802" s="1">
        <v>42899</v>
      </c>
    </row>
    <row r="803" spans="2:13" x14ac:dyDescent="0.25">
      <c r="B803" t="s">
        <v>1873</v>
      </c>
      <c r="C803" t="s">
        <v>0</v>
      </c>
      <c r="D803" t="s">
        <v>1</v>
      </c>
      <c r="E803">
        <v>660358</v>
      </c>
      <c r="F803" t="s">
        <v>1771</v>
      </c>
      <c r="H803" t="s">
        <v>1874</v>
      </c>
      <c r="L803" s="1">
        <v>42697</v>
      </c>
      <c r="M803" s="1">
        <v>42765</v>
      </c>
    </row>
    <row r="804" spans="2:13" x14ac:dyDescent="0.25">
      <c r="B804" t="s">
        <v>1871</v>
      </c>
      <c r="C804" t="s">
        <v>0</v>
      </c>
      <c r="D804" t="s">
        <v>1</v>
      </c>
      <c r="E804">
        <v>660715</v>
      </c>
      <c r="F804" t="s">
        <v>1771</v>
      </c>
      <c r="H804" t="s">
        <v>1872</v>
      </c>
      <c r="L804" s="1">
        <v>42691</v>
      </c>
      <c r="M804" s="1">
        <v>42772</v>
      </c>
    </row>
    <row r="828" spans="2:13" x14ac:dyDescent="0.25">
      <c r="B828" t="s">
        <v>1869</v>
      </c>
      <c r="C828" t="s">
        <v>0</v>
      </c>
      <c r="D828" t="s">
        <v>1</v>
      </c>
      <c r="E828">
        <v>660460</v>
      </c>
      <c r="F828" t="s">
        <v>136</v>
      </c>
      <c r="H828" t="s">
        <v>1868</v>
      </c>
      <c r="L828" s="1">
        <v>42648</v>
      </c>
      <c r="M828" s="1">
        <v>42767</v>
      </c>
    </row>
    <row r="829" spans="2:13" x14ac:dyDescent="0.25">
      <c r="B829" t="s">
        <v>1867</v>
      </c>
      <c r="C829" t="s">
        <v>100</v>
      </c>
      <c r="D829" t="s">
        <v>50</v>
      </c>
      <c r="E829">
        <v>660644</v>
      </c>
      <c r="F829" t="s">
        <v>1767</v>
      </c>
      <c r="H829" t="s">
        <v>1868</v>
      </c>
      <c r="L829" s="1">
        <v>42272</v>
      </c>
    </row>
    <row r="830" spans="2:13" x14ac:dyDescent="0.25">
      <c r="B830" t="s">
        <v>1865</v>
      </c>
      <c r="C830" t="s">
        <v>76</v>
      </c>
      <c r="F830" t="s">
        <v>1831</v>
      </c>
      <c r="H830" t="s">
        <v>1866</v>
      </c>
      <c r="L830" s="1">
        <v>42796</v>
      </c>
      <c r="M830" s="1">
        <v>42823</v>
      </c>
    </row>
    <row r="831" spans="2:13" x14ac:dyDescent="0.25">
      <c r="B831" t="s">
        <v>1864</v>
      </c>
      <c r="C831" t="s">
        <v>139</v>
      </c>
      <c r="F831" t="s">
        <v>280</v>
      </c>
      <c r="H831" t="s">
        <v>1862</v>
      </c>
      <c r="L831" s="1">
        <v>42831</v>
      </c>
      <c r="M831" s="1">
        <v>42898</v>
      </c>
    </row>
    <row r="832" spans="2:13" x14ac:dyDescent="0.25">
      <c r="B832" t="s">
        <v>1863</v>
      </c>
      <c r="C832" t="s">
        <v>139</v>
      </c>
      <c r="F832" t="s">
        <v>280</v>
      </c>
      <c r="H832" t="s">
        <v>1862</v>
      </c>
      <c r="L832" s="1">
        <v>42804</v>
      </c>
      <c r="M832" s="1">
        <v>42892</v>
      </c>
    </row>
    <row r="833" spans="2:13" x14ac:dyDescent="0.25">
      <c r="B833" t="s">
        <v>1861</v>
      </c>
      <c r="C833" t="s">
        <v>0</v>
      </c>
      <c r="D833" t="s">
        <v>1</v>
      </c>
      <c r="E833">
        <v>656758</v>
      </c>
      <c r="F833" t="s">
        <v>280</v>
      </c>
      <c r="H833" t="s">
        <v>1862</v>
      </c>
      <c r="L833" s="1">
        <v>42564</v>
      </c>
      <c r="M833" s="1">
        <v>42653</v>
      </c>
    </row>
    <row r="834" spans="2:13" x14ac:dyDescent="0.25">
      <c r="B834" t="s">
        <v>1860</v>
      </c>
      <c r="C834" t="s">
        <v>0</v>
      </c>
      <c r="D834" t="s">
        <v>1</v>
      </c>
      <c r="E834">
        <v>662479</v>
      </c>
      <c r="F834" t="s">
        <v>1767</v>
      </c>
      <c r="H834" t="s">
        <v>1859</v>
      </c>
      <c r="L834" s="1">
        <v>42790</v>
      </c>
      <c r="M834" s="1">
        <v>42829</v>
      </c>
    </row>
    <row r="835" spans="2:13" x14ac:dyDescent="0.25">
      <c r="B835" t="s">
        <v>1858</v>
      </c>
      <c r="C835" t="s">
        <v>0</v>
      </c>
      <c r="D835" t="s">
        <v>1</v>
      </c>
      <c r="E835">
        <v>659527</v>
      </c>
      <c r="F835" t="s">
        <v>1767</v>
      </c>
      <c r="H835" t="s">
        <v>1859</v>
      </c>
      <c r="L835" s="1">
        <v>42676</v>
      </c>
      <c r="M835" s="1">
        <v>42738</v>
      </c>
    </row>
    <row r="836" spans="2:13" x14ac:dyDescent="0.25">
      <c r="B836" t="s">
        <v>1857</v>
      </c>
      <c r="C836" t="s">
        <v>0</v>
      </c>
      <c r="D836" t="s">
        <v>1</v>
      </c>
      <c r="E836">
        <v>662480</v>
      </c>
      <c r="F836" t="s">
        <v>1767</v>
      </c>
      <c r="H836" t="s">
        <v>1856</v>
      </c>
      <c r="L836" s="1">
        <v>42790</v>
      </c>
      <c r="M836" s="1">
        <v>42829</v>
      </c>
    </row>
    <row r="837" spans="2:13" x14ac:dyDescent="0.25">
      <c r="B837" t="s">
        <v>1855</v>
      </c>
      <c r="C837" t="s">
        <v>0</v>
      </c>
      <c r="D837" t="s">
        <v>1</v>
      </c>
      <c r="E837">
        <v>659526</v>
      </c>
      <c r="F837" t="s">
        <v>1767</v>
      </c>
      <c r="H837" t="s">
        <v>1856</v>
      </c>
      <c r="L837" s="1">
        <v>42676</v>
      </c>
      <c r="M837" s="1">
        <v>42738</v>
      </c>
    </row>
    <row r="838" spans="2:13" x14ac:dyDescent="0.25">
      <c r="B838" t="s">
        <v>1853</v>
      </c>
      <c r="C838" t="s">
        <v>0</v>
      </c>
      <c r="D838" t="s">
        <v>1</v>
      </c>
      <c r="E838">
        <v>657987</v>
      </c>
      <c r="F838" t="s">
        <v>280</v>
      </c>
      <c r="H838" t="s">
        <v>1854</v>
      </c>
      <c r="L838" s="1">
        <v>42571</v>
      </c>
      <c r="M838" s="1">
        <v>42690</v>
      </c>
    </row>
    <row r="839" spans="2:13" x14ac:dyDescent="0.25">
      <c r="B839" t="s">
        <v>1852</v>
      </c>
      <c r="C839" t="s">
        <v>139</v>
      </c>
      <c r="F839" t="s">
        <v>280</v>
      </c>
      <c r="H839" t="s">
        <v>1851</v>
      </c>
      <c r="L839" s="1">
        <v>42829</v>
      </c>
      <c r="M839" s="1">
        <v>42898</v>
      </c>
    </row>
    <row r="840" spans="2:13" x14ac:dyDescent="0.25">
      <c r="B840" t="s">
        <v>1850</v>
      </c>
      <c r="C840" t="s">
        <v>0</v>
      </c>
      <c r="D840" t="s">
        <v>1</v>
      </c>
      <c r="E840">
        <v>656579</v>
      </c>
      <c r="F840" t="s">
        <v>280</v>
      </c>
      <c r="H840" t="s">
        <v>1851</v>
      </c>
      <c r="L840" s="1">
        <v>42564</v>
      </c>
      <c r="M840" s="1">
        <v>42646</v>
      </c>
    </row>
    <row r="841" spans="2:13" x14ac:dyDescent="0.25">
      <c r="B841" t="s">
        <v>1848</v>
      </c>
      <c r="C841" t="s">
        <v>76</v>
      </c>
      <c r="F841" t="s">
        <v>1831</v>
      </c>
      <c r="H841" t="s">
        <v>1849</v>
      </c>
      <c r="L841" s="1">
        <v>42796</v>
      </c>
      <c r="M841" s="1">
        <v>42823</v>
      </c>
    </row>
    <row r="842" spans="2:13" x14ac:dyDescent="0.25">
      <c r="B842" t="s">
        <v>1847</v>
      </c>
      <c r="C842" t="s">
        <v>100</v>
      </c>
      <c r="D842" t="s">
        <v>50</v>
      </c>
      <c r="E842">
        <v>662868</v>
      </c>
      <c r="F842" t="s">
        <v>280</v>
      </c>
      <c r="H842" t="s">
        <v>1846</v>
      </c>
      <c r="L842" s="1">
        <v>42815</v>
      </c>
    </row>
    <row r="843" spans="2:13" x14ac:dyDescent="0.25">
      <c r="B843" t="s">
        <v>1845</v>
      </c>
      <c r="C843" t="s">
        <v>0</v>
      </c>
      <c r="D843" t="s">
        <v>1</v>
      </c>
      <c r="E843">
        <v>658687</v>
      </c>
      <c r="F843" t="s">
        <v>280</v>
      </c>
      <c r="H843" t="s">
        <v>1846</v>
      </c>
      <c r="L843" s="1">
        <v>42598</v>
      </c>
      <c r="M843" s="1">
        <v>42712</v>
      </c>
    </row>
    <row r="844" spans="2:13" x14ac:dyDescent="0.25">
      <c r="B844" t="s">
        <v>1843</v>
      </c>
      <c r="C844" t="s">
        <v>139</v>
      </c>
      <c r="F844" t="s">
        <v>1771</v>
      </c>
      <c r="H844" t="s">
        <v>1844</v>
      </c>
      <c r="L844" s="1">
        <v>42731</v>
      </c>
      <c r="M844" s="1">
        <v>42864</v>
      </c>
    </row>
    <row r="845" spans="2:13" x14ac:dyDescent="0.25">
      <c r="B845" t="s">
        <v>1841</v>
      </c>
      <c r="C845" t="s">
        <v>0</v>
      </c>
      <c r="D845" t="s">
        <v>1</v>
      </c>
      <c r="E845">
        <v>662186</v>
      </c>
      <c r="F845" t="s">
        <v>1794</v>
      </c>
      <c r="H845" t="s">
        <v>1842</v>
      </c>
      <c r="L845" s="1">
        <v>42706</v>
      </c>
      <c r="M845" s="1">
        <v>42821</v>
      </c>
    </row>
    <row r="846" spans="2:13" x14ac:dyDescent="0.25">
      <c r="B846" t="s">
        <v>1839</v>
      </c>
      <c r="C846" t="s">
        <v>0</v>
      </c>
      <c r="D846" t="s">
        <v>1</v>
      </c>
      <c r="E846">
        <v>660467</v>
      </c>
      <c r="F846" t="s">
        <v>1771</v>
      </c>
      <c r="H846" t="s">
        <v>1840</v>
      </c>
      <c r="L846" s="1">
        <v>42691</v>
      </c>
      <c r="M846" s="1">
        <v>42767</v>
      </c>
    </row>
    <row r="847" spans="2:13" x14ac:dyDescent="0.25">
      <c r="B847" t="s">
        <v>1837</v>
      </c>
      <c r="C847" t="s">
        <v>0</v>
      </c>
      <c r="D847" t="s">
        <v>1</v>
      </c>
      <c r="E847">
        <v>658699</v>
      </c>
      <c r="F847" t="s">
        <v>1771</v>
      </c>
      <c r="H847" t="s">
        <v>1838</v>
      </c>
      <c r="L847" s="1">
        <v>42661</v>
      </c>
      <c r="M847" s="1">
        <v>42712</v>
      </c>
    </row>
    <row r="848" spans="2:13" x14ac:dyDescent="0.25">
      <c r="B848" t="s">
        <v>1835</v>
      </c>
      <c r="C848" t="s">
        <v>0</v>
      </c>
      <c r="D848" t="s">
        <v>1</v>
      </c>
      <c r="E848">
        <v>658927</v>
      </c>
      <c r="F848" t="s">
        <v>1771</v>
      </c>
      <c r="H848" t="s">
        <v>1836</v>
      </c>
      <c r="L848" s="1">
        <v>42670</v>
      </c>
      <c r="M848" s="1">
        <v>42718</v>
      </c>
    </row>
    <row r="849" spans="2:13" x14ac:dyDescent="0.25">
      <c r="B849" t="s">
        <v>1833</v>
      </c>
      <c r="C849" t="s">
        <v>0</v>
      </c>
      <c r="D849" t="s">
        <v>1</v>
      </c>
      <c r="E849">
        <v>660249</v>
      </c>
      <c r="F849" t="s">
        <v>1771</v>
      </c>
      <c r="H849" t="s">
        <v>1834</v>
      </c>
      <c r="L849" s="1">
        <v>42670</v>
      </c>
      <c r="M849" s="1">
        <v>42761</v>
      </c>
    </row>
    <row r="850" spans="2:13" x14ac:dyDescent="0.25">
      <c r="B850" t="s">
        <v>1830</v>
      </c>
      <c r="C850" t="s">
        <v>139</v>
      </c>
      <c r="F850" t="s">
        <v>1831</v>
      </c>
      <c r="H850" t="s">
        <v>1832</v>
      </c>
      <c r="L850" s="1">
        <v>42769</v>
      </c>
      <c r="M850" s="1">
        <v>42891</v>
      </c>
    </row>
    <row r="851" spans="2:13" x14ac:dyDescent="0.25">
      <c r="B851" t="s">
        <v>1829</v>
      </c>
      <c r="C851" t="s">
        <v>0</v>
      </c>
      <c r="D851" t="s">
        <v>1</v>
      </c>
      <c r="E851">
        <v>664200</v>
      </c>
      <c r="F851" t="s">
        <v>1794</v>
      </c>
      <c r="H851" t="s">
        <v>1828</v>
      </c>
      <c r="L851" s="1">
        <v>42832</v>
      </c>
      <c r="M851" s="1">
        <v>42886</v>
      </c>
    </row>
    <row r="852" spans="2:13" x14ac:dyDescent="0.25">
      <c r="B852" t="s">
        <v>1827</v>
      </c>
      <c r="C852" t="s">
        <v>100</v>
      </c>
      <c r="D852" t="s">
        <v>50</v>
      </c>
      <c r="E852">
        <v>663176</v>
      </c>
      <c r="F852" t="s">
        <v>1767</v>
      </c>
      <c r="H852" t="s">
        <v>1828</v>
      </c>
      <c r="L852" s="1">
        <v>42765</v>
      </c>
    </row>
    <row r="853" spans="2:13" x14ac:dyDescent="0.25">
      <c r="B853" t="s">
        <v>1825</v>
      </c>
      <c r="C853" t="s">
        <v>0</v>
      </c>
      <c r="D853" t="s">
        <v>1</v>
      </c>
      <c r="E853">
        <v>659623</v>
      </c>
      <c r="F853" t="s">
        <v>1767</v>
      </c>
      <c r="H853" t="s">
        <v>1826</v>
      </c>
      <c r="L853" s="1">
        <v>42688</v>
      </c>
      <c r="M853" s="1">
        <v>42740</v>
      </c>
    </row>
    <row r="854" spans="2:13" x14ac:dyDescent="0.25">
      <c r="B854" t="s">
        <v>1823</v>
      </c>
      <c r="C854" t="s">
        <v>0</v>
      </c>
      <c r="D854" t="s">
        <v>1</v>
      </c>
      <c r="E854">
        <v>661985</v>
      </c>
      <c r="F854" t="s">
        <v>1794</v>
      </c>
      <c r="H854" t="s">
        <v>1824</v>
      </c>
      <c r="L854" s="1">
        <v>42766</v>
      </c>
      <c r="M854" s="1">
        <v>42810</v>
      </c>
    </row>
    <row r="855" spans="2:13" x14ac:dyDescent="0.25">
      <c r="B855" t="s">
        <v>1821</v>
      </c>
      <c r="C855" t="s">
        <v>0</v>
      </c>
      <c r="D855" t="s">
        <v>1</v>
      </c>
      <c r="E855">
        <v>655031</v>
      </c>
      <c r="F855" t="s">
        <v>1794</v>
      </c>
      <c r="H855" t="s">
        <v>1822</v>
      </c>
      <c r="L855" s="1">
        <v>42538</v>
      </c>
      <c r="M855" s="1">
        <v>42590</v>
      </c>
    </row>
    <row r="856" spans="2:13" x14ac:dyDescent="0.25">
      <c r="L856" s="1"/>
      <c r="M856" s="1"/>
    </row>
    <row r="857" spans="2:13" x14ac:dyDescent="0.25">
      <c r="L857" s="1"/>
      <c r="M857" s="1"/>
    </row>
    <row r="858" spans="2:13" x14ac:dyDescent="0.25">
      <c r="L858" s="1"/>
      <c r="M858" s="1"/>
    </row>
    <row r="859" spans="2:13" x14ac:dyDescent="0.25">
      <c r="L859" s="1"/>
      <c r="M859" s="1"/>
    </row>
    <row r="860" spans="2:13" x14ac:dyDescent="0.25">
      <c r="L860" s="1"/>
      <c r="M860" s="1"/>
    </row>
    <row r="861" spans="2:13" x14ac:dyDescent="0.25">
      <c r="B861" t="s">
        <v>1819</v>
      </c>
      <c r="C861" t="s">
        <v>139</v>
      </c>
      <c r="F861" t="s">
        <v>395</v>
      </c>
      <c r="H861" t="s">
        <v>1820</v>
      </c>
      <c r="L861" s="1">
        <v>42872</v>
      </c>
    </row>
    <row r="862" spans="2:13" x14ac:dyDescent="0.25">
      <c r="B862" t="s">
        <v>1817</v>
      </c>
      <c r="C862" t="s">
        <v>0</v>
      </c>
      <c r="D862" t="s">
        <v>1</v>
      </c>
      <c r="E862">
        <v>659841</v>
      </c>
      <c r="F862" t="s">
        <v>1794</v>
      </c>
      <c r="H862" t="s">
        <v>1818</v>
      </c>
      <c r="L862" s="1">
        <v>42662</v>
      </c>
      <c r="M862" s="1">
        <v>42747</v>
      </c>
    </row>
    <row r="863" spans="2:13" x14ac:dyDescent="0.25">
      <c r="B863" t="s">
        <v>1815</v>
      </c>
      <c r="C863" t="s">
        <v>0</v>
      </c>
      <c r="D863" t="s">
        <v>1</v>
      </c>
      <c r="E863">
        <v>660734</v>
      </c>
      <c r="F863" t="s">
        <v>1794</v>
      </c>
      <c r="H863" t="s">
        <v>1816</v>
      </c>
      <c r="L863" s="1">
        <v>42724</v>
      </c>
      <c r="M863" s="1">
        <v>42772</v>
      </c>
    </row>
    <row r="864" spans="2:13" x14ac:dyDescent="0.25">
      <c r="B864" t="s">
        <v>1813</v>
      </c>
      <c r="C864" t="s">
        <v>0</v>
      </c>
      <c r="D864" t="s">
        <v>1</v>
      </c>
      <c r="E864">
        <v>659789</v>
      </c>
      <c r="F864" t="s">
        <v>1794</v>
      </c>
      <c r="H864" t="s">
        <v>1814</v>
      </c>
      <c r="L864" s="1">
        <v>42706</v>
      </c>
      <c r="M864" s="1">
        <v>42746</v>
      </c>
    </row>
    <row r="865" spans="2:13" x14ac:dyDescent="0.25">
      <c r="B865" t="s">
        <v>1811</v>
      </c>
      <c r="C865" t="s">
        <v>0</v>
      </c>
      <c r="D865" t="s">
        <v>1</v>
      </c>
      <c r="E865">
        <v>664123</v>
      </c>
      <c r="F865" t="s">
        <v>1771</v>
      </c>
      <c r="H865" t="s">
        <v>1812</v>
      </c>
      <c r="L865" s="1">
        <v>42829</v>
      </c>
      <c r="M865" s="1">
        <v>42885</v>
      </c>
    </row>
    <row r="866" spans="2:13" x14ac:dyDescent="0.25">
      <c r="B866" t="s">
        <v>1810</v>
      </c>
      <c r="C866" t="s">
        <v>76</v>
      </c>
      <c r="F866" t="s">
        <v>1794</v>
      </c>
      <c r="H866" t="s">
        <v>1809</v>
      </c>
      <c r="L866" s="1">
        <v>42832</v>
      </c>
    </row>
    <row r="867" spans="2:13" x14ac:dyDescent="0.25">
      <c r="B867" t="s">
        <v>1808</v>
      </c>
      <c r="C867" t="s">
        <v>0</v>
      </c>
      <c r="D867" t="s">
        <v>1</v>
      </c>
      <c r="E867">
        <v>661570</v>
      </c>
      <c r="F867" t="s">
        <v>1794</v>
      </c>
      <c r="H867" t="s">
        <v>1809</v>
      </c>
      <c r="L867" s="1">
        <v>42706</v>
      </c>
      <c r="M867" s="1">
        <v>42796</v>
      </c>
    </row>
    <row r="868" spans="2:13" x14ac:dyDescent="0.25">
      <c r="B868" t="s">
        <v>1806</v>
      </c>
      <c r="C868" t="s">
        <v>0</v>
      </c>
      <c r="D868" t="s">
        <v>1</v>
      </c>
      <c r="E868">
        <v>659788</v>
      </c>
      <c r="F868" t="s">
        <v>1794</v>
      </c>
      <c r="H868" t="s">
        <v>1807</v>
      </c>
      <c r="L868" s="1">
        <v>42706</v>
      </c>
      <c r="M868" s="1">
        <v>42746</v>
      </c>
    </row>
    <row r="869" spans="2:13" x14ac:dyDescent="0.25">
      <c r="B869" t="s">
        <v>1804</v>
      </c>
      <c r="C869" t="s">
        <v>139</v>
      </c>
      <c r="F869" t="s">
        <v>1794</v>
      </c>
      <c r="H869" t="s">
        <v>1805</v>
      </c>
      <c r="L869" s="1">
        <v>42768</v>
      </c>
      <c r="M869" s="1">
        <v>42878</v>
      </c>
    </row>
    <row r="870" spans="2:13" x14ac:dyDescent="0.25">
      <c r="B870" t="s">
        <v>1802</v>
      </c>
      <c r="C870" t="s">
        <v>0</v>
      </c>
      <c r="D870" t="s">
        <v>1</v>
      </c>
      <c r="E870">
        <v>661056</v>
      </c>
      <c r="F870" t="s">
        <v>1794</v>
      </c>
      <c r="H870" t="s">
        <v>1803</v>
      </c>
      <c r="L870" s="1">
        <v>42706</v>
      </c>
      <c r="M870" s="1">
        <v>42781</v>
      </c>
    </row>
    <row r="871" spans="2:13" x14ac:dyDescent="0.25">
      <c r="B871" t="s">
        <v>1800</v>
      </c>
      <c r="C871" t="s">
        <v>0</v>
      </c>
      <c r="D871" t="s">
        <v>1</v>
      </c>
      <c r="E871">
        <v>659157</v>
      </c>
      <c r="F871" t="s">
        <v>1794</v>
      </c>
      <c r="H871" t="s">
        <v>1801</v>
      </c>
      <c r="L871" s="1">
        <v>42663</v>
      </c>
      <c r="M871" s="1">
        <v>42725</v>
      </c>
    </row>
    <row r="872" spans="2:13" x14ac:dyDescent="0.25">
      <c r="B872" t="s">
        <v>1798</v>
      </c>
      <c r="C872" t="s">
        <v>0</v>
      </c>
      <c r="D872" t="s">
        <v>1</v>
      </c>
      <c r="E872">
        <v>659787</v>
      </c>
      <c r="F872" t="s">
        <v>1794</v>
      </c>
      <c r="H872" t="s">
        <v>1799</v>
      </c>
      <c r="L872" s="1">
        <v>42706</v>
      </c>
      <c r="M872" s="1">
        <v>42746</v>
      </c>
    </row>
    <row r="873" spans="2:13" x14ac:dyDescent="0.25">
      <c r="B873" t="s">
        <v>1797</v>
      </c>
      <c r="C873" t="s">
        <v>0</v>
      </c>
      <c r="D873" t="s">
        <v>1</v>
      </c>
      <c r="E873">
        <v>663195</v>
      </c>
      <c r="F873" t="s">
        <v>1794</v>
      </c>
      <c r="H873" t="s">
        <v>1795</v>
      </c>
      <c r="L873" s="1">
        <v>42817</v>
      </c>
      <c r="M873" s="1">
        <v>42852</v>
      </c>
    </row>
    <row r="874" spans="2:13" x14ac:dyDescent="0.25">
      <c r="B874" t="s">
        <v>1796</v>
      </c>
      <c r="C874" t="s">
        <v>100</v>
      </c>
      <c r="D874" t="s">
        <v>50</v>
      </c>
      <c r="E874">
        <v>659739</v>
      </c>
      <c r="F874" t="s">
        <v>1794</v>
      </c>
      <c r="H874" t="s">
        <v>1795</v>
      </c>
      <c r="L874" s="1">
        <v>42702</v>
      </c>
    </row>
    <row r="875" spans="2:13" x14ac:dyDescent="0.25">
      <c r="B875" t="s">
        <v>1793</v>
      </c>
      <c r="C875" t="s">
        <v>0</v>
      </c>
      <c r="D875" t="s">
        <v>1</v>
      </c>
      <c r="E875">
        <v>659624</v>
      </c>
      <c r="F875" t="s">
        <v>1794</v>
      </c>
      <c r="H875" t="s">
        <v>1795</v>
      </c>
      <c r="L875" s="1">
        <v>42706</v>
      </c>
      <c r="M875" s="1">
        <v>42740</v>
      </c>
    </row>
    <row r="876" spans="2:13" x14ac:dyDescent="0.25">
      <c r="L876" s="1"/>
      <c r="M876" s="1"/>
    </row>
    <row r="877" spans="2:13" x14ac:dyDescent="0.25">
      <c r="L877" s="1"/>
      <c r="M877" s="1"/>
    </row>
    <row r="878" spans="2:13" x14ac:dyDescent="0.25">
      <c r="L878" s="1"/>
      <c r="M878" s="1"/>
    </row>
    <row r="879" spans="2:13" x14ac:dyDescent="0.25">
      <c r="L879" s="1"/>
      <c r="M879" s="1"/>
    </row>
    <row r="880" spans="2:13" x14ac:dyDescent="0.25">
      <c r="L880" s="1"/>
      <c r="M880" s="1"/>
    </row>
    <row r="881" spans="2:13" x14ac:dyDescent="0.25">
      <c r="B881" t="s">
        <v>1791</v>
      </c>
      <c r="C881" t="s">
        <v>139</v>
      </c>
      <c r="F881" t="s">
        <v>1771</v>
      </c>
      <c r="H881" t="s">
        <v>1792</v>
      </c>
      <c r="L881" s="1">
        <v>42661</v>
      </c>
      <c r="M881" s="1">
        <v>42891</v>
      </c>
    </row>
    <row r="882" spans="2:13" x14ac:dyDescent="0.25">
      <c r="B882" t="s">
        <v>1789</v>
      </c>
      <c r="C882" t="s">
        <v>0</v>
      </c>
      <c r="F882" t="s">
        <v>1767</v>
      </c>
      <c r="H882" t="s">
        <v>1790</v>
      </c>
      <c r="L882" s="1">
        <v>42724</v>
      </c>
      <c r="M882" s="1">
        <v>42774</v>
      </c>
    </row>
    <row r="883" spans="2:13" x14ac:dyDescent="0.25">
      <c r="B883" t="s">
        <v>1788</v>
      </c>
      <c r="C883" t="s">
        <v>162</v>
      </c>
      <c r="F883" t="s">
        <v>1767</v>
      </c>
      <c r="H883" t="s">
        <v>1787</v>
      </c>
      <c r="L883" s="1">
        <v>42885</v>
      </c>
      <c r="M883" s="1">
        <v>42906</v>
      </c>
    </row>
    <row r="884" spans="2:13" x14ac:dyDescent="0.25">
      <c r="B884" t="s">
        <v>1786</v>
      </c>
      <c r="C884" t="s">
        <v>0</v>
      </c>
      <c r="D884" t="s">
        <v>1</v>
      </c>
      <c r="E884">
        <v>661055</v>
      </c>
      <c r="F884" t="s">
        <v>1767</v>
      </c>
      <c r="H884" t="s">
        <v>1787</v>
      </c>
      <c r="L884" s="1">
        <v>42684</v>
      </c>
      <c r="M884" s="1">
        <v>42781</v>
      </c>
    </row>
    <row r="885" spans="2:13" x14ac:dyDescent="0.25">
      <c r="B885" t="s">
        <v>1785</v>
      </c>
      <c r="C885" t="s">
        <v>0</v>
      </c>
      <c r="D885" t="s">
        <v>1</v>
      </c>
      <c r="E885">
        <v>663511</v>
      </c>
      <c r="F885" t="s">
        <v>395</v>
      </c>
      <c r="H885" t="s">
        <v>1784</v>
      </c>
      <c r="L885" s="1">
        <v>42816</v>
      </c>
      <c r="M885" s="1">
        <v>42863</v>
      </c>
    </row>
    <row r="886" spans="2:13" x14ac:dyDescent="0.25">
      <c r="B886" t="s">
        <v>1783</v>
      </c>
      <c r="C886" t="s">
        <v>100</v>
      </c>
      <c r="D886" t="s">
        <v>50</v>
      </c>
      <c r="E886">
        <v>661814</v>
      </c>
      <c r="F886" t="s">
        <v>395</v>
      </c>
      <c r="H886" t="s">
        <v>1784</v>
      </c>
      <c r="L886" s="1">
        <v>42755</v>
      </c>
    </row>
    <row r="887" spans="2:13" x14ac:dyDescent="0.25">
      <c r="B887" t="s">
        <v>1782</v>
      </c>
      <c r="C887" t="s">
        <v>0</v>
      </c>
      <c r="D887" t="s">
        <v>1</v>
      </c>
      <c r="E887">
        <v>659592</v>
      </c>
      <c r="F887" t="s">
        <v>1767</v>
      </c>
      <c r="H887" t="s">
        <v>1781</v>
      </c>
      <c r="L887" s="1">
        <v>42684</v>
      </c>
      <c r="M887" s="1">
        <v>42739</v>
      </c>
    </row>
    <row r="888" spans="2:13" x14ac:dyDescent="0.25">
      <c r="B888" t="s">
        <v>1780</v>
      </c>
      <c r="C888" t="s">
        <v>0</v>
      </c>
      <c r="D888" t="s">
        <v>1</v>
      </c>
      <c r="E888">
        <v>645188</v>
      </c>
      <c r="F888" t="s">
        <v>1767</v>
      </c>
      <c r="H888" t="s">
        <v>1781</v>
      </c>
      <c r="L888" s="1">
        <v>42209</v>
      </c>
      <c r="M888" s="1">
        <v>42263</v>
      </c>
    </row>
    <row r="889" spans="2:13" x14ac:dyDescent="0.25">
      <c r="B889" t="s">
        <v>1778</v>
      </c>
      <c r="C889" t="s">
        <v>0</v>
      </c>
      <c r="D889" t="s">
        <v>1</v>
      </c>
      <c r="E889">
        <v>660893</v>
      </c>
      <c r="F889" t="s">
        <v>1767</v>
      </c>
      <c r="H889" t="s">
        <v>1779</v>
      </c>
      <c r="L889" s="1">
        <v>42704</v>
      </c>
      <c r="M889" s="1">
        <v>42775</v>
      </c>
    </row>
    <row r="890" spans="2:13" x14ac:dyDescent="0.25">
      <c r="B890" t="s">
        <v>1777</v>
      </c>
      <c r="C890" t="s">
        <v>0</v>
      </c>
      <c r="D890" t="s">
        <v>1</v>
      </c>
      <c r="E890">
        <v>616709</v>
      </c>
      <c r="F890" t="s">
        <v>163</v>
      </c>
      <c r="H890" t="s">
        <v>1776</v>
      </c>
      <c r="L890" s="1">
        <v>41502</v>
      </c>
      <c r="M890" s="1">
        <v>41554</v>
      </c>
    </row>
    <row r="891" spans="2:13" x14ac:dyDescent="0.25">
      <c r="B891" t="s">
        <v>1775</v>
      </c>
      <c r="C891" t="s">
        <v>0</v>
      </c>
      <c r="D891" t="s">
        <v>1</v>
      </c>
      <c r="E891">
        <v>616501</v>
      </c>
      <c r="F891" t="s">
        <v>163</v>
      </c>
      <c r="H891" t="s">
        <v>1776</v>
      </c>
      <c r="L891" s="1">
        <v>41502</v>
      </c>
      <c r="M891" s="1">
        <v>41548</v>
      </c>
    </row>
    <row r="892" spans="2:13" x14ac:dyDescent="0.25">
      <c r="B892" t="s">
        <v>1773</v>
      </c>
      <c r="C892" t="s">
        <v>0</v>
      </c>
      <c r="D892" t="s">
        <v>1</v>
      </c>
      <c r="E892">
        <v>645186</v>
      </c>
      <c r="F892" t="s">
        <v>1767</v>
      </c>
      <c r="H892" t="s">
        <v>1774</v>
      </c>
      <c r="L892" s="1">
        <v>42209</v>
      </c>
      <c r="M892" s="1">
        <v>42263</v>
      </c>
    </row>
    <row r="893" spans="2:13" x14ac:dyDescent="0.25">
      <c r="B893" t="s">
        <v>1770</v>
      </c>
      <c r="C893" t="s">
        <v>139</v>
      </c>
      <c r="F893" t="s">
        <v>1771</v>
      </c>
      <c r="H893" t="s">
        <v>1772</v>
      </c>
      <c r="L893" s="1">
        <v>42863</v>
      </c>
      <c r="M893" s="1">
        <v>42899</v>
      </c>
    </row>
    <row r="894" spans="2:13" x14ac:dyDescent="0.25">
      <c r="B894" t="s">
        <v>1766</v>
      </c>
      <c r="C894" t="s">
        <v>0</v>
      </c>
      <c r="D894" t="s">
        <v>1</v>
      </c>
      <c r="E894">
        <v>645273</v>
      </c>
      <c r="F894" t="s">
        <v>1767</v>
      </c>
      <c r="H894" t="s">
        <v>1768</v>
      </c>
      <c r="L894" s="1">
        <v>42207</v>
      </c>
      <c r="M894" s="1">
        <v>42264</v>
      </c>
    </row>
    <row r="901" spans="2:13" x14ac:dyDescent="0.25">
      <c r="B901" t="s">
        <v>461</v>
      </c>
      <c r="C901" t="s">
        <v>139</v>
      </c>
      <c r="F901" t="s">
        <v>134</v>
      </c>
      <c r="H901" t="s">
        <v>460</v>
      </c>
      <c r="L901" s="1">
        <v>42870</v>
      </c>
    </row>
    <row r="902" spans="2:13" x14ac:dyDescent="0.25">
      <c r="B902" t="s">
        <v>364</v>
      </c>
      <c r="C902" t="s">
        <v>140</v>
      </c>
      <c r="F902" t="s">
        <v>134</v>
      </c>
      <c r="H902" t="s">
        <v>363</v>
      </c>
      <c r="L902" s="1">
        <v>42741</v>
      </c>
      <c r="M902" s="1">
        <v>42899</v>
      </c>
    </row>
    <row r="903" spans="2:13" x14ac:dyDescent="0.25">
      <c r="B903" t="s">
        <v>1737</v>
      </c>
      <c r="C903" t="s">
        <v>0</v>
      </c>
      <c r="D903" t="s">
        <v>1</v>
      </c>
      <c r="E903">
        <v>655107</v>
      </c>
      <c r="F903" t="s">
        <v>134</v>
      </c>
      <c r="H903" t="s">
        <v>1738</v>
      </c>
      <c r="L903" s="1">
        <v>42530</v>
      </c>
      <c r="M903" s="1">
        <v>42592</v>
      </c>
    </row>
    <row r="904" spans="2:13" x14ac:dyDescent="0.25">
      <c r="B904" t="s">
        <v>1736</v>
      </c>
      <c r="C904" t="s">
        <v>0</v>
      </c>
      <c r="D904" t="s">
        <v>1</v>
      </c>
      <c r="E904">
        <v>653898</v>
      </c>
      <c r="F904" t="s">
        <v>134</v>
      </c>
      <c r="H904" t="s">
        <v>344</v>
      </c>
      <c r="L904" s="1">
        <v>42473</v>
      </c>
      <c r="M904" s="1">
        <v>42551</v>
      </c>
    </row>
    <row r="905" spans="2:13" x14ac:dyDescent="0.25">
      <c r="B905" t="s">
        <v>343</v>
      </c>
      <c r="C905" t="s">
        <v>76</v>
      </c>
      <c r="D905" t="s">
        <v>1</v>
      </c>
      <c r="E905">
        <v>648172</v>
      </c>
      <c r="F905" t="s">
        <v>134</v>
      </c>
      <c r="H905" t="s">
        <v>344</v>
      </c>
      <c r="L905" s="1">
        <v>42299</v>
      </c>
    </row>
    <row r="906" spans="2:13" x14ac:dyDescent="0.25">
      <c r="B906" t="s">
        <v>1734</v>
      </c>
      <c r="C906" t="s">
        <v>0</v>
      </c>
      <c r="D906" t="s">
        <v>1</v>
      </c>
      <c r="E906">
        <v>654493</v>
      </c>
      <c r="F906" t="s">
        <v>134</v>
      </c>
      <c r="H906" t="s">
        <v>1735</v>
      </c>
      <c r="L906" s="1">
        <v>42509</v>
      </c>
      <c r="M906" s="1">
        <v>42571</v>
      </c>
    </row>
    <row r="907" spans="2:13" x14ac:dyDescent="0.25">
      <c r="B907" t="s">
        <v>1732</v>
      </c>
      <c r="C907" t="s">
        <v>0</v>
      </c>
      <c r="D907" t="s">
        <v>1</v>
      </c>
      <c r="E907">
        <v>650783</v>
      </c>
      <c r="F907" t="s">
        <v>134</v>
      </c>
      <c r="H907" t="s">
        <v>1733</v>
      </c>
      <c r="L907" s="1">
        <v>42390</v>
      </c>
      <c r="M907" s="1">
        <v>42443</v>
      </c>
    </row>
    <row r="908" spans="2:13" x14ac:dyDescent="0.25">
      <c r="B908" t="s">
        <v>283</v>
      </c>
      <c r="C908" t="s">
        <v>139</v>
      </c>
      <c r="F908" t="s">
        <v>134</v>
      </c>
      <c r="H908" t="s">
        <v>282</v>
      </c>
      <c r="L908" s="1">
        <v>42857</v>
      </c>
      <c r="M908" s="1">
        <v>42898</v>
      </c>
    </row>
    <row r="909" spans="2:13" x14ac:dyDescent="0.25">
      <c r="B909" t="s">
        <v>1730</v>
      </c>
      <c r="C909" t="s">
        <v>0</v>
      </c>
      <c r="D909" t="s">
        <v>1</v>
      </c>
      <c r="E909">
        <v>655131</v>
      </c>
      <c r="F909" t="s">
        <v>134</v>
      </c>
      <c r="H909" t="s">
        <v>1731</v>
      </c>
      <c r="L909" s="1">
        <v>42516</v>
      </c>
      <c r="M909" s="1">
        <v>42593</v>
      </c>
    </row>
    <row r="910" spans="2:13" x14ac:dyDescent="0.25">
      <c r="B910" t="s">
        <v>239</v>
      </c>
      <c r="C910" t="s">
        <v>162</v>
      </c>
      <c r="F910" t="s">
        <v>134</v>
      </c>
      <c r="H910" t="s">
        <v>240</v>
      </c>
      <c r="L910" s="1">
        <v>42891</v>
      </c>
      <c r="M910" s="1">
        <v>42912</v>
      </c>
    </row>
    <row r="911" spans="2:13" x14ac:dyDescent="0.25">
      <c r="B911" t="s">
        <v>1729</v>
      </c>
      <c r="C911" t="s">
        <v>0</v>
      </c>
      <c r="D911" t="s">
        <v>1</v>
      </c>
      <c r="E911">
        <v>657889</v>
      </c>
      <c r="F911" t="s">
        <v>134</v>
      </c>
      <c r="H911" t="s">
        <v>240</v>
      </c>
      <c r="L911" s="1">
        <v>42515</v>
      </c>
      <c r="M911" s="1">
        <v>42688</v>
      </c>
    </row>
    <row r="912" spans="2:13" x14ac:dyDescent="0.25">
      <c r="B912" t="s">
        <v>1728</v>
      </c>
      <c r="C912" t="s">
        <v>0</v>
      </c>
      <c r="D912" t="s">
        <v>1</v>
      </c>
      <c r="E912">
        <v>657242</v>
      </c>
      <c r="F912" t="s">
        <v>134</v>
      </c>
      <c r="H912" t="s">
        <v>1727</v>
      </c>
      <c r="L912" s="1">
        <v>42625</v>
      </c>
      <c r="M912" s="1">
        <v>42668</v>
      </c>
    </row>
    <row r="913" spans="2:13" x14ac:dyDescent="0.25">
      <c r="B913" t="s">
        <v>1726</v>
      </c>
      <c r="C913" t="s">
        <v>0</v>
      </c>
      <c r="D913" t="s">
        <v>1</v>
      </c>
      <c r="E913">
        <v>656174</v>
      </c>
      <c r="F913" t="s">
        <v>134</v>
      </c>
      <c r="H913" t="s">
        <v>1727</v>
      </c>
      <c r="L913" s="1">
        <v>42565</v>
      </c>
      <c r="M913" s="1">
        <v>42632</v>
      </c>
    </row>
    <row r="914" spans="2:13" x14ac:dyDescent="0.25">
      <c r="B914" t="s">
        <v>199</v>
      </c>
      <c r="C914" t="s">
        <v>76</v>
      </c>
      <c r="F914" t="s">
        <v>134</v>
      </c>
      <c r="H914" t="s">
        <v>198</v>
      </c>
      <c r="L914" s="1">
        <v>42782</v>
      </c>
    </row>
    <row r="915" spans="2:13" x14ac:dyDescent="0.25">
      <c r="B915" t="s">
        <v>197</v>
      </c>
      <c r="C915" t="s">
        <v>76</v>
      </c>
      <c r="D915" t="s">
        <v>1</v>
      </c>
      <c r="E915">
        <v>658037</v>
      </c>
      <c r="F915" t="s">
        <v>134</v>
      </c>
      <c r="H915" t="s">
        <v>198</v>
      </c>
      <c r="L915" s="1">
        <v>42625</v>
      </c>
      <c r="M915" s="1">
        <v>42667</v>
      </c>
    </row>
    <row r="916" spans="2:13" x14ac:dyDescent="0.25">
      <c r="B916" t="s">
        <v>1724</v>
      </c>
      <c r="C916" t="s">
        <v>0</v>
      </c>
      <c r="D916" t="s">
        <v>1</v>
      </c>
      <c r="E916">
        <v>648751</v>
      </c>
      <c r="F916" t="s">
        <v>134</v>
      </c>
      <c r="H916" t="s">
        <v>1725</v>
      </c>
      <c r="L916" s="1">
        <v>42276</v>
      </c>
      <c r="M916" s="1">
        <v>42388</v>
      </c>
    </row>
    <row r="917" spans="2:13" x14ac:dyDescent="0.25">
      <c r="B917" t="s">
        <v>1723</v>
      </c>
      <c r="C917" t="s">
        <v>0</v>
      </c>
      <c r="D917" t="s">
        <v>1</v>
      </c>
      <c r="E917">
        <v>662592</v>
      </c>
      <c r="F917" t="s">
        <v>134</v>
      </c>
      <c r="H917" t="s">
        <v>172</v>
      </c>
      <c r="L917" s="1">
        <v>42773</v>
      </c>
      <c r="M917" s="1">
        <v>42831</v>
      </c>
    </row>
    <row r="918" spans="2:13" x14ac:dyDescent="0.25">
      <c r="B918" t="s">
        <v>1722</v>
      </c>
      <c r="C918" t="s">
        <v>0</v>
      </c>
      <c r="D918" t="s">
        <v>1</v>
      </c>
      <c r="E918">
        <v>657295</v>
      </c>
      <c r="F918" t="s">
        <v>134</v>
      </c>
      <c r="H918" t="s">
        <v>172</v>
      </c>
      <c r="L918" s="1">
        <v>42605</v>
      </c>
      <c r="M918" s="1">
        <v>42669</v>
      </c>
    </row>
    <row r="924" spans="2:13" x14ac:dyDescent="0.25">
      <c r="B924" t="s">
        <v>542</v>
      </c>
      <c r="C924" t="s">
        <v>76</v>
      </c>
      <c r="F924" t="s">
        <v>134</v>
      </c>
      <c r="H924" t="s">
        <v>541</v>
      </c>
      <c r="L924" s="1">
        <v>42856</v>
      </c>
    </row>
    <row r="925" spans="2:13" x14ac:dyDescent="0.25">
      <c r="B925" t="s">
        <v>1721</v>
      </c>
      <c r="C925" t="s">
        <v>0</v>
      </c>
      <c r="D925" t="s">
        <v>1</v>
      </c>
      <c r="E925">
        <v>630258</v>
      </c>
      <c r="F925" t="s">
        <v>68</v>
      </c>
      <c r="H925" t="s">
        <v>530</v>
      </c>
      <c r="L925" s="1">
        <v>41822</v>
      </c>
      <c r="M925" s="1">
        <v>41890</v>
      </c>
    </row>
    <row r="926" spans="2:13" x14ac:dyDescent="0.25">
      <c r="B926" t="s">
        <v>1720</v>
      </c>
      <c r="C926" t="s">
        <v>0</v>
      </c>
      <c r="D926" t="s">
        <v>1</v>
      </c>
      <c r="E926">
        <v>657235</v>
      </c>
      <c r="F926" t="s">
        <v>134</v>
      </c>
      <c r="H926" t="s">
        <v>1718</v>
      </c>
      <c r="L926" s="1">
        <v>42612</v>
      </c>
      <c r="M926" s="1">
        <v>42668</v>
      </c>
    </row>
    <row r="927" spans="2:13" x14ac:dyDescent="0.25">
      <c r="B927" t="s">
        <v>1719</v>
      </c>
      <c r="C927" t="s">
        <v>0</v>
      </c>
      <c r="D927" t="s">
        <v>1</v>
      </c>
      <c r="E927">
        <v>657234</v>
      </c>
      <c r="F927" t="s">
        <v>134</v>
      </c>
      <c r="H927" t="s">
        <v>1718</v>
      </c>
      <c r="L927" s="1">
        <v>42612</v>
      </c>
      <c r="M927" s="1">
        <v>42668</v>
      </c>
    </row>
    <row r="928" spans="2:13" x14ac:dyDescent="0.25">
      <c r="B928" t="s">
        <v>1717</v>
      </c>
      <c r="C928" t="s">
        <v>0</v>
      </c>
      <c r="D928" t="s">
        <v>1</v>
      </c>
      <c r="E928">
        <v>647239</v>
      </c>
      <c r="F928" t="s">
        <v>44</v>
      </c>
      <c r="H928" t="s">
        <v>1718</v>
      </c>
      <c r="L928" s="1">
        <v>41976</v>
      </c>
      <c r="M928" s="1">
        <v>42338</v>
      </c>
    </row>
    <row r="929" spans="2:13" x14ac:dyDescent="0.25">
      <c r="B929" t="s">
        <v>1716</v>
      </c>
      <c r="C929" t="s">
        <v>0</v>
      </c>
      <c r="D929" t="s">
        <v>1</v>
      </c>
      <c r="E929">
        <v>651531</v>
      </c>
      <c r="F929" t="s">
        <v>44</v>
      </c>
      <c r="H929" t="s">
        <v>1715</v>
      </c>
      <c r="L929" s="1">
        <v>42437</v>
      </c>
      <c r="M929" s="1">
        <v>42466</v>
      </c>
    </row>
    <row r="930" spans="2:13" x14ac:dyDescent="0.25">
      <c r="B930" t="s">
        <v>1714</v>
      </c>
      <c r="C930" t="s">
        <v>0</v>
      </c>
      <c r="D930" t="s">
        <v>1</v>
      </c>
      <c r="E930">
        <v>640683</v>
      </c>
      <c r="F930" t="s">
        <v>44</v>
      </c>
      <c r="H930" t="s">
        <v>1715</v>
      </c>
      <c r="L930" s="1">
        <v>42093</v>
      </c>
      <c r="M930" s="1">
        <v>42138</v>
      </c>
    </row>
    <row r="931" spans="2:13" x14ac:dyDescent="0.25">
      <c r="B931" t="s">
        <v>1712</v>
      </c>
      <c r="C931" t="s">
        <v>0</v>
      </c>
      <c r="D931" t="s">
        <v>1</v>
      </c>
      <c r="E931">
        <v>645177</v>
      </c>
      <c r="F931" t="s">
        <v>44</v>
      </c>
      <c r="H931" t="s">
        <v>1713</v>
      </c>
      <c r="L931" s="1">
        <v>42086</v>
      </c>
      <c r="M931" s="1">
        <v>42263</v>
      </c>
    </row>
    <row r="932" spans="2:13" x14ac:dyDescent="0.25">
      <c r="B932" t="s">
        <v>1711</v>
      </c>
      <c r="C932" t="s">
        <v>0</v>
      </c>
      <c r="D932" t="s">
        <v>1</v>
      </c>
      <c r="E932">
        <v>640254</v>
      </c>
      <c r="F932" t="s">
        <v>44</v>
      </c>
      <c r="H932" t="s">
        <v>1710</v>
      </c>
      <c r="L932" s="1">
        <v>42017</v>
      </c>
      <c r="M932" s="1">
        <v>42128</v>
      </c>
    </row>
    <row r="933" spans="2:13" x14ac:dyDescent="0.25">
      <c r="B933" t="s">
        <v>1709</v>
      </c>
      <c r="C933" t="s">
        <v>100</v>
      </c>
      <c r="D933" t="s">
        <v>50</v>
      </c>
      <c r="E933">
        <v>637532</v>
      </c>
      <c r="F933" t="s">
        <v>68</v>
      </c>
      <c r="H933" t="s">
        <v>1710</v>
      </c>
      <c r="L933" s="1">
        <v>41983</v>
      </c>
    </row>
    <row r="934" spans="2:13" x14ac:dyDescent="0.25">
      <c r="B934" t="s">
        <v>1708</v>
      </c>
      <c r="C934" t="s">
        <v>0</v>
      </c>
      <c r="D934" t="s">
        <v>1</v>
      </c>
      <c r="E934">
        <v>645370</v>
      </c>
      <c r="F934" t="s">
        <v>44</v>
      </c>
      <c r="H934" t="s">
        <v>1706</v>
      </c>
      <c r="L934" s="1">
        <v>42219</v>
      </c>
      <c r="M934" s="1">
        <v>42268</v>
      </c>
    </row>
    <row r="935" spans="2:13" x14ac:dyDescent="0.25">
      <c r="B935" t="s">
        <v>1707</v>
      </c>
      <c r="C935" t="s">
        <v>0</v>
      </c>
      <c r="D935" t="s">
        <v>1</v>
      </c>
      <c r="E935">
        <v>643797</v>
      </c>
      <c r="F935" t="s">
        <v>44</v>
      </c>
      <c r="H935" t="s">
        <v>1706</v>
      </c>
      <c r="L935" s="1">
        <v>42177</v>
      </c>
      <c r="M935" s="1">
        <v>42220</v>
      </c>
    </row>
    <row r="936" spans="2:13" x14ac:dyDescent="0.25">
      <c r="B936" t="s">
        <v>1705</v>
      </c>
      <c r="C936" t="s">
        <v>0</v>
      </c>
      <c r="D936" t="s">
        <v>1</v>
      </c>
      <c r="E936">
        <v>640253</v>
      </c>
      <c r="F936" t="s">
        <v>44</v>
      </c>
      <c r="H936" t="s">
        <v>1706</v>
      </c>
      <c r="L936" s="1">
        <v>42017</v>
      </c>
      <c r="M936" s="1">
        <v>42128</v>
      </c>
    </row>
    <row r="937" spans="2:13" x14ac:dyDescent="0.25">
      <c r="B937" t="s">
        <v>1704</v>
      </c>
      <c r="C937" t="s">
        <v>0</v>
      </c>
      <c r="D937" t="s">
        <v>1</v>
      </c>
      <c r="E937">
        <v>651501</v>
      </c>
      <c r="F937" t="s">
        <v>44</v>
      </c>
      <c r="H937" t="s">
        <v>463</v>
      </c>
      <c r="L937" s="1">
        <v>42192</v>
      </c>
      <c r="M937" s="1">
        <v>42466</v>
      </c>
    </row>
    <row r="938" spans="2:13" x14ac:dyDescent="0.25">
      <c r="B938" t="s">
        <v>462</v>
      </c>
      <c r="C938" t="s">
        <v>76</v>
      </c>
      <c r="F938" t="s">
        <v>44</v>
      </c>
      <c r="H938" t="s">
        <v>463</v>
      </c>
      <c r="L938" s="1">
        <v>42086</v>
      </c>
      <c r="M938" s="1">
        <v>42114</v>
      </c>
    </row>
    <row r="939" spans="2:13" x14ac:dyDescent="0.25">
      <c r="B939" t="s">
        <v>1703</v>
      </c>
      <c r="C939" t="s">
        <v>0</v>
      </c>
      <c r="D939" t="s">
        <v>1</v>
      </c>
      <c r="E939">
        <v>647023</v>
      </c>
      <c r="F939" t="s">
        <v>44</v>
      </c>
      <c r="H939" t="s">
        <v>1702</v>
      </c>
      <c r="L939" s="1">
        <v>42219</v>
      </c>
      <c r="M939" s="1">
        <v>42327</v>
      </c>
    </row>
    <row r="940" spans="2:13" x14ac:dyDescent="0.25">
      <c r="B940" t="s">
        <v>1701</v>
      </c>
      <c r="C940" t="s">
        <v>0</v>
      </c>
      <c r="D940" t="s">
        <v>1</v>
      </c>
      <c r="E940">
        <v>640681</v>
      </c>
      <c r="F940" t="s">
        <v>44</v>
      </c>
      <c r="H940" t="s">
        <v>1702</v>
      </c>
      <c r="L940" s="1">
        <v>42093</v>
      </c>
      <c r="M940" s="1">
        <v>42138</v>
      </c>
    </row>
    <row r="941" spans="2:13" x14ac:dyDescent="0.25">
      <c r="B941" t="s">
        <v>1700</v>
      </c>
      <c r="C941" t="s">
        <v>100</v>
      </c>
      <c r="D941" t="s">
        <v>50</v>
      </c>
      <c r="E941">
        <v>656973</v>
      </c>
      <c r="F941" t="s">
        <v>134</v>
      </c>
      <c r="H941" t="s">
        <v>1696</v>
      </c>
      <c r="L941" s="1">
        <v>42614</v>
      </c>
    </row>
    <row r="942" spans="2:13" x14ac:dyDescent="0.25">
      <c r="B942" t="s">
        <v>1699</v>
      </c>
      <c r="C942" t="s">
        <v>100</v>
      </c>
      <c r="D942" t="s">
        <v>50</v>
      </c>
      <c r="E942">
        <v>656972</v>
      </c>
      <c r="F942" t="s">
        <v>134</v>
      </c>
      <c r="H942" t="s">
        <v>1696</v>
      </c>
      <c r="L942" s="1">
        <v>42614</v>
      </c>
    </row>
    <row r="943" spans="2:13" x14ac:dyDescent="0.25">
      <c r="B943" t="s">
        <v>1698</v>
      </c>
      <c r="C943" t="s">
        <v>0</v>
      </c>
      <c r="D943" t="s">
        <v>1</v>
      </c>
      <c r="E943">
        <v>657236</v>
      </c>
      <c r="F943" t="s">
        <v>134</v>
      </c>
      <c r="H943" t="s">
        <v>1696</v>
      </c>
      <c r="L943" s="1">
        <v>42614</v>
      </c>
      <c r="M943" s="1">
        <v>42668</v>
      </c>
    </row>
    <row r="944" spans="2:13" x14ac:dyDescent="0.25">
      <c r="B944" t="s">
        <v>1697</v>
      </c>
      <c r="C944" t="s">
        <v>0</v>
      </c>
      <c r="D944" t="s">
        <v>1</v>
      </c>
      <c r="E944">
        <v>645650</v>
      </c>
      <c r="F944" t="s">
        <v>44</v>
      </c>
      <c r="H944" t="s">
        <v>1696</v>
      </c>
      <c r="L944" s="1">
        <v>42241</v>
      </c>
      <c r="M944" s="1">
        <v>42277</v>
      </c>
    </row>
    <row r="945" spans="2:13" x14ac:dyDescent="0.25">
      <c r="B945" t="s">
        <v>1695</v>
      </c>
      <c r="C945" t="s">
        <v>0</v>
      </c>
      <c r="D945" t="s">
        <v>1</v>
      </c>
      <c r="E945">
        <v>641286</v>
      </c>
      <c r="F945" t="s">
        <v>44</v>
      </c>
      <c r="H945" t="s">
        <v>1696</v>
      </c>
      <c r="L945" s="1">
        <v>41976</v>
      </c>
      <c r="M945" s="1">
        <v>42156</v>
      </c>
    </row>
    <row r="946" spans="2:13" x14ac:dyDescent="0.25">
      <c r="B946" t="s">
        <v>1693</v>
      </c>
      <c r="C946" t="s">
        <v>0</v>
      </c>
      <c r="D946" t="s">
        <v>1</v>
      </c>
      <c r="E946">
        <v>645442</v>
      </c>
      <c r="F946" t="s">
        <v>68</v>
      </c>
      <c r="H946" t="s">
        <v>1694</v>
      </c>
      <c r="L946" s="1">
        <v>42215</v>
      </c>
      <c r="M946" s="1">
        <v>42270</v>
      </c>
    </row>
    <row r="947" spans="2:13" x14ac:dyDescent="0.25">
      <c r="B947" t="s">
        <v>412</v>
      </c>
      <c r="C947" t="s">
        <v>76</v>
      </c>
      <c r="F947" t="s">
        <v>134</v>
      </c>
      <c r="H947" t="s">
        <v>411</v>
      </c>
      <c r="L947" s="1">
        <v>42845</v>
      </c>
    </row>
    <row r="948" spans="2:13" x14ac:dyDescent="0.25">
      <c r="B948" t="s">
        <v>1692</v>
      </c>
      <c r="C948" t="s">
        <v>0</v>
      </c>
      <c r="D948" t="s">
        <v>1</v>
      </c>
      <c r="E948">
        <v>659044</v>
      </c>
      <c r="F948" t="s">
        <v>134</v>
      </c>
      <c r="H948" t="s">
        <v>402</v>
      </c>
      <c r="L948" s="1">
        <v>42682</v>
      </c>
      <c r="M948" s="1">
        <v>42723</v>
      </c>
    </row>
    <row r="949" spans="2:13" x14ac:dyDescent="0.25">
      <c r="B949" t="s">
        <v>1691</v>
      </c>
      <c r="C949" t="s">
        <v>0</v>
      </c>
      <c r="D949" t="s">
        <v>1</v>
      </c>
      <c r="E949">
        <v>656180</v>
      </c>
      <c r="F949" t="s">
        <v>134</v>
      </c>
      <c r="H949" t="s">
        <v>402</v>
      </c>
      <c r="L949" s="1">
        <v>42585</v>
      </c>
      <c r="M949" s="1">
        <v>42632</v>
      </c>
    </row>
    <row r="950" spans="2:13" x14ac:dyDescent="0.25">
      <c r="B950" t="s">
        <v>1689</v>
      </c>
      <c r="C950" t="s">
        <v>0</v>
      </c>
      <c r="D950" t="s">
        <v>1</v>
      </c>
      <c r="E950">
        <v>623667</v>
      </c>
      <c r="F950" t="s">
        <v>44</v>
      </c>
      <c r="H950" t="s">
        <v>1690</v>
      </c>
      <c r="L950" s="1">
        <v>41668</v>
      </c>
      <c r="M950" s="1">
        <v>41737</v>
      </c>
    </row>
    <row r="951" spans="2:13" x14ac:dyDescent="0.25">
      <c r="B951" t="s">
        <v>1687</v>
      </c>
      <c r="C951" t="s">
        <v>0</v>
      </c>
      <c r="D951" t="s">
        <v>1</v>
      </c>
      <c r="E951">
        <v>649269</v>
      </c>
      <c r="F951" t="s">
        <v>44</v>
      </c>
      <c r="H951" t="s">
        <v>1688</v>
      </c>
      <c r="L951" s="1">
        <v>42276</v>
      </c>
      <c r="M951" s="1">
        <v>42401</v>
      </c>
    </row>
    <row r="952" spans="2:13" x14ac:dyDescent="0.25">
      <c r="B952" t="s">
        <v>1685</v>
      </c>
      <c r="C952" t="s">
        <v>0</v>
      </c>
      <c r="D952" t="s">
        <v>1</v>
      </c>
      <c r="E952">
        <v>645275</v>
      </c>
      <c r="F952" t="s">
        <v>68</v>
      </c>
      <c r="H952" t="s">
        <v>1686</v>
      </c>
      <c r="L952" s="1">
        <v>42208</v>
      </c>
      <c r="M952" s="1">
        <v>42264</v>
      </c>
    </row>
    <row r="953" spans="2:13" x14ac:dyDescent="0.25">
      <c r="B953" t="s">
        <v>1683</v>
      </c>
      <c r="C953" t="s">
        <v>0</v>
      </c>
      <c r="D953" t="s">
        <v>1</v>
      </c>
      <c r="E953">
        <v>644460</v>
      </c>
      <c r="F953" t="s">
        <v>44</v>
      </c>
      <c r="H953" t="s">
        <v>1684</v>
      </c>
      <c r="L953" s="1">
        <v>42200</v>
      </c>
      <c r="M953" s="1">
        <v>42240</v>
      </c>
    </row>
    <row r="954" spans="2:13" x14ac:dyDescent="0.25">
      <c r="B954" t="s">
        <v>1681</v>
      </c>
      <c r="C954" t="s">
        <v>0</v>
      </c>
      <c r="D954" t="s">
        <v>1</v>
      </c>
      <c r="E954">
        <v>644459</v>
      </c>
      <c r="F954" t="s">
        <v>44</v>
      </c>
      <c r="H954" t="s">
        <v>1682</v>
      </c>
      <c r="L954" s="1">
        <v>42200</v>
      </c>
      <c r="M954" s="1">
        <v>42240</v>
      </c>
    </row>
    <row r="955" spans="2:13" x14ac:dyDescent="0.25">
      <c r="B955" t="s">
        <v>1680</v>
      </c>
      <c r="C955" t="s">
        <v>0</v>
      </c>
      <c r="D955" t="s">
        <v>1</v>
      </c>
      <c r="E955">
        <v>630920</v>
      </c>
      <c r="F955" t="s">
        <v>68</v>
      </c>
      <c r="H955" t="s">
        <v>353</v>
      </c>
      <c r="L955" s="1">
        <v>41822</v>
      </c>
      <c r="M955" s="1">
        <v>41904</v>
      </c>
    </row>
    <row r="956" spans="2:13" x14ac:dyDescent="0.25">
      <c r="B956" t="s">
        <v>1678</v>
      </c>
      <c r="C956" t="s">
        <v>0</v>
      </c>
      <c r="D956" t="s">
        <v>1</v>
      </c>
      <c r="E956">
        <v>648857</v>
      </c>
      <c r="F956" t="s">
        <v>44</v>
      </c>
      <c r="H956" t="s">
        <v>1679</v>
      </c>
      <c r="L956" s="1">
        <v>42291</v>
      </c>
      <c r="M956" s="1">
        <v>42390</v>
      </c>
    </row>
    <row r="957" spans="2:13" x14ac:dyDescent="0.25">
      <c r="B957" t="s">
        <v>1676</v>
      </c>
      <c r="C957" t="s">
        <v>0</v>
      </c>
      <c r="D957" t="s">
        <v>1</v>
      </c>
      <c r="E957">
        <v>623401</v>
      </c>
      <c r="F957" t="s">
        <v>44</v>
      </c>
      <c r="H957" t="s">
        <v>1677</v>
      </c>
      <c r="L957" s="1">
        <v>41668</v>
      </c>
      <c r="M957" s="1">
        <v>41730</v>
      </c>
    </row>
    <row r="958" spans="2:13" x14ac:dyDescent="0.25">
      <c r="B958" t="s">
        <v>1675</v>
      </c>
      <c r="C958" t="s">
        <v>100</v>
      </c>
      <c r="D958" t="s">
        <v>50</v>
      </c>
      <c r="E958">
        <v>660645</v>
      </c>
      <c r="F958" t="s">
        <v>68</v>
      </c>
      <c r="H958" t="s">
        <v>313</v>
      </c>
      <c r="L958" s="1">
        <v>42373</v>
      </c>
    </row>
    <row r="959" spans="2:13" x14ac:dyDescent="0.25">
      <c r="B959" t="s">
        <v>1674</v>
      </c>
      <c r="C959" t="s">
        <v>0</v>
      </c>
      <c r="D959" t="s">
        <v>1</v>
      </c>
      <c r="E959">
        <v>658174</v>
      </c>
      <c r="F959" t="s">
        <v>134</v>
      </c>
      <c r="H959" t="s">
        <v>301</v>
      </c>
      <c r="L959" s="1">
        <v>42558</v>
      </c>
      <c r="M959" s="1">
        <v>42696</v>
      </c>
    </row>
    <row r="960" spans="2:13" x14ac:dyDescent="0.25">
      <c r="B960" t="s">
        <v>1673</v>
      </c>
      <c r="C960" t="s">
        <v>0</v>
      </c>
      <c r="D960" t="s">
        <v>1</v>
      </c>
      <c r="E960">
        <v>661685</v>
      </c>
      <c r="F960" t="s">
        <v>134</v>
      </c>
      <c r="H960" t="s">
        <v>289</v>
      </c>
      <c r="L960" s="1">
        <v>42740</v>
      </c>
      <c r="M960" s="1">
        <v>42801</v>
      </c>
    </row>
    <row r="961" spans="2:13" x14ac:dyDescent="0.25">
      <c r="B961" t="s">
        <v>1672</v>
      </c>
      <c r="C961" t="s">
        <v>0</v>
      </c>
      <c r="D961" t="s">
        <v>1</v>
      </c>
      <c r="E961">
        <v>658031</v>
      </c>
      <c r="F961" t="s">
        <v>134</v>
      </c>
      <c r="H961" t="s">
        <v>289</v>
      </c>
      <c r="L961" s="1">
        <v>42584</v>
      </c>
      <c r="M961" s="1">
        <v>42691</v>
      </c>
    </row>
    <row r="962" spans="2:13" x14ac:dyDescent="0.25">
      <c r="B962" t="s">
        <v>1671</v>
      </c>
      <c r="C962" t="s">
        <v>0</v>
      </c>
      <c r="D962" t="s">
        <v>1</v>
      </c>
      <c r="E962">
        <v>656549</v>
      </c>
      <c r="F962" t="s">
        <v>44</v>
      </c>
      <c r="H962" t="s">
        <v>270</v>
      </c>
      <c r="L962" s="1">
        <v>42165</v>
      </c>
      <c r="M962" s="1">
        <v>42646</v>
      </c>
    </row>
    <row r="963" spans="2:13" x14ac:dyDescent="0.25">
      <c r="B963" t="s">
        <v>1669</v>
      </c>
      <c r="C963" t="s">
        <v>0</v>
      </c>
      <c r="D963" t="s">
        <v>1</v>
      </c>
      <c r="E963">
        <v>645704</v>
      </c>
      <c r="F963" t="s">
        <v>44</v>
      </c>
      <c r="H963" t="s">
        <v>1670</v>
      </c>
      <c r="L963" s="1">
        <v>42241</v>
      </c>
      <c r="M963" s="1">
        <v>42278</v>
      </c>
    </row>
    <row r="964" spans="2:13" x14ac:dyDescent="0.25">
      <c r="B964" t="s">
        <v>1668</v>
      </c>
      <c r="C964" t="s">
        <v>100</v>
      </c>
      <c r="D964" t="s">
        <v>50</v>
      </c>
      <c r="E964">
        <v>650719</v>
      </c>
      <c r="F964" t="s">
        <v>68</v>
      </c>
      <c r="H964" t="s">
        <v>224</v>
      </c>
      <c r="L964" s="1">
        <v>42361</v>
      </c>
    </row>
    <row r="965" spans="2:13" x14ac:dyDescent="0.25">
      <c r="B965" t="s">
        <v>1667</v>
      </c>
      <c r="C965" t="s">
        <v>0</v>
      </c>
      <c r="D965" t="s">
        <v>1</v>
      </c>
      <c r="E965">
        <v>653779</v>
      </c>
      <c r="F965" t="s">
        <v>44</v>
      </c>
      <c r="H965" t="s">
        <v>224</v>
      </c>
      <c r="L965" s="1">
        <v>42368</v>
      </c>
      <c r="M965" s="1">
        <v>42548</v>
      </c>
    </row>
    <row r="966" spans="2:13" x14ac:dyDescent="0.25">
      <c r="B966" t="s">
        <v>1665</v>
      </c>
      <c r="C966" t="s">
        <v>0</v>
      </c>
      <c r="D966" t="s">
        <v>1</v>
      </c>
      <c r="E966">
        <v>653433</v>
      </c>
      <c r="F966" t="s">
        <v>44</v>
      </c>
      <c r="H966" t="s">
        <v>1666</v>
      </c>
      <c r="L966" s="1">
        <v>42472</v>
      </c>
      <c r="M966" s="1">
        <v>42534</v>
      </c>
    </row>
    <row r="967" spans="2:13" x14ac:dyDescent="0.25">
      <c r="B967" t="s">
        <v>1664</v>
      </c>
      <c r="C967" t="s">
        <v>0</v>
      </c>
      <c r="D967" t="s">
        <v>1</v>
      </c>
      <c r="E967">
        <v>650896</v>
      </c>
      <c r="F967" t="s">
        <v>44</v>
      </c>
      <c r="H967" t="s">
        <v>1663</v>
      </c>
      <c r="L967" s="1">
        <v>42408</v>
      </c>
      <c r="M967" s="1">
        <v>42445</v>
      </c>
    </row>
    <row r="968" spans="2:13" x14ac:dyDescent="0.25">
      <c r="B968" t="s">
        <v>1662</v>
      </c>
      <c r="C968" t="s">
        <v>0</v>
      </c>
      <c r="D968" t="s">
        <v>1</v>
      </c>
      <c r="E968">
        <v>645706</v>
      </c>
      <c r="F968" t="s">
        <v>44</v>
      </c>
      <c r="H968" t="s">
        <v>1663</v>
      </c>
      <c r="L968" s="1">
        <v>42241</v>
      </c>
      <c r="M968" s="1">
        <v>42278</v>
      </c>
    </row>
    <row r="969" spans="2:13" x14ac:dyDescent="0.25">
      <c r="B969" t="s">
        <v>1661</v>
      </c>
      <c r="C969" t="s">
        <v>0</v>
      </c>
      <c r="D969" t="s">
        <v>1</v>
      </c>
      <c r="E969">
        <v>656388</v>
      </c>
      <c r="F969" t="s">
        <v>44</v>
      </c>
      <c r="H969" t="s">
        <v>1660</v>
      </c>
      <c r="L969" s="1">
        <v>42545</v>
      </c>
      <c r="M969" s="1">
        <v>42639</v>
      </c>
    </row>
    <row r="970" spans="2:13" x14ac:dyDescent="0.25">
      <c r="B970" t="s">
        <v>1659</v>
      </c>
      <c r="C970" t="s">
        <v>0</v>
      </c>
      <c r="D970" t="s">
        <v>1</v>
      </c>
      <c r="E970">
        <v>645194</v>
      </c>
      <c r="F970" t="s">
        <v>44</v>
      </c>
      <c r="H970" t="s">
        <v>1660</v>
      </c>
      <c r="L970" s="1">
        <v>42226</v>
      </c>
      <c r="M970" s="1">
        <v>42263</v>
      </c>
    </row>
    <row r="971" spans="2:13" x14ac:dyDescent="0.25">
      <c r="B971" t="s">
        <v>1658</v>
      </c>
      <c r="C971" t="s">
        <v>0</v>
      </c>
      <c r="D971" t="s">
        <v>1</v>
      </c>
      <c r="E971">
        <v>656548</v>
      </c>
      <c r="F971" t="s">
        <v>44</v>
      </c>
      <c r="H971" t="s">
        <v>173</v>
      </c>
      <c r="L971" s="1">
        <v>42165</v>
      </c>
      <c r="M971" s="1">
        <v>42646</v>
      </c>
    </row>
    <row r="972" spans="2:13" x14ac:dyDescent="0.25">
      <c r="B972" t="s">
        <v>1657</v>
      </c>
      <c r="C972" t="s">
        <v>100</v>
      </c>
      <c r="D972" t="s">
        <v>50</v>
      </c>
      <c r="E972">
        <v>655806</v>
      </c>
      <c r="F972" t="s">
        <v>68</v>
      </c>
      <c r="H972" t="s">
        <v>173</v>
      </c>
      <c r="L972" s="1">
        <v>42130</v>
      </c>
    </row>
    <row r="973" spans="2:13" x14ac:dyDescent="0.25">
      <c r="B973" t="s">
        <v>1656</v>
      </c>
      <c r="C973" t="s">
        <v>0</v>
      </c>
      <c r="D973" t="s">
        <v>1</v>
      </c>
      <c r="E973">
        <v>658047</v>
      </c>
      <c r="F973" t="s">
        <v>163</v>
      </c>
      <c r="H973" t="s">
        <v>164</v>
      </c>
      <c r="L973" s="1">
        <v>42647</v>
      </c>
      <c r="M973" s="1">
        <v>42691</v>
      </c>
    </row>
    <row r="974" spans="2:13" x14ac:dyDescent="0.25">
      <c r="B974" t="s">
        <v>1655</v>
      </c>
      <c r="C974" t="s">
        <v>0</v>
      </c>
      <c r="D974" t="s">
        <v>1</v>
      </c>
      <c r="E974">
        <v>651041</v>
      </c>
      <c r="F974" t="s">
        <v>68</v>
      </c>
      <c r="H974" t="s">
        <v>164</v>
      </c>
      <c r="L974" s="1">
        <v>42408</v>
      </c>
      <c r="M974" s="1">
        <v>42450</v>
      </c>
    </row>
    <row r="975" spans="2:13" x14ac:dyDescent="0.25">
      <c r="B975" t="s">
        <v>1654</v>
      </c>
      <c r="C975" t="s">
        <v>0</v>
      </c>
      <c r="D975" t="s">
        <v>1</v>
      </c>
      <c r="E975">
        <v>663087</v>
      </c>
      <c r="F975" t="s">
        <v>134</v>
      </c>
      <c r="H975" t="s">
        <v>135</v>
      </c>
      <c r="L975" s="1">
        <v>42794</v>
      </c>
      <c r="M975" s="1">
        <v>42849</v>
      </c>
    </row>
    <row r="976" spans="2:13" x14ac:dyDescent="0.25">
      <c r="B976" t="s">
        <v>1653</v>
      </c>
      <c r="C976" t="s">
        <v>0</v>
      </c>
      <c r="D976" t="s">
        <v>1</v>
      </c>
      <c r="E976">
        <v>658033</v>
      </c>
      <c r="F976" t="s">
        <v>134</v>
      </c>
      <c r="H976" t="s">
        <v>135</v>
      </c>
      <c r="L976" s="1">
        <v>42591</v>
      </c>
      <c r="M976" s="1">
        <v>42691</v>
      </c>
    </row>
    <row r="981" spans="2:13" x14ac:dyDescent="0.25">
      <c r="B981" t="s">
        <v>1651</v>
      </c>
      <c r="C981" t="s">
        <v>0</v>
      </c>
      <c r="D981" t="s">
        <v>1</v>
      </c>
      <c r="E981">
        <v>627112</v>
      </c>
      <c r="F981" t="s">
        <v>44</v>
      </c>
      <c r="H981" t="s">
        <v>1652</v>
      </c>
      <c r="L981" s="1">
        <v>41786</v>
      </c>
      <c r="M981" s="1">
        <v>41814</v>
      </c>
    </row>
    <row r="982" spans="2:13" x14ac:dyDescent="0.25">
      <c r="B982" t="s">
        <v>1649</v>
      </c>
      <c r="C982" t="s">
        <v>0</v>
      </c>
      <c r="D982" t="s">
        <v>1</v>
      </c>
      <c r="E982">
        <v>627910</v>
      </c>
      <c r="F982" t="s">
        <v>44</v>
      </c>
      <c r="H982" t="s">
        <v>1650</v>
      </c>
      <c r="L982" s="1">
        <v>41761</v>
      </c>
      <c r="M982" s="1">
        <v>41836</v>
      </c>
    </row>
    <row r="983" spans="2:13" x14ac:dyDescent="0.25">
      <c r="B983" t="s">
        <v>1647</v>
      </c>
      <c r="C983" t="s">
        <v>0</v>
      </c>
      <c r="D983" t="s">
        <v>1</v>
      </c>
      <c r="E983">
        <v>632511</v>
      </c>
      <c r="F983" t="s">
        <v>44</v>
      </c>
      <c r="H983" t="s">
        <v>1648</v>
      </c>
      <c r="L983" s="1">
        <v>41810</v>
      </c>
      <c r="M983" s="1">
        <v>41946</v>
      </c>
    </row>
    <row r="984" spans="2:13" x14ac:dyDescent="0.25">
      <c r="B984" t="s">
        <v>1646</v>
      </c>
      <c r="C984" t="s">
        <v>0</v>
      </c>
      <c r="D984" t="s">
        <v>1</v>
      </c>
      <c r="E984">
        <v>658190</v>
      </c>
      <c r="F984" t="s">
        <v>136</v>
      </c>
      <c r="H984" t="s">
        <v>507</v>
      </c>
      <c r="L984" s="1">
        <v>42640</v>
      </c>
      <c r="M984" s="1">
        <v>42696</v>
      </c>
    </row>
    <row r="985" spans="2:13" x14ac:dyDescent="0.25">
      <c r="B985" t="s">
        <v>1645</v>
      </c>
      <c r="C985" t="s">
        <v>100</v>
      </c>
      <c r="D985" t="s">
        <v>50</v>
      </c>
      <c r="E985">
        <v>636001</v>
      </c>
      <c r="F985" t="s">
        <v>44</v>
      </c>
      <c r="H985" t="s">
        <v>507</v>
      </c>
      <c r="L985" s="1">
        <v>41829</v>
      </c>
    </row>
    <row r="986" spans="2:13" x14ac:dyDescent="0.25">
      <c r="B986" t="s">
        <v>480</v>
      </c>
      <c r="C986" t="s">
        <v>76</v>
      </c>
      <c r="F986" t="s">
        <v>44</v>
      </c>
      <c r="H986" t="s">
        <v>481</v>
      </c>
      <c r="L986" s="1">
        <v>42753</v>
      </c>
      <c r="M986" s="1">
        <v>42849</v>
      </c>
    </row>
    <row r="987" spans="2:13" x14ac:dyDescent="0.25">
      <c r="B987" t="s">
        <v>1644</v>
      </c>
      <c r="C987" t="s">
        <v>0</v>
      </c>
      <c r="D987" t="s">
        <v>1</v>
      </c>
      <c r="E987">
        <v>660463</v>
      </c>
      <c r="F987" t="s">
        <v>44</v>
      </c>
      <c r="H987" t="s">
        <v>471</v>
      </c>
      <c r="L987" s="1">
        <v>42690</v>
      </c>
      <c r="M987" s="1">
        <v>42767</v>
      </c>
    </row>
    <row r="988" spans="2:13" x14ac:dyDescent="0.25">
      <c r="B988" t="s">
        <v>1642</v>
      </c>
      <c r="C988" t="s">
        <v>0</v>
      </c>
      <c r="D988" t="s">
        <v>1</v>
      </c>
      <c r="E988">
        <v>656068</v>
      </c>
      <c r="F988" t="s">
        <v>44</v>
      </c>
      <c r="H988" t="s">
        <v>1643</v>
      </c>
      <c r="L988" s="1">
        <v>42559</v>
      </c>
      <c r="M988" s="1">
        <v>42627</v>
      </c>
    </row>
    <row r="989" spans="2:13" x14ac:dyDescent="0.25">
      <c r="B989" t="s">
        <v>1641</v>
      </c>
      <c r="C989" t="s">
        <v>0</v>
      </c>
      <c r="D989" t="s">
        <v>1</v>
      </c>
      <c r="E989">
        <v>652820</v>
      </c>
      <c r="F989" t="s">
        <v>136</v>
      </c>
      <c r="H989" t="s">
        <v>446</v>
      </c>
      <c r="L989" s="1">
        <v>42468</v>
      </c>
      <c r="M989" s="1">
        <v>42509</v>
      </c>
    </row>
    <row r="990" spans="2:13" x14ac:dyDescent="0.25">
      <c r="B990" t="s">
        <v>1640</v>
      </c>
      <c r="C990" t="s">
        <v>0</v>
      </c>
      <c r="D990" t="s">
        <v>1</v>
      </c>
      <c r="E990">
        <v>651410</v>
      </c>
      <c r="F990" t="s">
        <v>136</v>
      </c>
      <c r="H990" t="s">
        <v>446</v>
      </c>
      <c r="L990" s="1">
        <v>42408</v>
      </c>
      <c r="M990" s="1">
        <v>42464</v>
      </c>
    </row>
    <row r="991" spans="2:13" x14ac:dyDescent="0.25">
      <c r="B991" t="s">
        <v>448</v>
      </c>
      <c r="C991" t="s">
        <v>76</v>
      </c>
      <c r="D991" t="s">
        <v>50</v>
      </c>
      <c r="E991">
        <v>649859</v>
      </c>
      <c r="F991" t="s">
        <v>136</v>
      </c>
      <c r="H991" t="s">
        <v>446</v>
      </c>
      <c r="L991" s="1">
        <v>42405</v>
      </c>
    </row>
    <row r="992" spans="2:13" x14ac:dyDescent="0.25">
      <c r="B992" t="s">
        <v>1639</v>
      </c>
      <c r="C992" t="s">
        <v>100</v>
      </c>
      <c r="D992" t="s">
        <v>50</v>
      </c>
      <c r="E992">
        <v>636002</v>
      </c>
      <c r="F992" t="s">
        <v>44</v>
      </c>
      <c r="H992" t="s">
        <v>446</v>
      </c>
      <c r="L992" s="1">
        <v>41835</v>
      </c>
    </row>
    <row r="993" spans="2:13" x14ac:dyDescent="0.25">
      <c r="B993" t="s">
        <v>447</v>
      </c>
      <c r="C993" t="s">
        <v>139</v>
      </c>
      <c r="F993" t="s">
        <v>332</v>
      </c>
      <c r="H993" t="s">
        <v>446</v>
      </c>
      <c r="L993" s="1">
        <v>41765</v>
      </c>
      <c r="M993" s="1">
        <v>41915</v>
      </c>
    </row>
    <row r="994" spans="2:13" x14ac:dyDescent="0.25">
      <c r="B994" t="s">
        <v>1637</v>
      </c>
      <c r="C994" t="s">
        <v>0</v>
      </c>
      <c r="D994" t="s">
        <v>1</v>
      </c>
      <c r="E994">
        <v>632510</v>
      </c>
      <c r="F994" t="s">
        <v>44</v>
      </c>
      <c r="H994" t="s">
        <v>1638</v>
      </c>
      <c r="L994" s="1">
        <v>41810</v>
      </c>
      <c r="M994" s="1">
        <v>41946</v>
      </c>
    </row>
    <row r="995" spans="2:13" x14ac:dyDescent="0.25">
      <c r="B995" t="s">
        <v>1635</v>
      </c>
      <c r="C995" t="s">
        <v>0</v>
      </c>
      <c r="D995" t="s">
        <v>1</v>
      </c>
      <c r="E995">
        <v>627909</v>
      </c>
      <c r="F995" t="s">
        <v>44</v>
      </c>
      <c r="H995" t="s">
        <v>1636</v>
      </c>
      <c r="L995" s="1">
        <v>41761</v>
      </c>
      <c r="M995" s="1">
        <v>41836</v>
      </c>
    </row>
    <row r="996" spans="2:13" x14ac:dyDescent="0.25">
      <c r="B996" t="s">
        <v>1633</v>
      </c>
      <c r="C996" t="s">
        <v>0</v>
      </c>
      <c r="D996" t="s">
        <v>1</v>
      </c>
      <c r="E996">
        <v>627111</v>
      </c>
      <c r="F996" t="s">
        <v>44</v>
      </c>
      <c r="H996" t="s">
        <v>1634</v>
      </c>
      <c r="L996" s="1">
        <v>41786</v>
      </c>
      <c r="M996" s="1">
        <v>41814</v>
      </c>
    </row>
    <row r="997" spans="2:13" x14ac:dyDescent="0.25">
      <c r="B997" t="s">
        <v>1631</v>
      </c>
      <c r="C997" t="s">
        <v>0</v>
      </c>
      <c r="D997" t="s">
        <v>1</v>
      </c>
      <c r="E997">
        <v>635079</v>
      </c>
      <c r="F997" t="s">
        <v>44</v>
      </c>
      <c r="H997" t="s">
        <v>1632</v>
      </c>
      <c r="L997" s="1">
        <v>41877</v>
      </c>
      <c r="M997" s="1">
        <v>42016</v>
      </c>
    </row>
    <row r="998" spans="2:13" x14ac:dyDescent="0.25">
      <c r="B998" t="s">
        <v>1630</v>
      </c>
      <c r="C998" t="s">
        <v>0</v>
      </c>
      <c r="D998" t="s">
        <v>1</v>
      </c>
      <c r="E998">
        <v>641753</v>
      </c>
      <c r="F998" t="s">
        <v>332</v>
      </c>
      <c r="H998" t="s">
        <v>1629</v>
      </c>
      <c r="L998" s="1">
        <v>41878</v>
      </c>
      <c r="M998" s="1">
        <v>42165</v>
      </c>
    </row>
    <row r="999" spans="2:13" x14ac:dyDescent="0.25">
      <c r="B999" t="s">
        <v>1628</v>
      </c>
      <c r="C999" t="s">
        <v>100</v>
      </c>
      <c r="D999" t="s">
        <v>50</v>
      </c>
      <c r="E999">
        <v>636008</v>
      </c>
      <c r="F999" t="s">
        <v>44</v>
      </c>
      <c r="H999" t="s">
        <v>1629</v>
      </c>
      <c r="L999" s="1">
        <v>41863</v>
      </c>
    </row>
    <row r="1000" spans="2:13" x14ac:dyDescent="0.25">
      <c r="B1000" t="s">
        <v>1627</v>
      </c>
      <c r="C1000" t="s">
        <v>0</v>
      </c>
      <c r="D1000" t="s">
        <v>1</v>
      </c>
      <c r="E1000">
        <v>637116</v>
      </c>
      <c r="F1000" t="s">
        <v>332</v>
      </c>
      <c r="H1000" t="s">
        <v>394</v>
      </c>
      <c r="L1000" s="1">
        <v>41758</v>
      </c>
      <c r="M1000" s="1">
        <v>42065</v>
      </c>
    </row>
    <row r="1001" spans="2:13" x14ac:dyDescent="0.25">
      <c r="B1001" t="s">
        <v>1626</v>
      </c>
      <c r="C1001" t="s">
        <v>0</v>
      </c>
      <c r="D1001" t="s">
        <v>1</v>
      </c>
      <c r="E1001">
        <v>637116</v>
      </c>
      <c r="F1001" t="s">
        <v>44</v>
      </c>
      <c r="H1001" t="s">
        <v>394</v>
      </c>
      <c r="L1001" s="1">
        <v>41730</v>
      </c>
      <c r="M1001" s="1">
        <v>42065</v>
      </c>
    </row>
    <row r="1002" spans="2:13" x14ac:dyDescent="0.25">
      <c r="B1002" t="s">
        <v>1625</v>
      </c>
      <c r="C1002" t="s">
        <v>0</v>
      </c>
      <c r="D1002" t="s">
        <v>1</v>
      </c>
      <c r="E1002">
        <v>646423</v>
      </c>
      <c r="F1002" t="s">
        <v>44</v>
      </c>
      <c r="H1002" t="s">
        <v>384</v>
      </c>
      <c r="L1002" s="1">
        <v>42219</v>
      </c>
      <c r="M1002" s="1">
        <v>42305</v>
      </c>
    </row>
    <row r="1003" spans="2:13" x14ac:dyDescent="0.25">
      <c r="B1003" t="s">
        <v>1624</v>
      </c>
      <c r="C1003" t="s">
        <v>0</v>
      </c>
      <c r="D1003" t="s">
        <v>1</v>
      </c>
      <c r="E1003">
        <v>644849</v>
      </c>
      <c r="F1003" t="s">
        <v>44</v>
      </c>
      <c r="H1003" t="s">
        <v>384</v>
      </c>
      <c r="L1003" s="1">
        <v>42214</v>
      </c>
      <c r="M1003" s="1">
        <v>42250</v>
      </c>
    </row>
    <row r="1004" spans="2:13" x14ac:dyDescent="0.25">
      <c r="B1004" t="s">
        <v>1623</v>
      </c>
      <c r="C1004" t="s">
        <v>0</v>
      </c>
      <c r="D1004" t="s">
        <v>1</v>
      </c>
      <c r="E1004">
        <v>637868</v>
      </c>
      <c r="F1004" t="s">
        <v>44</v>
      </c>
      <c r="H1004" t="s">
        <v>384</v>
      </c>
      <c r="L1004" s="1">
        <v>41855</v>
      </c>
      <c r="M1004" s="1">
        <v>42080</v>
      </c>
    </row>
    <row r="1005" spans="2:13" x14ac:dyDescent="0.25">
      <c r="B1005" t="s">
        <v>1622</v>
      </c>
      <c r="C1005" t="s">
        <v>100</v>
      </c>
      <c r="D1005" t="s">
        <v>50</v>
      </c>
      <c r="E1005">
        <v>635989</v>
      </c>
      <c r="F1005" t="s">
        <v>332</v>
      </c>
      <c r="H1005" t="s">
        <v>384</v>
      </c>
      <c r="L1005" s="1">
        <v>41765</v>
      </c>
    </row>
    <row r="1006" spans="2:13" x14ac:dyDescent="0.25">
      <c r="B1006" t="s">
        <v>1621</v>
      </c>
      <c r="C1006" t="s">
        <v>0</v>
      </c>
      <c r="D1006" t="s">
        <v>1</v>
      </c>
      <c r="E1006">
        <v>638648</v>
      </c>
      <c r="F1006" t="s">
        <v>44</v>
      </c>
      <c r="H1006" t="s">
        <v>1620</v>
      </c>
      <c r="L1006" s="1">
        <v>42025</v>
      </c>
      <c r="M1006" s="1">
        <v>42100</v>
      </c>
    </row>
    <row r="1007" spans="2:13" x14ac:dyDescent="0.25">
      <c r="B1007" t="s">
        <v>1619</v>
      </c>
      <c r="C1007" t="s">
        <v>0</v>
      </c>
      <c r="D1007" t="s">
        <v>1</v>
      </c>
      <c r="E1007">
        <v>634064</v>
      </c>
      <c r="F1007" t="s">
        <v>44</v>
      </c>
      <c r="H1007" t="s">
        <v>1620</v>
      </c>
      <c r="L1007" s="1">
        <v>41851</v>
      </c>
      <c r="M1007" s="1">
        <v>41984</v>
      </c>
    </row>
    <row r="1008" spans="2:13" x14ac:dyDescent="0.25">
      <c r="B1008" t="s">
        <v>1618</v>
      </c>
      <c r="C1008" t="s">
        <v>0</v>
      </c>
      <c r="D1008" t="s">
        <v>1</v>
      </c>
      <c r="E1008">
        <v>654309</v>
      </c>
      <c r="F1008" t="s">
        <v>44</v>
      </c>
      <c r="H1008" t="s">
        <v>1617</v>
      </c>
      <c r="L1008" s="1">
        <v>42531</v>
      </c>
      <c r="M1008" s="1">
        <v>42565</v>
      </c>
    </row>
    <row r="1009" spans="2:13" x14ac:dyDescent="0.25">
      <c r="B1009" t="s">
        <v>1616</v>
      </c>
      <c r="C1009" t="s">
        <v>100</v>
      </c>
      <c r="D1009" t="s">
        <v>50</v>
      </c>
      <c r="E1009">
        <v>651390</v>
      </c>
      <c r="F1009" t="s">
        <v>44</v>
      </c>
      <c r="H1009" t="s">
        <v>1617</v>
      </c>
      <c r="L1009" s="1">
        <v>42263</v>
      </c>
    </row>
    <row r="1010" spans="2:13" x14ac:dyDescent="0.25">
      <c r="B1010" t="s">
        <v>1615</v>
      </c>
      <c r="C1010" t="s">
        <v>0</v>
      </c>
      <c r="D1010" t="s">
        <v>1</v>
      </c>
      <c r="E1010">
        <v>638041</v>
      </c>
      <c r="F1010" t="s">
        <v>44</v>
      </c>
      <c r="H1010" t="s">
        <v>1614</v>
      </c>
      <c r="L1010" s="1">
        <v>42025</v>
      </c>
      <c r="M1010" s="1">
        <v>42082</v>
      </c>
    </row>
    <row r="1011" spans="2:13" x14ac:dyDescent="0.25">
      <c r="B1011" t="s">
        <v>1613</v>
      </c>
      <c r="C1011" t="s">
        <v>0</v>
      </c>
      <c r="D1011" t="s">
        <v>1</v>
      </c>
      <c r="E1011">
        <v>634065</v>
      </c>
      <c r="F1011" t="s">
        <v>44</v>
      </c>
      <c r="H1011" t="s">
        <v>1614</v>
      </c>
      <c r="L1011" s="1">
        <v>41851</v>
      </c>
      <c r="M1011" s="1">
        <v>41984</v>
      </c>
    </row>
    <row r="1012" spans="2:13" x14ac:dyDescent="0.25">
      <c r="B1012" t="s">
        <v>1612</v>
      </c>
      <c r="C1012" t="s">
        <v>0</v>
      </c>
      <c r="D1012" t="s">
        <v>1</v>
      </c>
      <c r="E1012">
        <v>635482</v>
      </c>
      <c r="F1012" t="s">
        <v>332</v>
      </c>
      <c r="H1012" t="s">
        <v>333</v>
      </c>
      <c r="L1012" s="1">
        <v>41758</v>
      </c>
      <c r="M1012" s="1">
        <v>42025</v>
      </c>
    </row>
    <row r="1013" spans="2:13" x14ac:dyDescent="0.25">
      <c r="B1013" t="s">
        <v>1611</v>
      </c>
      <c r="C1013" t="s">
        <v>0</v>
      </c>
      <c r="D1013" t="s">
        <v>1</v>
      </c>
      <c r="E1013">
        <v>635482</v>
      </c>
      <c r="F1013" t="s">
        <v>44</v>
      </c>
      <c r="H1013" t="s">
        <v>333</v>
      </c>
      <c r="L1013" s="1">
        <v>41730</v>
      </c>
      <c r="M1013" s="1">
        <v>42025</v>
      </c>
    </row>
    <row r="1014" spans="2:13" x14ac:dyDescent="0.25">
      <c r="B1014" t="s">
        <v>1610</v>
      </c>
      <c r="C1014" t="s">
        <v>0</v>
      </c>
      <c r="D1014" t="s">
        <v>1</v>
      </c>
      <c r="E1014">
        <v>645992</v>
      </c>
      <c r="F1014" t="s">
        <v>332</v>
      </c>
      <c r="H1014" t="s">
        <v>1608</v>
      </c>
      <c r="L1014" s="1">
        <v>42208</v>
      </c>
      <c r="M1014" s="1">
        <v>42290</v>
      </c>
    </row>
    <row r="1015" spans="2:13" x14ac:dyDescent="0.25">
      <c r="B1015" t="s">
        <v>1609</v>
      </c>
      <c r="C1015" t="s">
        <v>0</v>
      </c>
      <c r="D1015" t="s">
        <v>1</v>
      </c>
      <c r="E1015">
        <v>641752</v>
      </c>
      <c r="F1015" t="s">
        <v>332</v>
      </c>
      <c r="H1015" t="s">
        <v>1608</v>
      </c>
      <c r="L1015" s="1">
        <v>41878</v>
      </c>
      <c r="M1015" s="1">
        <v>42165</v>
      </c>
    </row>
    <row r="1016" spans="2:13" x14ac:dyDescent="0.25">
      <c r="B1016" t="s">
        <v>1607</v>
      </c>
      <c r="C1016" t="s">
        <v>100</v>
      </c>
      <c r="D1016" t="s">
        <v>50</v>
      </c>
      <c r="E1016">
        <v>636007</v>
      </c>
      <c r="F1016" t="s">
        <v>44</v>
      </c>
      <c r="H1016" t="s">
        <v>1608</v>
      </c>
      <c r="L1016" s="1">
        <v>41863</v>
      </c>
    </row>
    <row r="1017" spans="2:13" x14ac:dyDescent="0.25">
      <c r="B1017" t="s">
        <v>1605</v>
      </c>
      <c r="C1017" t="s">
        <v>0</v>
      </c>
      <c r="D1017" t="s">
        <v>1</v>
      </c>
      <c r="E1017">
        <v>635078</v>
      </c>
      <c r="F1017" t="s">
        <v>44</v>
      </c>
      <c r="H1017" t="s">
        <v>1606</v>
      </c>
      <c r="L1017" s="1">
        <v>41877</v>
      </c>
      <c r="M1017" s="1">
        <v>42016</v>
      </c>
    </row>
    <row r="1018" spans="2:13" x14ac:dyDescent="0.25">
      <c r="B1018" t="s">
        <v>1604</v>
      </c>
      <c r="C1018" t="s">
        <v>0</v>
      </c>
      <c r="D1018" t="s">
        <v>1</v>
      </c>
      <c r="E1018">
        <v>641707</v>
      </c>
      <c r="F1018" t="s">
        <v>44</v>
      </c>
      <c r="H1018" t="s">
        <v>1603</v>
      </c>
      <c r="L1018" s="1">
        <v>42125</v>
      </c>
      <c r="M1018" s="1">
        <v>42164</v>
      </c>
    </row>
    <row r="1019" spans="2:13" x14ac:dyDescent="0.25">
      <c r="B1019" t="s">
        <v>1602</v>
      </c>
      <c r="C1019" t="s">
        <v>0</v>
      </c>
      <c r="D1019" t="s">
        <v>1</v>
      </c>
      <c r="E1019">
        <v>635071</v>
      </c>
      <c r="F1019" t="s">
        <v>44</v>
      </c>
      <c r="H1019" t="s">
        <v>1603</v>
      </c>
      <c r="L1019" s="1">
        <v>41827</v>
      </c>
      <c r="M1019" s="1">
        <v>42016</v>
      </c>
    </row>
    <row r="1020" spans="2:13" x14ac:dyDescent="0.25">
      <c r="B1020" t="s">
        <v>1588</v>
      </c>
      <c r="C1020" t="s">
        <v>0</v>
      </c>
      <c r="D1020" t="s">
        <v>1</v>
      </c>
      <c r="E1020">
        <v>630116</v>
      </c>
      <c r="F1020" t="s">
        <v>44</v>
      </c>
      <c r="H1020" t="s">
        <v>1601</v>
      </c>
      <c r="L1020" s="1">
        <v>41848</v>
      </c>
      <c r="M1020" s="1">
        <v>41886</v>
      </c>
    </row>
    <row r="1021" spans="2:13" x14ac:dyDescent="0.25">
      <c r="B1021" t="s">
        <v>1599</v>
      </c>
      <c r="C1021" t="s">
        <v>0</v>
      </c>
      <c r="D1021" t="s">
        <v>1</v>
      </c>
      <c r="E1021">
        <v>618083</v>
      </c>
      <c r="F1021" t="s">
        <v>44</v>
      </c>
      <c r="H1021" t="s">
        <v>1600</v>
      </c>
      <c r="L1021" s="1">
        <v>41554</v>
      </c>
      <c r="M1021" s="1">
        <v>41591</v>
      </c>
    </row>
    <row r="1022" spans="2:13" x14ac:dyDescent="0.25">
      <c r="B1022" t="s">
        <v>1597</v>
      </c>
      <c r="C1022" t="s">
        <v>0</v>
      </c>
      <c r="D1022" t="s">
        <v>1</v>
      </c>
      <c r="E1022">
        <v>647046</v>
      </c>
      <c r="F1022" t="s">
        <v>332</v>
      </c>
      <c r="H1022" t="s">
        <v>1598</v>
      </c>
      <c r="L1022" s="1">
        <v>42275</v>
      </c>
      <c r="M1022" s="1">
        <v>42327</v>
      </c>
    </row>
    <row r="1023" spans="2:13" x14ac:dyDescent="0.25">
      <c r="B1023" t="s">
        <v>1595</v>
      </c>
      <c r="C1023" t="s">
        <v>100</v>
      </c>
      <c r="D1023" t="s">
        <v>50</v>
      </c>
      <c r="E1023">
        <v>630119</v>
      </c>
      <c r="F1023" t="s">
        <v>44</v>
      </c>
      <c r="H1023" t="s">
        <v>1596</v>
      </c>
      <c r="L1023" s="1">
        <v>41851</v>
      </c>
    </row>
    <row r="1024" spans="2:13" x14ac:dyDescent="0.25">
      <c r="B1024" t="s">
        <v>1594</v>
      </c>
      <c r="C1024" t="s">
        <v>0</v>
      </c>
      <c r="D1024" t="s">
        <v>1</v>
      </c>
      <c r="E1024">
        <v>654977</v>
      </c>
      <c r="F1024" t="s">
        <v>44</v>
      </c>
      <c r="H1024" t="s">
        <v>208</v>
      </c>
      <c r="L1024" s="1">
        <v>42559</v>
      </c>
      <c r="M1024" s="1">
        <v>42586</v>
      </c>
    </row>
    <row r="1025" spans="2:13" x14ac:dyDescent="0.25">
      <c r="B1025" t="s">
        <v>207</v>
      </c>
      <c r="C1025" t="s">
        <v>76</v>
      </c>
      <c r="D1025" t="s">
        <v>1</v>
      </c>
      <c r="E1025">
        <v>644010</v>
      </c>
      <c r="F1025" t="s">
        <v>44</v>
      </c>
      <c r="H1025" t="s">
        <v>208</v>
      </c>
      <c r="L1025" s="1">
        <v>41851</v>
      </c>
      <c r="M1025" s="1">
        <v>42195</v>
      </c>
    </row>
    <row r="1026" spans="2:13" x14ac:dyDescent="0.25">
      <c r="B1026" t="s">
        <v>1592</v>
      </c>
      <c r="C1026" t="s">
        <v>0</v>
      </c>
      <c r="D1026" t="s">
        <v>1</v>
      </c>
      <c r="E1026">
        <v>646778</v>
      </c>
      <c r="F1026" t="s">
        <v>332</v>
      </c>
      <c r="H1026" t="s">
        <v>1593</v>
      </c>
      <c r="L1026" s="1">
        <v>42275</v>
      </c>
      <c r="M1026" s="1">
        <v>42320</v>
      </c>
    </row>
    <row r="1027" spans="2:13" x14ac:dyDescent="0.25">
      <c r="B1027" t="s">
        <v>1590</v>
      </c>
      <c r="C1027" t="s">
        <v>0</v>
      </c>
      <c r="D1027" t="s">
        <v>1</v>
      </c>
      <c r="E1027">
        <v>618082</v>
      </c>
      <c r="F1027" t="s">
        <v>44</v>
      </c>
      <c r="H1027" t="s">
        <v>1591</v>
      </c>
      <c r="L1027" s="1">
        <v>41554</v>
      </c>
      <c r="M1027" s="1">
        <v>41591</v>
      </c>
    </row>
    <row r="1028" spans="2:13" x14ac:dyDescent="0.25">
      <c r="B1028" t="s">
        <v>1588</v>
      </c>
      <c r="C1028" t="s">
        <v>0</v>
      </c>
      <c r="D1028" t="s">
        <v>1</v>
      </c>
      <c r="E1028">
        <v>630116</v>
      </c>
      <c r="F1028" t="s">
        <v>44</v>
      </c>
      <c r="H1028" t="s">
        <v>1589</v>
      </c>
      <c r="L1028" s="1">
        <v>41848</v>
      </c>
      <c r="M1028" s="1">
        <v>41886</v>
      </c>
    </row>
    <row r="1029" spans="2:13" x14ac:dyDescent="0.25">
      <c r="B1029" t="s">
        <v>1586</v>
      </c>
      <c r="C1029" t="s">
        <v>0</v>
      </c>
      <c r="D1029" t="s">
        <v>1</v>
      </c>
      <c r="E1029">
        <v>635070</v>
      </c>
      <c r="F1029" t="s">
        <v>44</v>
      </c>
      <c r="H1029" t="s">
        <v>1587</v>
      </c>
      <c r="L1029" s="1">
        <v>41827</v>
      </c>
      <c r="M1029" s="1">
        <v>42016</v>
      </c>
    </row>
    <row r="1037" spans="2:13" x14ac:dyDescent="0.25">
      <c r="B1037" t="s">
        <v>1584</v>
      </c>
      <c r="C1037" t="s">
        <v>0</v>
      </c>
      <c r="D1037" t="s">
        <v>1</v>
      </c>
      <c r="E1037">
        <v>641281</v>
      </c>
      <c r="F1037" t="s">
        <v>44</v>
      </c>
      <c r="H1037" t="s">
        <v>1585</v>
      </c>
      <c r="L1037" s="1">
        <v>41843</v>
      </c>
      <c r="M1037" s="1">
        <v>42156</v>
      </c>
    </row>
    <row r="1038" spans="2:13" x14ac:dyDescent="0.25">
      <c r="B1038" t="s">
        <v>1582</v>
      </c>
      <c r="C1038" t="s">
        <v>100</v>
      </c>
      <c r="D1038" t="s">
        <v>50</v>
      </c>
      <c r="E1038">
        <v>631250</v>
      </c>
      <c r="F1038" t="s">
        <v>332</v>
      </c>
      <c r="H1038" t="s">
        <v>1583</v>
      </c>
      <c r="L1038" s="1">
        <v>41883</v>
      </c>
    </row>
    <row r="1039" spans="2:13" x14ac:dyDescent="0.25">
      <c r="B1039" t="s">
        <v>1581</v>
      </c>
      <c r="C1039" t="s">
        <v>0</v>
      </c>
      <c r="D1039" t="s">
        <v>1</v>
      </c>
      <c r="E1039">
        <v>645990</v>
      </c>
      <c r="F1039" t="s">
        <v>332</v>
      </c>
      <c r="H1039" t="s">
        <v>1579</v>
      </c>
      <c r="L1039" s="1">
        <v>42194</v>
      </c>
      <c r="M1039" s="1">
        <v>42290</v>
      </c>
    </row>
    <row r="1040" spans="2:13" x14ac:dyDescent="0.25">
      <c r="B1040" t="s">
        <v>1580</v>
      </c>
      <c r="C1040" t="s">
        <v>0</v>
      </c>
      <c r="D1040" t="s">
        <v>1</v>
      </c>
      <c r="E1040">
        <v>630753</v>
      </c>
      <c r="F1040" t="s">
        <v>332</v>
      </c>
      <c r="H1040" t="s">
        <v>1579</v>
      </c>
      <c r="L1040" s="1">
        <v>41856</v>
      </c>
      <c r="M1040" s="1">
        <v>41899</v>
      </c>
    </row>
    <row r="1041" spans="2:13" x14ac:dyDescent="0.25">
      <c r="B1041" t="s">
        <v>1578</v>
      </c>
      <c r="C1041" t="s">
        <v>0</v>
      </c>
      <c r="D1041" t="s">
        <v>1</v>
      </c>
      <c r="E1041">
        <v>634867</v>
      </c>
      <c r="F1041" t="s">
        <v>332</v>
      </c>
      <c r="H1041" t="s">
        <v>1579</v>
      </c>
      <c r="L1041" s="1">
        <v>41829</v>
      </c>
      <c r="M1041" s="1">
        <v>42011</v>
      </c>
    </row>
    <row r="1042" spans="2:13" x14ac:dyDescent="0.25">
      <c r="B1042" t="s">
        <v>1576</v>
      </c>
      <c r="C1042" t="s">
        <v>0</v>
      </c>
      <c r="D1042" t="s">
        <v>1</v>
      </c>
      <c r="E1042">
        <v>634634</v>
      </c>
      <c r="F1042" t="s">
        <v>332</v>
      </c>
      <c r="H1042" t="s">
        <v>1577</v>
      </c>
      <c r="L1042" s="1">
        <v>41905</v>
      </c>
      <c r="M1042" s="1">
        <v>42003</v>
      </c>
    </row>
    <row r="1043" spans="2:13" x14ac:dyDescent="0.25">
      <c r="B1043" t="s">
        <v>1574</v>
      </c>
      <c r="C1043" t="s">
        <v>0</v>
      </c>
      <c r="D1043" t="s">
        <v>1</v>
      </c>
      <c r="E1043">
        <v>641280</v>
      </c>
      <c r="F1043" t="s">
        <v>44</v>
      </c>
      <c r="H1043" t="s">
        <v>1575</v>
      </c>
      <c r="L1043" s="1">
        <v>41843</v>
      </c>
      <c r="M1043" s="1">
        <v>42156</v>
      </c>
    </row>
    <row r="1044" spans="2:13" x14ac:dyDescent="0.25">
      <c r="B1044" t="s">
        <v>1573</v>
      </c>
      <c r="C1044" t="s">
        <v>0</v>
      </c>
      <c r="D1044" t="s">
        <v>1</v>
      </c>
      <c r="E1044">
        <v>655828</v>
      </c>
      <c r="F1044" t="s">
        <v>136</v>
      </c>
      <c r="H1044" t="s">
        <v>1572</v>
      </c>
      <c r="L1044" s="1">
        <v>42572</v>
      </c>
      <c r="M1044" s="1">
        <v>42614</v>
      </c>
    </row>
    <row r="1045" spans="2:13" x14ac:dyDescent="0.25">
      <c r="B1045" t="s">
        <v>1571</v>
      </c>
      <c r="C1045" t="s">
        <v>0</v>
      </c>
      <c r="D1045" t="s">
        <v>1</v>
      </c>
      <c r="E1045">
        <v>641766</v>
      </c>
      <c r="F1045" t="s">
        <v>332</v>
      </c>
      <c r="H1045" t="s">
        <v>1572</v>
      </c>
      <c r="L1045" s="1">
        <v>42006</v>
      </c>
      <c r="M1045" s="1">
        <v>42165</v>
      </c>
    </row>
    <row r="1046" spans="2:13" x14ac:dyDescent="0.25">
      <c r="B1046" t="s">
        <v>1569</v>
      </c>
      <c r="C1046" t="s">
        <v>0</v>
      </c>
      <c r="D1046" t="s">
        <v>1</v>
      </c>
      <c r="E1046">
        <v>637165</v>
      </c>
      <c r="F1046" t="s">
        <v>332</v>
      </c>
      <c r="H1046" t="s">
        <v>1570</v>
      </c>
      <c r="L1046" s="1">
        <v>42006</v>
      </c>
      <c r="M1046" s="1">
        <v>42065</v>
      </c>
    </row>
    <row r="1047" spans="2:13" x14ac:dyDescent="0.25">
      <c r="B1047" t="s">
        <v>1567</v>
      </c>
      <c r="C1047" t="s">
        <v>0</v>
      </c>
      <c r="D1047" t="s">
        <v>1</v>
      </c>
      <c r="E1047">
        <v>632051</v>
      </c>
      <c r="F1047" t="s">
        <v>44</v>
      </c>
      <c r="H1047" t="s">
        <v>1568</v>
      </c>
      <c r="L1047" s="1">
        <v>41831</v>
      </c>
      <c r="M1047" s="1">
        <v>41933</v>
      </c>
    </row>
    <row r="1048" spans="2:13" x14ac:dyDescent="0.25">
      <c r="B1048" t="s">
        <v>1566</v>
      </c>
      <c r="C1048" t="s">
        <v>100</v>
      </c>
      <c r="F1048" t="s">
        <v>395</v>
      </c>
      <c r="H1048" t="s">
        <v>396</v>
      </c>
      <c r="L1048" s="1">
        <v>42676</v>
      </c>
    </row>
    <row r="1049" spans="2:13" x14ac:dyDescent="0.25">
      <c r="B1049" t="s">
        <v>1565</v>
      </c>
      <c r="C1049" t="s">
        <v>139</v>
      </c>
      <c r="F1049" t="s">
        <v>44</v>
      </c>
      <c r="H1049" t="s">
        <v>396</v>
      </c>
      <c r="L1049" s="1">
        <v>42628</v>
      </c>
      <c r="M1049" s="1">
        <v>42891</v>
      </c>
    </row>
    <row r="1050" spans="2:13" x14ac:dyDescent="0.25">
      <c r="B1050" t="s">
        <v>1564</v>
      </c>
      <c r="C1050" t="s">
        <v>0</v>
      </c>
      <c r="D1050" t="s">
        <v>1</v>
      </c>
      <c r="E1050">
        <v>646724</v>
      </c>
      <c r="F1050" t="s">
        <v>332</v>
      </c>
      <c r="H1050" t="s">
        <v>385</v>
      </c>
      <c r="L1050" s="1">
        <v>42219</v>
      </c>
      <c r="M1050" s="1">
        <v>42318</v>
      </c>
    </row>
    <row r="1051" spans="2:13" x14ac:dyDescent="0.25">
      <c r="B1051" t="s">
        <v>1563</v>
      </c>
      <c r="C1051" t="s">
        <v>0</v>
      </c>
      <c r="D1051" t="s">
        <v>1</v>
      </c>
      <c r="E1051">
        <v>640686</v>
      </c>
      <c r="F1051" t="s">
        <v>332</v>
      </c>
      <c r="H1051" t="s">
        <v>1562</v>
      </c>
      <c r="L1051" s="1">
        <v>42088</v>
      </c>
      <c r="M1051" s="1">
        <v>42138</v>
      </c>
    </row>
    <row r="1052" spans="2:13" x14ac:dyDescent="0.25">
      <c r="B1052" t="s">
        <v>1561</v>
      </c>
      <c r="C1052" t="s">
        <v>0</v>
      </c>
      <c r="D1052" t="s">
        <v>1</v>
      </c>
      <c r="E1052">
        <v>634868</v>
      </c>
      <c r="F1052" t="s">
        <v>332</v>
      </c>
      <c r="H1052" t="s">
        <v>1562</v>
      </c>
      <c r="L1052" s="1">
        <v>41829</v>
      </c>
      <c r="M1052" s="1">
        <v>42011</v>
      </c>
    </row>
    <row r="1053" spans="2:13" x14ac:dyDescent="0.25">
      <c r="B1053" t="s">
        <v>1559</v>
      </c>
      <c r="C1053" t="s">
        <v>0</v>
      </c>
      <c r="D1053" t="s">
        <v>1</v>
      </c>
      <c r="E1053">
        <v>642700</v>
      </c>
      <c r="F1053" t="s">
        <v>44</v>
      </c>
      <c r="H1053" t="s">
        <v>1560</v>
      </c>
      <c r="L1053" s="1">
        <v>42144</v>
      </c>
      <c r="M1053" s="1">
        <v>42191</v>
      </c>
    </row>
    <row r="1054" spans="2:13" x14ac:dyDescent="0.25">
      <c r="B1054" t="s">
        <v>1557</v>
      </c>
      <c r="C1054" t="s">
        <v>0</v>
      </c>
      <c r="D1054" t="s">
        <v>1</v>
      </c>
      <c r="E1054">
        <v>642699</v>
      </c>
      <c r="F1054" t="s">
        <v>44</v>
      </c>
      <c r="H1054" t="s">
        <v>1558</v>
      </c>
      <c r="L1054" s="1">
        <v>42144</v>
      </c>
      <c r="M1054" s="1">
        <v>42191</v>
      </c>
    </row>
    <row r="1055" spans="2:13" x14ac:dyDescent="0.25">
      <c r="B1055" t="s">
        <v>1556</v>
      </c>
      <c r="C1055" t="s">
        <v>0</v>
      </c>
      <c r="D1055" t="s">
        <v>1</v>
      </c>
      <c r="E1055">
        <v>636909</v>
      </c>
      <c r="F1055" t="s">
        <v>332</v>
      </c>
      <c r="H1055" t="s">
        <v>1555</v>
      </c>
      <c r="L1055" s="1">
        <v>41989</v>
      </c>
      <c r="M1055" s="1">
        <v>42059</v>
      </c>
    </row>
    <row r="1056" spans="2:13" x14ac:dyDescent="0.25">
      <c r="B1056" t="s">
        <v>1554</v>
      </c>
      <c r="C1056" t="s">
        <v>0</v>
      </c>
      <c r="D1056" t="s">
        <v>1</v>
      </c>
      <c r="E1056">
        <v>635326</v>
      </c>
      <c r="F1056" t="s">
        <v>332</v>
      </c>
      <c r="H1056" t="s">
        <v>1555</v>
      </c>
      <c r="L1056" s="1">
        <v>41939</v>
      </c>
      <c r="M1056" s="1">
        <v>42019</v>
      </c>
    </row>
    <row r="1057" spans="2:13" x14ac:dyDescent="0.25">
      <c r="B1057" t="s">
        <v>1552</v>
      </c>
      <c r="C1057" t="s">
        <v>0</v>
      </c>
      <c r="D1057" t="s">
        <v>1</v>
      </c>
      <c r="E1057">
        <v>632050</v>
      </c>
      <c r="F1057" t="s">
        <v>44</v>
      </c>
      <c r="H1057" t="s">
        <v>1553</v>
      </c>
      <c r="L1057" s="1">
        <v>41831</v>
      </c>
      <c r="M1057" s="1">
        <v>41933</v>
      </c>
    </row>
    <row r="1058" spans="2:13" x14ac:dyDescent="0.25">
      <c r="B1058" t="s">
        <v>303</v>
      </c>
      <c r="C1058" t="s">
        <v>76</v>
      </c>
      <c r="F1058" t="s">
        <v>136</v>
      </c>
      <c r="H1058" t="s">
        <v>302</v>
      </c>
      <c r="L1058" s="1">
        <v>42809</v>
      </c>
    </row>
    <row r="1059" spans="2:13" x14ac:dyDescent="0.25">
      <c r="B1059" t="s">
        <v>1550</v>
      </c>
      <c r="C1059" t="s">
        <v>0</v>
      </c>
      <c r="D1059" t="s">
        <v>1</v>
      </c>
      <c r="E1059">
        <v>642904</v>
      </c>
      <c r="F1059" t="s">
        <v>44</v>
      </c>
      <c r="H1059" t="s">
        <v>1551</v>
      </c>
      <c r="L1059" s="1">
        <v>42151</v>
      </c>
      <c r="M1059" s="1">
        <v>42194</v>
      </c>
    </row>
    <row r="1060" spans="2:13" x14ac:dyDescent="0.25">
      <c r="B1060" t="s">
        <v>1549</v>
      </c>
      <c r="C1060" t="s">
        <v>0</v>
      </c>
      <c r="D1060" t="s">
        <v>1</v>
      </c>
      <c r="E1060">
        <v>653788</v>
      </c>
      <c r="F1060" t="s">
        <v>44</v>
      </c>
      <c r="H1060" t="s">
        <v>1547</v>
      </c>
      <c r="L1060" s="1">
        <v>42474</v>
      </c>
      <c r="M1060" s="1">
        <v>42548</v>
      </c>
    </row>
    <row r="1061" spans="2:13" x14ac:dyDescent="0.25">
      <c r="B1061" t="s">
        <v>1548</v>
      </c>
      <c r="C1061" t="s">
        <v>0</v>
      </c>
      <c r="D1061" t="s">
        <v>1</v>
      </c>
      <c r="E1061">
        <v>645445</v>
      </c>
      <c r="F1061" t="s">
        <v>44</v>
      </c>
      <c r="H1061" t="s">
        <v>1547</v>
      </c>
      <c r="L1061" s="1">
        <v>42226</v>
      </c>
      <c r="M1061" s="1">
        <v>42270</v>
      </c>
    </row>
    <row r="1062" spans="2:13" x14ac:dyDescent="0.25">
      <c r="B1062" t="s">
        <v>1546</v>
      </c>
      <c r="C1062" t="s">
        <v>0</v>
      </c>
      <c r="D1062" t="s">
        <v>1</v>
      </c>
      <c r="E1062">
        <v>637005</v>
      </c>
      <c r="F1062" t="s">
        <v>44</v>
      </c>
      <c r="H1062" t="s">
        <v>1547</v>
      </c>
      <c r="L1062" s="1">
        <v>41831</v>
      </c>
      <c r="M1062" s="1">
        <v>42061</v>
      </c>
    </row>
    <row r="1063" spans="2:13" x14ac:dyDescent="0.25">
      <c r="B1063" t="s">
        <v>1544</v>
      </c>
      <c r="C1063" t="s">
        <v>0</v>
      </c>
      <c r="D1063" t="s">
        <v>1</v>
      </c>
      <c r="E1063">
        <v>634812</v>
      </c>
      <c r="F1063" t="s">
        <v>332</v>
      </c>
      <c r="H1063" t="s">
        <v>1545</v>
      </c>
      <c r="L1063" s="1">
        <v>41939</v>
      </c>
      <c r="M1063" s="1">
        <v>42010</v>
      </c>
    </row>
    <row r="1064" spans="2:13" x14ac:dyDescent="0.25">
      <c r="B1064" t="s">
        <v>1542</v>
      </c>
      <c r="C1064" t="s">
        <v>0</v>
      </c>
      <c r="D1064" t="s">
        <v>1</v>
      </c>
      <c r="E1064">
        <v>635671</v>
      </c>
      <c r="F1064" t="s">
        <v>44</v>
      </c>
      <c r="H1064" t="s">
        <v>1543</v>
      </c>
      <c r="L1064" s="1">
        <v>41817</v>
      </c>
      <c r="M1064" s="1">
        <v>42030</v>
      </c>
    </row>
    <row r="1065" spans="2:13" x14ac:dyDescent="0.25">
      <c r="B1065" t="s">
        <v>1540</v>
      </c>
      <c r="C1065" t="s">
        <v>0</v>
      </c>
      <c r="D1065" t="s">
        <v>1</v>
      </c>
      <c r="E1065">
        <v>608606</v>
      </c>
      <c r="F1065" t="s">
        <v>44</v>
      </c>
      <c r="H1065" t="s">
        <v>1541</v>
      </c>
      <c r="L1065" s="1">
        <v>41276</v>
      </c>
      <c r="M1065" s="1">
        <v>41339</v>
      </c>
    </row>
    <row r="1066" spans="2:13" x14ac:dyDescent="0.25">
      <c r="B1066" t="s">
        <v>1539</v>
      </c>
      <c r="C1066" t="s">
        <v>0</v>
      </c>
      <c r="D1066" t="s">
        <v>1</v>
      </c>
      <c r="E1066">
        <v>639393</v>
      </c>
      <c r="F1066" t="s">
        <v>332</v>
      </c>
      <c r="H1066" t="s">
        <v>1538</v>
      </c>
      <c r="L1066" s="1">
        <v>42054</v>
      </c>
      <c r="M1066" s="1">
        <v>42109</v>
      </c>
    </row>
    <row r="1067" spans="2:13" x14ac:dyDescent="0.25">
      <c r="B1067" t="s">
        <v>1537</v>
      </c>
      <c r="C1067" t="s">
        <v>0</v>
      </c>
      <c r="D1067" t="s">
        <v>1</v>
      </c>
      <c r="E1067">
        <v>635076</v>
      </c>
      <c r="F1067" t="s">
        <v>332</v>
      </c>
      <c r="H1067" t="s">
        <v>1538</v>
      </c>
      <c r="L1067" s="1">
        <v>41849</v>
      </c>
      <c r="M1067" s="1">
        <v>42016</v>
      </c>
    </row>
    <row r="1068" spans="2:13" x14ac:dyDescent="0.25">
      <c r="B1068" t="s">
        <v>1536</v>
      </c>
      <c r="C1068" t="s">
        <v>0</v>
      </c>
      <c r="D1068" t="s">
        <v>1</v>
      </c>
      <c r="E1068">
        <v>645102</v>
      </c>
      <c r="F1068" t="s">
        <v>332</v>
      </c>
      <c r="H1068" t="s">
        <v>1534</v>
      </c>
      <c r="L1068" s="1">
        <v>42213</v>
      </c>
      <c r="M1068" s="1">
        <v>42261</v>
      </c>
    </row>
    <row r="1069" spans="2:13" x14ac:dyDescent="0.25">
      <c r="B1069" t="s">
        <v>1535</v>
      </c>
      <c r="C1069" t="s">
        <v>100</v>
      </c>
      <c r="D1069" t="s">
        <v>50</v>
      </c>
      <c r="E1069">
        <v>633262</v>
      </c>
      <c r="F1069" t="s">
        <v>44</v>
      </c>
      <c r="H1069" t="s">
        <v>1534</v>
      </c>
      <c r="L1069" s="1">
        <v>41863</v>
      </c>
    </row>
    <row r="1070" spans="2:13" x14ac:dyDescent="0.25">
      <c r="B1070" t="s">
        <v>1533</v>
      </c>
      <c r="C1070" t="s">
        <v>0</v>
      </c>
      <c r="D1070" t="s">
        <v>1</v>
      </c>
      <c r="E1070">
        <v>635075</v>
      </c>
      <c r="F1070" t="s">
        <v>332</v>
      </c>
      <c r="H1070" t="s">
        <v>1534</v>
      </c>
      <c r="L1070" s="1">
        <v>41849</v>
      </c>
      <c r="M1070" s="1">
        <v>42016</v>
      </c>
    </row>
    <row r="1071" spans="2:13" x14ac:dyDescent="0.25">
      <c r="B1071" t="s">
        <v>1531</v>
      </c>
      <c r="C1071" t="s">
        <v>0</v>
      </c>
      <c r="D1071" t="s">
        <v>1</v>
      </c>
      <c r="E1071">
        <v>608605</v>
      </c>
      <c r="F1071" t="s">
        <v>44</v>
      </c>
      <c r="H1071" t="s">
        <v>1532</v>
      </c>
      <c r="L1071" s="1">
        <v>41276</v>
      </c>
      <c r="M1071" s="1">
        <v>41339</v>
      </c>
    </row>
    <row r="1072" spans="2:13" x14ac:dyDescent="0.25">
      <c r="B1072" t="s">
        <v>1529</v>
      </c>
      <c r="C1072" t="s">
        <v>100</v>
      </c>
      <c r="D1072" t="s">
        <v>50</v>
      </c>
      <c r="E1072">
        <v>631740</v>
      </c>
      <c r="F1072" t="s">
        <v>1530</v>
      </c>
      <c r="H1072" t="s">
        <v>1528</v>
      </c>
      <c r="L1072" s="1">
        <v>41842</v>
      </c>
    </row>
    <row r="1073" spans="2:13" x14ac:dyDescent="0.25">
      <c r="B1073" t="s">
        <v>1527</v>
      </c>
      <c r="C1073" t="s">
        <v>0</v>
      </c>
      <c r="D1073" t="s">
        <v>1</v>
      </c>
      <c r="E1073">
        <v>635999</v>
      </c>
      <c r="F1073" t="s">
        <v>44</v>
      </c>
      <c r="H1073" t="s">
        <v>1528</v>
      </c>
      <c r="L1073" s="1">
        <v>41817</v>
      </c>
      <c r="M1073" s="1">
        <v>42038</v>
      </c>
    </row>
    <row r="1074" spans="2:13" x14ac:dyDescent="0.25">
      <c r="B1074" t="s">
        <v>1526</v>
      </c>
      <c r="C1074" t="s">
        <v>0</v>
      </c>
      <c r="D1074" t="s">
        <v>1</v>
      </c>
      <c r="E1074">
        <v>648103</v>
      </c>
      <c r="F1074" t="s">
        <v>44</v>
      </c>
      <c r="H1074" t="s">
        <v>1524</v>
      </c>
      <c r="L1074" s="1">
        <v>42263</v>
      </c>
      <c r="M1074" s="1">
        <v>42366</v>
      </c>
    </row>
    <row r="1075" spans="2:13" x14ac:dyDescent="0.25">
      <c r="B1075" t="s">
        <v>1525</v>
      </c>
      <c r="C1075" t="s">
        <v>0</v>
      </c>
      <c r="D1075" t="s">
        <v>1</v>
      </c>
      <c r="E1075">
        <v>644558</v>
      </c>
      <c r="F1075" t="s">
        <v>44</v>
      </c>
      <c r="H1075" t="s">
        <v>1524</v>
      </c>
      <c r="L1075" s="1">
        <v>42177</v>
      </c>
      <c r="M1075" s="1">
        <v>42242</v>
      </c>
    </row>
    <row r="1076" spans="2:13" x14ac:dyDescent="0.25">
      <c r="B1076" t="s">
        <v>1523</v>
      </c>
      <c r="C1076" t="s">
        <v>0</v>
      </c>
      <c r="D1076" t="s">
        <v>1</v>
      </c>
      <c r="E1076">
        <v>638288</v>
      </c>
      <c r="F1076" t="s">
        <v>44</v>
      </c>
      <c r="H1076" t="s">
        <v>1524</v>
      </c>
      <c r="L1076" s="1">
        <v>41984</v>
      </c>
      <c r="M1076" s="1">
        <v>42089</v>
      </c>
    </row>
    <row r="1077" spans="2:13" x14ac:dyDescent="0.25">
      <c r="B1077" t="s">
        <v>1521</v>
      </c>
      <c r="C1077" t="s">
        <v>0</v>
      </c>
      <c r="D1077" t="s">
        <v>1</v>
      </c>
      <c r="E1077">
        <v>643468</v>
      </c>
      <c r="F1077" t="s">
        <v>44</v>
      </c>
      <c r="H1077" t="s">
        <v>1522</v>
      </c>
      <c r="L1077" s="1">
        <v>42151</v>
      </c>
      <c r="M1077" s="1">
        <v>42212</v>
      </c>
    </row>
    <row r="1078" spans="2:13" x14ac:dyDescent="0.25">
      <c r="B1078" t="s">
        <v>1520</v>
      </c>
      <c r="C1078" t="s">
        <v>0</v>
      </c>
      <c r="D1078" t="s">
        <v>1</v>
      </c>
      <c r="E1078">
        <v>656390</v>
      </c>
      <c r="F1078" t="s">
        <v>136</v>
      </c>
      <c r="H1078" t="s">
        <v>514</v>
      </c>
      <c r="L1078" s="1">
        <v>42566</v>
      </c>
      <c r="M1078" s="1">
        <v>42639</v>
      </c>
    </row>
    <row r="1084" spans="2:13" x14ac:dyDescent="0.25">
      <c r="B1084" t="s">
        <v>1519</v>
      </c>
      <c r="C1084" t="s">
        <v>76</v>
      </c>
      <c r="F1084" t="s">
        <v>163</v>
      </c>
      <c r="H1084" t="s">
        <v>515</v>
      </c>
      <c r="L1084" s="1">
        <v>42860</v>
      </c>
      <c r="M1084" s="1">
        <v>42885</v>
      </c>
    </row>
    <row r="1085" spans="2:13" x14ac:dyDescent="0.25">
      <c r="B1085" t="s">
        <v>516</v>
      </c>
      <c r="C1085" t="s">
        <v>139</v>
      </c>
      <c r="F1085" t="s">
        <v>163</v>
      </c>
      <c r="H1085" t="s">
        <v>515</v>
      </c>
      <c r="L1085" s="1">
        <v>42856</v>
      </c>
      <c r="M1085" s="1">
        <v>42892</v>
      </c>
    </row>
    <row r="1086" spans="2:13" x14ac:dyDescent="0.25">
      <c r="B1086" t="s">
        <v>1518</v>
      </c>
      <c r="C1086" t="s">
        <v>0</v>
      </c>
      <c r="D1086" t="s">
        <v>1</v>
      </c>
      <c r="E1086">
        <v>627629</v>
      </c>
      <c r="F1086" t="s">
        <v>136</v>
      </c>
      <c r="H1086" t="s">
        <v>1516</v>
      </c>
      <c r="L1086" s="1">
        <v>41792</v>
      </c>
      <c r="M1086" s="1">
        <v>41829</v>
      </c>
    </row>
    <row r="1087" spans="2:13" x14ac:dyDescent="0.25">
      <c r="B1087" t="s">
        <v>1517</v>
      </c>
      <c r="C1087" t="s">
        <v>0</v>
      </c>
      <c r="D1087" t="s">
        <v>1</v>
      </c>
      <c r="E1087">
        <v>614756</v>
      </c>
      <c r="F1087" t="s">
        <v>136</v>
      </c>
      <c r="H1087" t="s">
        <v>1516</v>
      </c>
      <c r="L1087" s="1">
        <v>41458</v>
      </c>
      <c r="M1087" s="1">
        <v>41498</v>
      </c>
    </row>
    <row r="1088" spans="2:13" x14ac:dyDescent="0.25">
      <c r="B1088" t="s">
        <v>1515</v>
      </c>
      <c r="C1088" t="s">
        <v>0</v>
      </c>
      <c r="D1088" t="s">
        <v>1</v>
      </c>
      <c r="E1088">
        <v>614340</v>
      </c>
      <c r="F1088" t="s">
        <v>136</v>
      </c>
      <c r="H1088" t="s">
        <v>1516</v>
      </c>
      <c r="L1088" s="1">
        <v>41403</v>
      </c>
      <c r="M1088" s="1">
        <v>41485</v>
      </c>
    </row>
    <row r="1089" spans="2:13" x14ac:dyDescent="0.25">
      <c r="B1089" t="s">
        <v>1513</v>
      </c>
      <c r="C1089" t="s">
        <v>0</v>
      </c>
      <c r="D1089" t="s">
        <v>1</v>
      </c>
      <c r="E1089">
        <v>612394</v>
      </c>
      <c r="F1089" t="s">
        <v>136</v>
      </c>
      <c r="H1089" t="s">
        <v>1514</v>
      </c>
      <c r="L1089" s="1">
        <v>41397</v>
      </c>
      <c r="M1089" s="1">
        <v>41430</v>
      </c>
    </row>
    <row r="1090" spans="2:13" x14ac:dyDescent="0.25">
      <c r="B1090" t="s">
        <v>1512</v>
      </c>
      <c r="C1090" t="s">
        <v>0</v>
      </c>
      <c r="D1090" t="s">
        <v>1</v>
      </c>
      <c r="E1090">
        <v>660986</v>
      </c>
      <c r="F1090" t="s">
        <v>136</v>
      </c>
      <c r="H1090" t="s">
        <v>472</v>
      </c>
      <c r="L1090" s="1">
        <v>42724</v>
      </c>
      <c r="M1090" s="1">
        <v>42779</v>
      </c>
    </row>
    <row r="1091" spans="2:13" x14ac:dyDescent="0.25">
      <c r="B1091" t="s">
        <v>1511</v>
      </c>
      <c r="C1091" t="s">
        <v>0</v>
      </c>
      <c r="D1091" t="s">
        <v>1</v>
      </c>
      <c r="E1091">
        <v>662574</v>
      </c>
      <c r="F1091" t="s">
        <v>136</v>
      </c>
      <c r="H1091" t="s">
        <v>472</v>
      </c>
      <c r="L1091" s="1">
        <v>42639</v>
      </c>
      <c r="M1091" s="1">
        <v>42831</v>
      </c>
    </row>
    <row r="1092" spans="2:13" x14ac:dyDescent="0.25">
      <c r="B1092" t="s">
        <v>1509</v>
      </c>
      <c r="C1092" t="s">
        <v>0</v>
      </c>
      <c r="D1092" t="s">
        <v>1</v>
      </c>
      <c r="E1092">
        <v>630251</v>
      </c>
      <c r="F1092" t="s">
        <v>163</v>
      </c>
      <c r="H1092" t="s">
        <v>1510</v>
      </c>
      <c r="L1092" s="1">
        <v>41816</v>
      </c>
      <c r="M1092" s="1">
        <v>41890</v>
      </c>
    </row>
    <row r="1093" spans="2:13" x14ac:dyDescent="0.25">
      <c r="B1093" t="s">
        <v>1507</v>
      </c>
      <c r="C1093" t="s">
        <v>0</v>
      </c>
      <c r="D1093" t="s">
        <v>1</v>
      </c>
      <c r="E1093">
        <v>635451</v>
      </c>
      <c r="F1093" t="s">
        <v>163</v>
      </c>
      <c r="H1093" t="s">
        <v>1508</v>
      </c>
      <c r="L1093" s="1">
        <v>41950</v>
      </c>
      <c r="M1093" s="1">
        <v>42024</v>
      </c>
    </row>
    <row r="1094" spans="2:13" x14ac:dyDescent="0.25">
      <c r="B1094" t="s">
        <v>1506</v>
      </c>
      <c r="C1094" t="s">
        <v>0</v>
      </c>
      <c r="D1094" t="s">
        <v>1</v>
      </c>
      <c r="E1094">
        <v>660729</v>
      </c>
      <c r="F1094" t="s">
        <v>136</v>
      </c>
      <c r="H1094" t="s">
        <v>403</v>
      </c>
      <c r="L1094" s="1">
        <v>42706</v>
      </c>
      <c r="M1094" s="1">
        <v>42772</v>
      </c>
    </row>
    <row r="1095" spans="2:13" x14ac:dyDescent="0.25">
      <c r="B1095" t="s">
        <v>1505</v>
      </c>
      <c r="C1095" t="s">
        <v>100</v>
      </c>
      <c r="D1095" t="s">
        <v>50</v>
      </c>
      <c r="E1095">
        <v>651679</v>
      </c>
      <c r="F1095" t="s">
        <v>397</v>
      </c>
      <c r="H1095" t="s">
        <v>403</v>
      </c>
      <c r="L1095" s="1">
        <v>42174</v>
      </c>
    </row>
    <row r="1096" spans="2:13" x14ac:dyDescent="0.25">
      <c r="B1096" t="s">
        <v>1504</v>
      </c>
      <c r="C1096" t="s">
        <v>100</v>
      </c>
      <c r="D1096" t="s">
        <v>50</v>
      </c>
      <c r="E1096">
        <v>658093</v>
      </c>
      <c r="F1096" t="s">
        <v>332</v>
      </c>
      <c r="H1096" t="s">
        <v>403</v>
      </c>
      <c r="L1096" s="1">
        <v>42164</v>
      </c>
    </row>
    <row r="1097" spans="2:13" x14ac:dyDescent="0.25">
      <c r="B1097" t="s">
        <v>1502</v>
      </c>
      <c r="C1097" t="s">
        <v>100</v>
      </c>
      <c r="D1097" t="s">
        <v>50</v>
      </c>
      <c r="E1097">
        <v>643848</v>
      </c>
      <c r="F1097" t="s">
        <v>136</v>
      </c>
      <c r="H1097" t="s">
        <v>1503</v>
      </c>
      <c r="L1097" s="1">
        <v>42006</v>
      </c>
    </row>
    <row r="1098" spans="2:13" x14ac:dyDescent="0.25">
      <c r="B1098" t="s">
        <v>1501</v>
      </c>
      <c r="C1098" t="s">
        <v>100</v>
      </c>
      <c r="D1098" t="s">
        <v>50</v>
      </c>
      <c r="E1098">
        <v>642325</v>
      </c>
      <c r="F1098" t="s">
        <v>44</v>
      </c>
      <c r="H1098" t="s">
        <v>354</v>
      </c>
      <c r="L1098" s="1">
        <v>42040</v>
      </c>
    </row>
    <row r="1099" spans="2:13" x14ac:dyDescent="0.25">
      <c r="B1099" t="s">
        <v>1500</v>
      </c>
      <c r="C1099" t="s">
        <v>0</v>
      </c>
      <c r="D1099" t="s">
        <v>1</v>
      </c>
      <c r="E1099">
        <v>660813</v>
      </c>
      <c r="F1099" t="s">
        <v>136</v>
      </c>
      <c r="H1099" t="s">
        <v>345</v>
      </c>
      <c r="L1099" s="1">
        <v>42583</v>
      </c>
      <c r="M1099" s="1">
        <v>42774</v>
      </c>
    </row>
    <row r="1100" spans="2:13" x14ac:dyDescent="0.25">
      <c r="B1100" t="s">
        <v>1498</v>
      </c>
      <c r="C1100" t="s">
        <v>0</v>
      </c>
      <c r="D1100" t="s">
        <v>1</v>
      </c>
      <c r="E1100">
        <v>634808</v>
      </c>
      <c r="F1100" t="s">
        <v>163</v>
      </c>
      <c r="H1100" t="s">
        <v>1499</v>
      </c>
      <c r="L1100" s="1">
        <v>41934</v>
      </c>
      <c r="M1100" s="1">
        <v>42010</v>
      </c>
    </row>
    <row r="1101" spans="2:13" x14ac:dyDescent="0.25">
      <c r="B1101" t="s">
        <v>1497</v>
      </c>
      <c r="C1101" t="s">
        <v>100</v>
      </c>
      <c r="D1101" t="s">
        <v>50</v>
      </c>
      <c r="E1101">
        <v>636320</v>
      </c>
      <c r="F1101" t="s">
        <v>163</v>
      </c>
      <c r="H1101" t="s">
        <v>1496</v>
      </c>
      <c r="L1101" s="1">
        <v>41933</v>
      </c>
    </row>
    <row r="1102" spans="2:13" x14ac:dyDescent="0.25">
      <c r="B1102" t="s">
        <v>1495</v>
      </c>
      <c r="C1102" t="s">
        <v>100</v>
      </c>
      <c r="D1102" t="s">
        <v>50</v>
      </c>
      <c r="E1102">
        <v>637142</v>
      </c>
      <c r="F1102" t="s">
        <v>44</v>
      </c>
      <c r="H1102" t="s">
        <v>1496</v>
      </c>
      <c r="L1102" s="1">
        <v>41935</v>
      </c>
    </row>
    <row r="1103" spans="2:13" x14ac:dyDescent="0.25">
      <c r="B1103" t="s">
        <v>1494</v>
      </c>
      <c r="C1103" t="s">
        <v>100</v>
      </c>
      <c r="D1103" t="s">
        <v>50</v>
      </c>
      <c r="E1103">
        <v>636323</v>
      </c>
      <c r="F1103" t="s">
        <v>397</v>
      </c>
      <c r="H1103" t="s">
        <v>1493</v>
      </c>
      <c r="L1103" s="1">
        <v>41953</v>
      </c>
    </row>
    <row r="1104" spans="2:13" x14ac:dyDescent="0.25">
      <c r="B1104" t="s">
        <v>1492</v>
      </c>
      <c r="C1104" t="s">
        <v>0</v>
      </c>
      <c r="D1104" t="s">
        <v>1</v>
      </c>
      <c r="E1104">
        <v>642529</v>
      </c>
      <c r="F1104" t="s">
        <v>44</v>
      </c>
      <c r="H1104" t="s">
        <v>1493</v>
      </c>
      <c r="L1104" s="1">
        <v>41935</v>
      </c>
      <c r="M1104" s="1">
        <v>42184</v>
      </c>
    </row>
    <row r="1105" spans="2:13" x14ac:dyDescent="0.25">
      <c r="B1105" t="s">
        <v>1492</v>
      </c>
      <c r="C1105" t="s">
        <v>0</v>
      </c>
      <c r="D1105" t="s">
        <v>1</v>
      </c>
      <c r="E1105">
        <v>642529</v>
      </c>
      <c r="F1105" t="s">
        <v>44</v>
      </c>
      <c r="H1105" t="s">
        <v>1493</v>
      </c>
      <c r="L1105" s="1">
        <v>41935</v>
      </c>
      <c r="M1105" s="1">
        <v>42184</v>
      </c>
    </row>
    <row r="1106" spans="2:13" x14ac:dyDescent="0.25">
      <c r="B1106" t="s">
        <v>1491</v>
      </c>
      <c r="C1106" t="s">
        <v>0</v>
      </c>
      <c r="D1106" t="s">
        <v>1</v>
      </c>
      <c r="E1106">
        <v>660344</v>
      </c>
      <c r="F1106" t="s">
        <v>136</v>
      </c>
      <c r="H1106" t="s">
        <v>271</v>
      </c>
      <c r="L1106" s="1">
        <v>42649</v>
      </c>
      <c r="M1106" s="1">
        <v>42765</v>
      </c>
    </row>
    <row r="1107" spans="2:13" x14ac:dyDescent="0.25">
      <c r="B1107" t="s">
        <v>1490</v>
      </c>
      <c r="C1107" t="s">
        <v>0</v>
      </c>
      <c r="D1107" t="s">
        <v>1</v>
      </c>
      <c r="E1107">
        <v>658949</v>
      </c>
      <c r="F1107" t="s">
        <v>136</v>
      </c>
      <c r="H1107" t="s">
        <v>257</v>
      </c>
      <c r="L1107" s="1">
        <v>42583</v>
      </c>
      <c r="M1107" s="1">
        <v>42719</v>
      </c>
    </row>
    <row r="1108" spans="2:13" x14ac:dyDescent="0.25">
      <c r="B1108" t="s">
        <v>1489</v>
      </c>
      <c r="C1108" t="s">
        <v>0</v>
      </c>
      <c r="D1108" t="s">
        <v>1</v>
      </c>
      <c r="E1108">
        <v>657582</v>
      </c>
      <c r="F1108" t="s">
        <v>136</v>
      </c>
      <c r="H1108" t="s">
        <v>241</v>
      </c>
      <c r="L1108" s="1">
        <v>42608</v>
      </c>
      <c r="M1108" s="1">
        <v>42677</v>
      </c>
    </row>
    <row r="1109" spans="2:13" x14ac:dyDescent="0.25">
      <c r="B1109" t="s">
        <v>1488</v>
      </c>
      <c r="C1109" t="s">
        <v>100</v>
      </c>
      <c r="D1109" t="s">
        <v>50</v>
      </c>
      <c r="E1109">
        <v>650362</v>
      </c>
      <c r="F1109" t="s">
        <v>332</v>
      </c>
      <c r="H1109" t="s">
        <v>241</v>
      </c>
      <c r="L1109" s="1">
        <v>42263</v>
      </c>
    </row>
    <row r="1110" spans="2:13" x14ac:dyDescent="0.25">
      <c r="B1110" t="s">
        <v>1487</v>
      </c>
      <c r="C1110" t="s">
        <v>100</v>
      </c>
      <c r="D1110" t="s">
        <v>50</v>
      </c>
      <c r="E1110">
        <v>641687</v>
      </c>
      <c r="F1110" t="s">
        <v>44</v>
      </c>
      <c r="H1110" t="s">
        <v>241</v>
      </c>
      <c r="L1110" s="1">
        <v>42040</v>
      </c>
    </row>
    <row r="1111" spans="2:13" x14ac:dyDescent="0.25">
      <c r="B1111" t="s">
        <v>1484</v>
      </c>
      <c r="C1111" t="s">
        <v>100</v>
      </c>
      <c r="D1111" t="s">
        <v>50</v>
      </c>
      <c r="E1111">
        <v>643685</v>
      </c>
      <c r="F1111" t="s">
        <v>136</v>
      </c>
      <c r="H1111" t="s">
        <v>225</v>
      </c>
      <c r="L1111" s="1">
        <v>42186</v>
      </c>
    </row>
    <row r="1112" spans="2:13" x14ac:dyDescent="0.25">
      <c r="B1112" t="s">
        <v>1486</v>
      </c>
      <c r="C1112" t="s">
        <v>100</v>
      </c>
      <c r="D1112" t="s">
        <v>50</v>
      </c>
      <c r="E1112">
        <v>643841</v>
      </c>
      <c r="F1112" t="s">
        <v>397</v>
      </c>
      <c r="H1112" t="s">
        <v>225</v>
      </c>
      <c r="L1112" s="1">
        <v>41960</v>
      </c>
    </row>
    <row r="1113" spans="2:13" x14ac:dyDescent="0.25">
      <c r="B1113" t="s">
        <v>1485</v>
      </c>
      <c r="C1113" t="s">
        <v>0</v>
      </c>
      <c r="D1113" t="s">
        <v>1</v>
      </c>
      <c r="E1113">
        <v>645227</v>
      </c>
      <c r="F1113" t="s">
        <v>44</v>
      </c>
      <c r="H1113" t="s">
        <v>225</v>
      </c>
      <c r="L1113" s="1">
        <v>41927</v>
      </c>
      <c r="M1113" s="1">
        <v>42264</v>
      </c>
    </row>
    <row r="1114" spans="2:13" x14ac:dyDescent="0.25">
      <c r="B1114" t="s">
        <v>1484</v>
      </c>
      <c r="C1114" t="s">
        <v>100</v>
      </c>
      <c r="D1114" t="s">
        <v>50</v>
      </c>
      <c r="E1114">
        <v>643685</v>
      </c>
      <c r="F1114" t="s">
        <v>136</v>
      </c>
      <c r="H1114" t="s">
        <v>209</v>
      </c>
      <c r="L1114" s="1">
        <v>42186</v>
      </c>
    </row>
    <row r="1115" spans="2:13" x14ac:dyDescent="0.25">
      <c r="B1115" t="s">
        <v>1483</v>
      </c>
      <c r="C1115" t="s">
        <v>100</v>
      </c>
      <c r="D1115" t="s">
        <v>50</v>
      </c>
      <c r="E1115">
        <v>640017</v>
      </c>
      <c r="F1115" t="s">
        <v>332</v>
      </c>
      <c r="H1115" t="s">
        <v>209</v>
      </c>
      <c r="L1115" s="1">
        <v>41926</v>
      </c>
    </row>
    <row r="1116" spans="2:13" x14ac:dyDescent="0.25">
      <c r="B1116" t="s">
        <v>1482</v>
      </c>
      <c r="C1116" t="s">
        <v>0</v>
      </c>
      <c r="D1116" t="s">
        <v>1</v>
      </c>
      <c r="E1116">
        <v>642133</v>
      </c>
      <c r="F1116" t="s">
        <v>44</v>
      </c>
      <c r="H1116" t="s">
        <v>209</v>
      </c>
      <c r="L1116" s="1">
        <v>41927</v>
      </c>
      <c r="M1116" s="1">
        <v>42173</v>
      </c>
    </row>
    <row r="1117" spans="2:13" x14ac:dyDescent="0.25">
      <c r="B1117" t="s">
        <v>1481</v>
      </c>
      <c r="C1117" t="s">
        <v>0</v>
      </c>
      <c r="D1117" t="s">
        <v>1</v>
      </c>
      <c r="E1117">
        <v>660246</v>
      </c>
      <c r="F1117" t="s">
        <v>136</v>
      </c>
      <c r="H1117" t="s">
        <v>174</v>
      </c>
      <c r="L1117" s="1">
        <v>42649</v>
      </c>
      <c r="M1117" s="1">
        <v>42761</v>
      </c>
    </row>
    <row r="1118" spans="2:13" x14ac:dyDescent="0.25">
      <c r="B1118" t="s">
        <v>1480</v>
      </c>
      <c r="C1118" t="s">
        <v>100</v>
      </c>
      <c r="F1118" t="s">
        <v>136</v>
      </c>
      <c r="H1118" t="s">
        <v>165</v>
      </c>
      <c r="L1118" s="1">
        <v>42661</v>
      </c>
    </row>
    <row r="1119" spans="2:13" x14ac:dyDescent="0.25">
      <c r="B1119" t="s">
        <v>1479</v>
      </c>
      <c r="C1119" t="s">
        <v>0</v>
      </c>
      <c r="D1119" t="s">
        <v>1</v>
      </c>
      <c r="E1119">
        <v>659508</v>
      </c>
      <c r="F1119" t="s">
        <v>136</v>
      </c>
      <c r="H1119" t="s">
        <v>137</v>
      </c>
      <c r="L1119" s="1">
        <v>42647</v>
      </c>
      <c r="M1119" s="1">
        <v>42738</v>
      </c>
    </row>
    <row r="1125" spans="2:13" x14ac:dyDescent="0.25">
      <c r="B1125" t="s">
        <v>1477</v>
      </c>
      <c r="C1125" t="s">
        <v>0</v>
      </c>
      <c r="D1125" t="s">
        <v>1</v>
      </c>
      <c r="E1125">
        <v>652906</v>
      </c>
      <c r="F1125" t="s">
        <v>147</v>
      </c>
      <c r="H1125" t="s">
        <v>1478</v>
      </c>
      <c r="L1125" s="1">
        <v>42467</v>
      </c>
      <c r="M1125" s="1">
        <v>42514</v>
      </c>
    </row>
    <row r="1126" spans="2:13" x14ac:dyDescent="0.25">
      <c r="B1126" t="s">
        <v>1476</v>
      </c>
      <c r="C1126" t="s">
        <v>0</v>
      </c>
      <c r="D1126" t="s">
        <v>1</v>
      </c>
      <c r="E1126">
        <v>659740</v>
      </c>
      <c r="F1126" t="s">
        <v>44</v>
      </c>
      <c r="H1126" t="s">
        <v>521</v>
      </c>
      <c r="L1126" s="1">
        <v>42713</v>
      </c>
      <c r="M1126" s="1">
        <v>42745</v>
      </c>
    </row>
    <row r="1127" spans="2:13" x14ac:dyDescent="0.25">
      <c r="B1127" t="s">
        <v>1475</v>
      </c>
      <c r="C1127" t="s">
        <v>100</v>
      </c>
      <c r="D1127" t="s">
        <v>50</v>
      </c>
      <c r="E1127">
        <v>658855</v>
      </c>
      <c r="F1127" t="s">
        <v>136</v>
      </c>
      <c r="H1127" t="s">
        <v>521</v>
      </c>
      <c r="L1127" s="1">
        <v>42642</v>
      </c>
    </row>
    <row r="1128" spans="2:13" x14ac:dyDescent="0.25">
      <c r="B1128" t="s">
        <v>1474</v>
      </c>
      <c r="C1128" t="s">
        <v>100</v>
      </c>
      <c r="D1128" t="s">
        <v>50</v>
      </c>
      <c r="E1128">
        <v>649115</v>
      </c>
      <c r="F1128" t="s">
        <v>44</v>
      </c>
      <c r="H1128" t="s">
        <v>521</v>
      </c>
      <c r="L1128" s="1">
        <v>42263</v>
      </c>
    </row>
    <row r="1129" spans="2:13" x14ac:dyDescent="0.25">
      <c r="B1129" t="s">
        <v>485</v>
      </c>
      <c r="C1129" t="s">
        <v>76</v>
      </c>
      <c r="D1129" t="s">
        <v>1</v>
      </c>
      <c r="E1129">
        <v>644722</v>
      </c>
      <c r="F1129" t="s">
        <v>332</v>
      </c>
      <c r="H1129" t="s">
        <v>486</v>
      </c>
      <c r="L1129" s="1">
        <v>42194</v>
      </c>
      <c r="M1129" s="1">
        <v>42234</v>
      </c>
    </row>
    <row r="1130" spans="2:13" x14ac:dyDescent="0.25">
      <c r="B1130" t="s">
        <v>1473</v>
      </c>
      <c r="C1130" t="s">
        <v>0</v>
      </c>
      <c r="D1130" t="s">
        <v>1</v>
      </c>
      <c r="E1130">
        <v>643624</v>
      </c>
      <c r="F1130" t="s">
        <v>332</v>
      </c>
      <c r="H1130" t="s">
        <v>1472</v>
      </c>
      <c r="L1130" s="1">
        <v>42174</v>
      </c>
      <c r="M1130" s="1">
        <v>42215</v>
      </c>
    </row>
    <row r="1131" spans="2:13" x14ac:dyDescent="0.25">
      <c r="B1131" t="s">
        <v>1471</v>
      </c>
      <c r="C1131" t="s">
        <v>0</v>
      </c>
      <c r="D1131" t="s">
        <v>1</v>
      </c>
      <c r="E1131">
        <v>641287</v>
      </c>
      <c r="F1131" t="s">
        <v>332</v>
      </c>
      <c r="H1131" t="s">
        <v>1472</v>
      </c>
      <c r="L1131" s="1">
        <v>41990</v>
      </c>
      <c r="M1131" s="1">
        <v>42156</v>
      </c>
    </row>
    <row r="1132" spans="2:13" x14ac:dyDescent="0.25">
      <c r="B1132" t="s">
        <v>1470</v>
      </c>
      <c r="C1132" t="s">
        <v>0</v>
      </c>
      <c r="D1132" t="s">
        <v>1</v>
      </c>
      <c r="E1132">
        <v>658916</v>
      </c>
      <c r="F1132" t="s">
        <v>136</v>
      </c>
      <c r="H1132" t="s">
        <v>464</v>
      </c>
      <c r="L1132" s="1">
        <v>42615</v>
      </c>
      <c r="M1132" s="1">
        <v>42718</v>
      </c>
    </row>
    <row r="1133" spans="2:13" x14ac:dyDescent="0.25">
      <c r="B1133" t="s">
        <v>1469</v>
      </c>
      <c r="C1133" t="s">
        <v>0</v>
      </c>
      <c r="D1133" t="s">
        <v>1</v>
      </c>
      <c r="E1133">
        <v>661520</v>
      </c>
      <c r="F1133" t="s">
        <v>163</v>
      </c>
      <c r="H1133" t="s">
        <v>450</v>
      </c>
      <c r="L1133" s="1">
        <v>42656</v>
      </c>
      <c r="M1133" s="1">
        <v>42795</v>
      </c>
    </row>
    <row r="1134" spans="2:13" x14ac:dyDescent="0.25">
      <c r="B1134" t="s">
        <v>1468</v>
      </c>
      <c r="C1134" t="s">
        <v>0</v>
      </c>
      <c r="D1134" t="s">
        <v>1</v>
      </c>
      <c r="E1134">
        <v>645082</v>
      </c>
      <c r="F1134" t="s">
        <v>332</v>
      </c>
      <c r="H1134" t="s">
        <v>1466</v>
      </c>
      <c r="L1134" s="1">
        <v>42187</v>
      </c>
      <c r="M1134" s="1">
        <v>42261</v>
      </c>
    </row>
    <row r="1135" spans="2:13" x14ac:dyDescent="0.25">
      <c r="B1135" t="s">
        <v>1467</v>
      </c>
      <c r="C1135" t="s">
        <v>0</v>
      </c>
      <c r="D1135" t="s">
        <v>1</v>
      </c>
      <c r="E1135">
        <v>643560</v>
      </c>
      <c r="F1135" t="s">
        <v>332</v>
      </c>
      <c r="H1135" t="s">
        <v>1466</v>
      </c>
      <c r="L1135" s="1">
        <v>42131</v>
      </c>
      <c r="M1135" s="1">
        <v>42214</v>
      </c>
    </row>
    <row r="1136" spans="2:13" x14ac:dyDescent="0.25">
      <c r="B1136" t="s">
        <v>1465</v>
      </c>
      <c r="C1136" t="s">
        <v>100</v>
      </c>
      <c r="D1136" t="s">
        <v>50</v>
      </c>
      <c r="E1136">
        <v>638596</v>
      </c>
      <c r="F1136" t="s">
        <v>332</v>
      </c>
      <c r="H1136" t="s">
        <v>1466</v>
      </c>
      <c r="L1136" s="1">
        <v>42055</v>
      </c>
    </row>
    <row r="1137" spans="2:13" x14ac:dyDescent="0.25">
      <c r="B1137" t="s">
        <v>1464</v>
      </c>
      <c r="C1137" t="s">
        <v>100</v>
      </c>
      <c r="D1137" t="s">
        <v>50</v>
      </c>
      <c r="E1137">
        <v>646811</v>
      </c>
      <c r="F1137" t="s">
        <v>44</v>
      </c>
      <c r="H1137" t="s">
        <v>1463</v>
      </c>
      <c r="L1137" s="1">
        <v>42263</v>
      </c>
    </row>
    <row r="1138" spans="2:13" x14ac:dyDescent="0.25">
      <c r="B1138" t="s">
        <v>1462</v>
      </c>
      <c r="C1138" t="s">
        <v>100</v>
      </c>
      <c r="D1138" t="s">
        <v>50</v>
      </c>
      <c r="E1138">
        <v>638902</v>
      </c>
      <c r="F1138" t="s">
        <v>332</v>
      </c>
      <c r="H1138" t="s">
        <v>1463</v>
      </c>
      <c r="L1138" s="1">
        <v>42087</v>
      </c>
    </row>
    <row r="1139" spans="2:13" x14ac:dyDescent="0.25">
      <c r="B1139" t="s">
        <v>1460</v>
      </c>
      <c r="C1139" t="s">
        <v>0</v>
      </c>
      <c r="D1139" t="s">
        <v>1</v>
      </c>
      <c r="E1139">
        <v>637026</v>
      </c>
      <c r="F1139" t="s">
        <v>44</v>
      </c>
      <c r="H1139" t="s">
        <v>1461</v>
      </c>
      <c r="L1139" s="1">
        <v>41996</v>
      </c>
      <c r="M1139" s="1">
        <v>42061</v>
      </c>
    </row>
    <row r="1140" spans="2:13" x14ac:dyDescent="0.25">
      <c r="B1140" t="s">
        <v>1459</v>
      </c>
      <c r="C1140" t="s">
        <v>0</v>
      </c>
      <c r="D1140" t="s">
        <v>1</v>
      </c>
      <c r="E1140">
        <v>661519</v>
      </c>
      <c r="F1140" t="s">
        <v>163</v>
      </c>
      <c r="H1140" t="s">
        <v>388</v>
      </c>
      <c r="L1140" s="1">
        <v>42656</v>
      </c>
      <c r="M1140" s="1">
        <v>42795</v>
      </c>
    </row>
    <row r="1141" spans="2:13" x14ac:dyDescent="0.25">
      <c r="B1141" t="s">
        <v>1458</v>
      </c>
      <c r="C1141" t="s">
        <v>0</v>
      </c>
      <c r="D1141" t="s">
        <v>1</v>
      </c>
      <c r="E1141">
        <v>657577</v>
      </c>
      <c r="F1141" t="s">
        <v>136</v>
      </c>
      <c r="H1141" t="s">
        <v>379</v>
      </c>
      <c r="L1141" s="1">
        <v>42604</v>
      </c>
      <c r="M1141" s="1">
        <v>42677</v>
      </c>
    </row>
    <row r="1142" spans="2:13" x14ac:dyDescent="0.25">
      <c r="B1142" t="s">
        <v>1457</v>
      </c>
      <c r="C1142" t="s">
        <v>100</v>
      </c>
      <c r="D1142" t="s">
        <v>50</v>
      </c>
      <c r="E1142">
        <v>648855</v>
      </c>
      <c r="F1142" t="s">
        <v>332</v>
      </c>
      <c r="H1142" t="s">
        <v>379</v>
      </c>
      <c r="L1142" s="1">
        <v>42264</v>
      </c>
    </row>
    <row r="1143" spans="2:13" x14ac:dyDescent="0.25">
      <c r="B1143" t="s">
        <v>377</v>
      </c>
      <c r="C1143" t="s">
        <v>139</v>
      </c>
      <c r="F1143" t="s">
        <v>136</v>
      </c>
      <c r="H1143" t="s">
        <v>376</v>
      </c>
      <c r="L1143" s="1">
        <v>42849</v>
      </c>
    </row>
    <row r="1144" spans="2:13" x14ac:dyDescent="0.25">
      <c r="B1144" t="s">
        <v>1456</v>
      </c>
      <c r="C1144" t="s">
        <v>0</v>
      </c>
      <c r="D1144" t="s">
        <v>1</v>
      </c>
      <c r="E1144">
        <v>660737</v>
      </c>
      <c r="F1144" t="s">
        <v>136</v>
      </c>
      <c r="H1144" t="s">
        <v>376</v>
      </c>
      <c r="L1144" s="1">
        <v>42713</v>
      </c>
      <c r="M1144" s="1">
        <v>42772</v>
      </c>
    </row>
    <row r="1145" spans="2:13" x14ac:dyDescent="0.25">
      <c r="B1145" t="s">
        <v>1455</v>
      </c>
      <c r="C1145" t="s">
        <v>0</v>
      </c>
      <c r="D1145" t="s">
        <v>1</v>
      </c>
      <c r="E1145">
        <v>656766</v>
      </c>
      <c r="F1145" t="s">
        <v>136</v>
      </c>
      <c r="H1145" t="s">
        <v>376</v>
      </c>
      <c r="L1145" s="1">
        <v>42607</v>
      </c>
      <c r="M1145" s="1">
        <v>42653</v>
      </c>
    </row>
    <row r="1146" spans="2:13" x14ac:dyDescent="0.25">
      <c r="B1146" t="s">
        <v>1454</v>
      </c>
      <c r="C1146" t="s">
        <v>0</v>
      </c>
      <c r="D1146" t="s">
        <v>1</v>
      </c>
      <c r="E1146">
        <v>645954</v>
      </c>
      <c r="F1146" t="s">
        <v>332</v>
      </c>
      <c r="H1146" t="s">
        <v>376</v>
      </c>
      <c r="L1146" s="1">
        <v>42237</v>
      </c>
      <c r="M1146" s="1">
        <v>42289</v>
      </c>
    </row>
    <row r="1147" spans="2:13" x14ac:dyDescent="0.25">
      <c r="B1147" t="s">
        <v>367</v>
      </c>
      <c r="C1147" t="s">
        <v>139</v>
      </c>
      <c r="F1147" t="s">
        <v>136</v>
      </c>
      <c r="H1147" t="s">
        <v>366</v>
      </c>
      <c r="L1147" s="1">
        <v>42849</v>
      </c>
    </row>
    <row r="1148" spans="2:13" x14ac:dyDescent="0.25">
      <c r="B1148" t="s">
        <v>1453</v>
      </c>
      <c r="C1148" t="s">
        <v>0</v>
      </c>
      <c r="D1148" t="s">
        <v>1</v>
      </c>
      <c r="E1148">
        <v>660369</v>
      </c>
      <c r="F1148" t="s">
        <v>136</v>
      </c>
      <c r="H1148" t="s">
        <v>366</v>
      </c>
      <c r="L1148" s="1">
        <v>42713</v>
      </c>
      <c r="M1148" s="1">
        <v>42765</v>
      </c>
    </row>
    <row r="1149" spans="2:13" x14ac:dyDescent="0.25">
      <c r="B1149" t="s">
        <v>1452</v>
      </c>
      <c r="C1149" t="s">
        <v>0</v>
      </c>
      <c r="D1149" t="s">
        <v>1</v>
      </c>
      <c r="E1149">
        <v>657455</v>
      </c>
      <c r="F1149" t="s">
        <v>136</v>
      </c>
      <c r="H1149" t="s">
        <v>366</v>
      </c>
      <c r="L1149" s="1">
        <v>42607</v>
      </c>
      <c r="M1149" s="1">
        <v>42674</v>
      </c>
    </row>
    <row r="1150" spans="2:13" x14ac:dyDescent="0.25">
      <c r="B1150" t="s">
        <v>1451</v>
      </c>
      <c r="C1150" t="s">
        <v>0</v>
      </c>
      <c r="D1150" t="s">
        <v>1</v>
      </c>
      <c r="E1150">
        <v>645953</v>
      </c>
      <c r="F1150" t="s">
        <v>332</v>
      </c>
      <c r="H1150" t="s">
        <v>366</v>
      </c>
      <c r="L1150" s="1">
        <v>42237</v>
      </c>
      <c r="M1150" s="1">
        <v>42289</v>
      </c>
    </row>
    <row r="1151" spans="2:13" x14ac:dyDescent="0.25">
      <c r="B1151" t="s">
        <v>1450</v>
      </c>
      <c r="C1151" t="s">
        <v>0</v>
      </c>
      <c r="D1151" t="s">
        <v>1</v>
      </c>
      <c r="E1151">
        <v>663071</v>
      </c>
      <c r="F1151" t="s">
        <v>163</v>
      </c>
      <c r="H1151" t="s">
        <v>335</v>
      </c>
      <c r="L1151" s="1">
        <v>42808</v>
      </c>
      <c r="M1151" s="1">
        <v>42849</v>
      </c>
    </row>
    <row r="1152" spans="2:13" x14ac:dyDescent="0.25">
      <c r="B1152" t="s">
        <v>1449</v>
      </c>
      <c r="C1152" t="s">
        <v>0</v>
      </c>
      <c r="D1152" t="s">
        <v>1</v>
      </c>
      <c r="E1152">
        <v>659723</v>
      </c>
      <c r="F1152" t="s">
        <v>163</v>
      </c>
      <c r="H1152" t="s">
        <v>335</v>
      </c>
      <c r="L1152" s="1">
        <v>42628</v>
      </c>
      <c r="M1152" s="1">
        <v>42745</v>
      </c>
    </row>
    <row r="1153" spans="2:13" x14ac:dyDescent="0.25">
      <c r="B1153" t="s">
        <v>1447</v>
      </c>
      <c r="C1153" t="s">
        <v>0</v>
      </c>
      <c r="D1153" t="s">
        <v>1</v>
      </c>
      <c r="E1153">
        <v>637025</v>
      </c>
      <c r="F1153" t="s">
        <v>44</v>
      </c>
      <c r="H1153" t="s">
        <v>1448</v>
      </c>
      <c r="L1153" s="1">
        <v>41996</v>
      </c>
      <c r="M1153" s="1">
        <v>42121</v>
      </c>
    </row>
    <row r="1154" spans="2:13" x14ac:dyDescent="0.25">
      <c r="B1154" t="s">
        <v>1445</v>
      </c>
      <c r="C1154" t="s">
        <v>0</v>
      </c>
      <c r="D1154" t="s">
        <v>1</v>
      </c>
      <c r="E1154">
        <v>633501</v>
      </c>
      <c r="F1154" t="s">
        <v>44</v>
      </c>
      <c r="H1154" t="s">
        <v>1446</v>
      </c>
      <c r="L1154" s="1">
        <v>41890</v>
      </c>
      <c r="M1154" s="1">
        <v>41968</v>
      </c>
    </row>
    <row r="1155" spans="2:13" x14ac:dyDescent="0.25">
      <c r="B1155" t="s">
        <v>1444</v>
      </c>
      <c r="C1155" t="s">
        <v>0</v>
      </c>
      <c r="D1155" t="s">
        <v>1</v>
      </c>
      <c r="E1155">
        <v>645782</v>
      </c>
      <c r="F1155" t="s">
        <v>44</v>
      </c>
      <c r="H1155" t="s">
        <v>1441</v>
      </c>
      <c r="L1155" s="1">
        <v>42192</v>
      </c>
      <c r="M1155" s="1">
        <v>42282</v>
      </c>
    </row>
    <row r="1156" spans="2:13" x14ac:dyDescent="0.25">
      <c r="B1156" t="s">
        <v>1443</v>
      </c>
      <c r="C1156" t="s">
        <v>0</v>
      </c>
      <c r="D1156" t="s">
        <v>1</v>
      </c>
      <c r="E1156">
        <v>642153</v>
      </c>
      <c r="F1156" t="s">
        <v>44</v>
      </c>
      <c r="H1156" t="s">
        <v>1441</v>
      </c>
      <c r="L1156" s="1">
        <v>42102</v>
      </c>
      <c r="M1156" s="1">
        <v>42173</v>
      </c>
    </row>
    <row r="1157" spans="2:13" x14ac:dyDescent="0.25">
      <c r="B1157" t="s">
        <v>1442</v>
      </c>
      <c r="C1157" t="s">
        <v>0</v>
      </c>
      <c r="D1157" t="s">
        <v>1</v>
      </c>
      <c r="E1157">
        <v>639578</v>
      </c>
      <c r="F1157" t="s">
        <v>44</v>
      </c>
      <c r="H1157" t="s">
        <v>1441</v>
      </c>
      <c r="L1157" s="1">
        <v>42025</v>
      </c>
      <c r="M1157" s="1">
        <v>42114</v>
      </c>
    </row>
    <row r="1158" spans="2:13" x14ac:dyDescent="0.25">
      <c r="B1158" t="s">
        <v>1440</v>
      </c>
      <c r="C1158" t="s">
        <v>0</v>
      </c>
      <c r="D1158" t="s">
        <v>1</v>
      </c>
      <c r="E1158">
        <v>636154</v>
      </c>
      <c r="F1158" t="s">
        <v>44</v>
      </c>
      <c r="H1158" t="s">
        <v>1441</v>
      </c>
      <c r="L1158" s="1">
        <v>41877</v>
      </c>
      <c r="M1158" s="1">
        <v>42040</v>
      </c>
    </row>
    <row r="1159" spans="2:13" x14ac:dyDescent="0.25">
      <c r="B1159" t="s">
        <v>1439</v>
      </c>
      <c r="C1159" t="s">
        <v>100</v>
      </c>
      <c r="D1159" t="s">
        <v>50</v>
      </c>
      <c r="E1159">
        <v>648985</v>
      </c>
      <c r="F1159" t="s">
        <v>332</v>
      </c>
      <c r="H1159" t="s">
        <v>1438</v>
      </c>
      <c r="L1159" s="1">
        <v>42278</v>
      </c>
    </row>
    <row r="1160" spans="2:13" x14ac:dyDescent="0.25">
      <c r="B1160" t="s">
        <v>1437</v>
      </c>
      <c r="C1160" t="s">
        <v>100</v>
      </c>
      <c r="D1160" t="s">
        <v>50</v>
      </c>
      <c r="E1160">
        <v>645071</v>
      </c>
      <c r="F1160" t="s">
        <v>44</v>
      </c>
      <c r="H1160" t="s">
        <v>1438</v>
      </c>
      <c r="L1160" s="1">
        <v>42074</v>
      </c>
    </row>
    <row r="1161" spans="2:13" x14ac:dyDescent="0.25">
      <c r="B1161" t="s">
        <v>1436</v>
      </c>
      <c r="C1161" t="s">
        <v>0</v>
      </c>
      <c r="D1161" t="s">
        <v>1</v>
      </c>
      <c r="E1161">
        <v>651414</v>
      </c>
      <c r="F1161" t="s">
        <v>147</v>
      </c>
      <c r="H1161" t="s">
        <v>228</v>
      </c>
      <c r="L1161" s="1">
        <v>42418</v>
      </c>
      <c r="M1161" s="1">
        <v>42464</v>
      </c>
    </row>
    <row r="1162" spans="2:13" x14ac:dyDescent="0.25">
      <c r="B1162" t="s">
        <v>1435</v>
      </c>
      <c r="C1162" t="s">
        <v>100</v>
      </c>
      <c r="F1162" t="s">
        <v>332</v>
      </c>
      <c r="H1162" t="s">
        <v>228</v>
      </c>
      <c r="L1162" s="1">
        <v>42201</v>
      </c>
    </row>
    <row r="1163" spans="2:13" x14ac:dyDescent="0.25">
      <c r="B1163" t="s">
        <v>1434</v>
      </c>
      <c r="C1163" t="s">
        <v>0</v>
      </c>
      <c r="D1163" t="s">
        <v>50</v>
      </c>
      <c r="E1163">
        <v>651413</v>
      </c>
      <c r="F1163" t="s">
        <v>147</v>
      </c>
      <c r="H1163" t="s">
        <v>213</v>
      </c>
      <c r="L1163" s="1">
        <v>42418</v>
      </c>
      <c r="M1163" s="1">
        <v>42464</v>
      </c>
    </row>
    <row r="1164" spans="2:13" x14ac:dyDescent="0.25">
      <c r="B1164" t="s">
        <v>1433</v>
      </c>
      <c r="C1164" t="s">
        <v>100</v>
      </c>
      <c r="D1164" t="s">
        <v>50</v>
      </c>
      <c r="E1164">
        <v>658813</v>
      </c>
      <c r="F1164" t="s">
        <v>147</v>
      </c>
      <c r="H1164" t="s">
        <v>213</v>
      </c>
      <c r="L1164" s="1">
        <v>42242</v>
      </c>
    </row>
    <row r="1165" spans="2:13" x14ac:dyDescent="0.25">
      <c r="B1165" t="s">
        <v>1432</v>
      </c>
      <c r="C1165" t="s">
        <v>100</v>
      </c>
      <c r="D1165" t="s">
        <v>50</v>
      </c>
      <c r="E1165">
        <v>649048</v>
      </c>
      <c r="F1165" t="s">
        <v>332</v>
      </c>
      <c r="H1165" t="s">
        <v>213</v>
      </c>
      <c r="L1165" s="1">
        <v>42201</v>
      </c>
    </row>
    <row r="1166" spans="2:13" x14ac:dyDescent="0.25">
      <c r="B1166" t="s">
        <v>1430</v>
      </c>
      <c r="C1166" t="s">
        <v>100</v>
      </c>
      <c r="D1166" t="s">
        <v>50</v>
      </c>
      <c r="E1166">
        <v>645070</v>
      </c>
      <c r="F1166" t="s">
        <v>44</v>
      </c>
      <c r="H1166" t="s">
        <v>1431</v>
      </c>
      <c r="L1166" s="1">
        <v>42074</v>
      </c>
    </row>
    <row r="1167" spans="2:13" x14ac:dyDescent="0.25">
      <c r="B1167" t="s">
        <v>1429</v>
      </c>
      <c r="C1167" t="s">
        <v>0</v>
      </c>
      <c r="D1167" t="s">
        <v>1</v>
      </c>
      <c r="E1167">
        <v>661983</v>
      </c>
      <c r="F1167" t="s">
        <v>136</v>
      </c>
      <c r="H1167" t="s">
        <v>189</v>
      </c>
      <c r="L1167" s="1">
        <v>42755</v>
      </c>
      <c r="M1167" s="1">
        <v>42810</v>
      </c>
    </row>
    <row r="1168" spans="2:13" x14ac:dyDescent="0.25">
      <c r="B1168" t="s">
        <v>1428</v>
      </c>
      <c r="C1168" t="s">
        <v>0</v>
      </c>
      <c r="D1168" t="s">
        <v>1</v>
      </c>
      <c r="E1168">
        <v>660248</v>
      </c>
      <c r="F1168" t="s">
        <v>136</v>
      </c>
      <c r="H1168" t="s">
        <v>189</v>
      </c>
      <c r="L1168" s="1">
        <v>42660</v>
      </c>
      <c r="M1168" s="1">
        <v>42761</v>
      </c>
    </row>
    <row r="1169" spans="2:13" x14ac:dyDescent="0.25">
      <c r="B1169" t="s">
        <v>1427</v>
      </c>
      <c r="C1169" t="s">
        <v>0</v>
      </c>
      <c r="D1169" t="s">
        <v>1</v>
      </c>
      <c r="E1169">
        <v>645178</v>
      </c>
      <c r="F1169" t="s">
        <v>332</v>
      </c>
      <c r="H1169" t="s">
        <v>179</v>
      </c>
      <c r="L1169" s="1">
        <v>42151</v>
      </c>
      <c r="M1169" s="1">
        <v>42263</v>
      </c>
    </row>
    <row r="1170" spans="2:13" x14ac:dyDescent="0.25">
      <c r="B1170" t="s">
        <v>1426</v>
      </c>
      <c r="C1170" t="s">
        <v>0</v>
      </c>
      <c r="D1170" t="s">
        <v>1</v>
      </c>
      <c r="E1170">
        <v>646933</v>
      </c>
      <c r="F1170" t="s">
        <v>44</v>
      </c>
      <c r="H1170" t="s">
        <v>168</v>
      </c>
      <c r="L1170" s="1">
        <v>42300</v>
      </c>
      <c r="M1170" s="1">
        <v>42325</v>
      </c>
    </row>
    <row r="1171" spans="2:13" x14ac:dyDescent="0.25">
      <c r="B1171" t="s">
        <v>1425</v>
      </c>
      <c r="C1171" t="s">
        <v>0</v>
      </c>
      <c r="D1171" t="s">
        <v>1</v>
      </c>
      <c r="E1171">
        <v>651835</v>
      </c>
      <c r="F1171" t="s">
        <v>44</v>
      </c>
      <c r="H1171" t="s">
        <v>168</v>
      </c>
      <c r="L1171" s="1">
        <v>42025</v>
      </c>
      <c r="M1171" s="1">
        <v>42478</v>
      </c>
    </row>
    <row r="1172" spans="2:13" x14ac:dyDescent="0.25">
      <c r="B1172" t="s">
        <v>1424</v>
      </c>
      <c r="C1172" t="s">
        <v>0</v>
      </c>
      <c r="D1172" t="s">
        <v>1</v>
      </c>
      <c r="E1172">
        <v>636153</v>
      </c>
      <c r="F1172" t="s">
        <v>44</v>
      </c>
      <c r="H1172" t="s">
        <v>168</v>
      </c>
      <c r="L1172" s="1">
        <v>41877</v>
      </c>
      <c r="M1172" s="1">
        <v>42040</v>
      </c>
    </row>
    <row r="1173" spans="2:13" x14ac:dyDescent="0.25">
      <c r="B1173" t="s">
        <v>1423</v>
      </c>
      <c r="C1173" t="s">
        <v>100</v>
      </c>
      <c r="D1173" t="s">
        <v>50</v>
      </c>
      <c r="E1173">
        <v>636971</v>
      </c>
      <c r="F1173" t="s">
        <v>44</v>
      </c>
      <c r="H1173" t="s">
        <v>1422</v>
      </c>
      <c r="L1173" s="1">
        <v>42025</v>
      </c>
    </row>
    <row r="1174" spans="2:13" x14ac:dyDescent="0.25">
      <c r="B1174" t="s">
        <v>1421</v>
      </c>
      <c r="C1174" t="s">
        <v>0</v>
      </c>
      <c r="D1174" t="s">
        <v>1</v>
      </c>
      <c r="E1174">
        <v>633500</v>
      </c>
      <c r="F1174" t="s">
        <v>44</v>
      </c>
      <c r="H1174" t="s">
        <v>1422</v>
      </c>
      <c r="L1174" s="1">
        <v>41890</v>
      </c>
      <c r="M1174" s="1">
        <v>41968</v>
      </c>
    </row>
    <row r="1182" spans="2:13" x14ac:dyDescent="0.25">
      <c r="B1182" t="s">
        <v>1419</v>
      </c>
      <c r="C1182" t="s">
        <v>100</v>
      </c>
      <c r="F1182" t="s">
        <v>397</v>
      </c>
      <c r="H1182" t="s">
        <v>1420</v>
      </c>
      <c r="L1182" s="1">
        <v>42492</v>
      </c>
    </row>
    <row r="1183" spans="2:13" x14ac:dyDescent="0.25">
      <c r="B1183" t="s">
        <v>1418</v>
      </c>
      <c r="C1183" t="s">
        <v>0</v>
      </c>
      <c r="D1183" t="s">
        <v>1</v>
      </c>
      <c r="E1183">
        <v>646504</v>
      </c>
      <c r="F1183" t="s">
        <v>44</v>
      </c>
      <c r="H1183" t="s">
        <v>1417</v>
      </c>
      <c r="L1183" s="1">
        <v>42276</v>
      </c>
      <c r="M1183" s="1">
        <v>42306</v>
      </c>
    </row>
    <row r="1184" spans="2:13" x14ac:dyDescent="0.25">
      <c r="B1184" t="s">
        <v>1416</v>
      </c>
      <c r="C1184" t="s">
        <v>0</v>
      </c>
      <c r="D1184" t="s">
        <v>1</v>
      </c>
      <c r="E1184">
        <v>634158</v>
      </c>
      <c r="F1184" t="s">
        <v>44</v>
      </c>
      <c r="H1184" t="s">
        <v>1417</v>
      </c>
      <c r="L1184" s="1">
        <v>41876</v>
      </c>
      <c r="M1184" s="1">
        <v>41988</v>
      </c>
    </row>
    <row r="1185" spans="2:13" x14ac:dyDescent="0.25">
      <c r="B1185" t="s">
        <v>1415</v>
      </c>
      <c r="C1185" t="s">
        <v>0</v>
      </c>
      <c r="D1185" t="s">
        <v>1</v>
      </c>
      <c r="E1185">
        <v>630644</v>
      </c>
      <c r="F1185" t="s">
        <v>332</v>
      </c>
      <c r="H1185" t="s">
        <v>520</v>
      </c>
      <c r="L1185" s="1">
        <v>41732</v>
      </c>
      <c r="M1185" s="1">
        <v>41898</v>
      </c>
    </row>
    <row r="1186" spans="2:13" x14ac:dyDescent="0.25">
      <c r="B1186" t="s">
        <v>1413</v>
      </c>
      <c r="C1186" t="s">
        <v>0</v>
      </c>
      <c r="D1186" t="s">
        <v>1</v>
      </c>
      <c r="E1186">
        <v>636718</v>
      </c>
      <c r="F1186" t="s">
        <v>44</v>
      </c>
      <c r="H1186" t="s">
        <v>1414</v>
      </c>
      <c r="L1186" s="1">
        <v>41830</v>
      </c>
      <c r="M1186" s="1">
        <v>42054</v>
      </c>
    </row>
    <row r="1187" spans="2:13" x14ac:dyDescent="0.25">
      <c r="B1187" t="s">
        <v>1411</v>
      </c>
      <c r="C1187" t="s">
        <v>0</v>
      </c>
      <c r="D1187" t="s">
        <v>1</v>
      </c>
      <c r="E1187">
        <v>636717</v>
      </c>
      <c r="F1187" t="s">
        <v>44</v>
      </c>
      <c r="H1187" t="s">
        <v>1412</v>
      </c>
      <c r="L1187" s="1">
        <v>41829</v>
      </c>
      <c r="M1187" s="1">
        <v>42054</v>
      </c>
    </row>
    <row r="1188" spans="2:13" x14ac:dyDescent="0.25">
      <c r="B1188" t="s">
        <v>1409</v>
      </c>
      <c r="C1188" t="s">
        <v>0</v>
      </c>
      <c r="D1188" t="s">
        <v>1</v>
      </c>
      <c r="E1188">
        <v>631735</v>
      </c>
      <c r="F1188" t="s">
        <v>44</v>
      </c>
      <c r="H1188" t="s">
        <v>1410</v>
      </c>
      <c r="L1188" s="1">
        <v>41822</v>
      </c>
      <c r="M1188" s="1">
        <v>41925</v>
      </c>
    </row>
    <row r="1189" spans="2:13" x14ac:dyDescent="0.25">
      <c r="B1189" t="s">
        <v>1407</v>
      </c>
      <c r="C1189" t="s">
        <v>0</v>
      </c>
      <c r="D1189" t="s">
        <v>1</v>
      </c>
      <c r="E1189">
        <v>636145</v>
      </c>
      <c r="F1189" t="s">
        <v>44</v>
      </c>
      <c r="H1189" t="s">
        <v>1408</v>
      </c>
      <c r="L1189" s="1">
        <v>41829</v>
      </c>
      <c r="M1189" s="1">
        <v>42040</v>
      </c>
    </row>
    <row r="1190" spans="2:13" x14ac:dyDescent="0.25">
      <c r="B1190" t="s">
        <v>1405</v>
      </c>
      <c r="C1190" t="s">
        <v>0</v>
      </c>
      <c r="D1190" t="s">
        <v>1</v>
      </c>
      <c r="E1190">
        <v>636301</v>
      </c>
      <c r="F1190" t="s">
        <v>44</v>
      </c>
      <c r="H1190" t="s">
        <v>1406</v>
      </c>
      <c r="L1190" s="1">
        <v>41830</v>
      </c>
      <c r="M1190" s="1">
        <v>42044</v>
      </c>
    </row>
    <row r="1191" spans="2:13" x14ac:dyDescent="0.25">
      <c r="B1191" t="s">
        <v>1404</v>
      </c>
      <c r="C1191" t="s">
        <v>0</v>
      </c>
      <c r="D1191" t="s">
        <v>1</v>
      </c>
      <c r="E1191">
        <v>651402</v>
      </c>
      <c r="F1191" t="s">
        <v>332</v>
      </c>
      <c r="H1191" t="s">
        <v>443</v>
      </c>
      <c r="L1191" s="1">
        <v>42324</v>
      </c>
      <c r="M1191" s="1">
        <v>42464</v>
      </c>
    </row>
    <row r="1192" spans="2:13" x14ac:dyDescent="0.25">
      <c r="B1192" t="s">
        <v>1402</v>
      </c>
      <c r="C1192" t="s">
        <v>0</v>
      </c>
      <c r="D1192" t="s">
        <v>1</v>
      </c>
      <c r="E1192">
        <v>635492</v>
      </c>
      <c r="F1192" t="s">
        <v>44</v>
      </c>
      <c r="H1192" t="s">
        <v>1403</v>
      </c>
      <c r="L1192" s="1">
        <v>41876</v>
      </c>
      <c r="M1192" s="1">
        <v>42025</v>
      </c>
    </row>
    <row r="1193" spans="2:13" x14ac:dyDescent="0.25">
      <c r="B1193" t="s">
        <v>1401</v>
      </c>
      <c r="C1193" t="s">
        <v>0</v>
      </c>
      <c r="D1193" t="s">
        <v>1</v>
      </c>
      <c r="E1193">
        <v>645279</v>
      </c>
      <c r="F1193" t="s">
        <v>44</v>
      </c>
      <c r="H1193" t="s">
        <v>1400</v>
      </c>
      <c r="L1193" s="1">
        <v>42219</v>
      </c>
      <c r="M1193" s="1">
        <v>42264</v>
      </c>
    </row>
    <row r="1194" spans="2:13" x14ac:dyDescent="0.25">
      <c r="B1194" t="s">
        <v>1399</v>
      </c>
      <c r="C1194" t="s">
        <v>0</v>
      </c>
      <c r="D1194" t="s">
        <v>1</v>
      </c>
      <c r="E1194">
        <v>638879</v>
      </c>
      <c r="F1194" t="s">
        <v>44</v>
      </c>
      <c r="H1194" t="s">
        <v>1400</v>
      </c>
      <c r="L1194" s="1">
        <v>42040</v>
      </c>
      <c r="M1194" s="1">
        <v>42102</v>
      </c>
    </row>
    <row r="1195" spans="2:13" x14ac:dyDescent="0.25">
      <c r="B1195" t="s">
        <v>1398</v>
      </c>
      <c r="C1195" t="s">
        <v>0</v>
      </c>
      <c r="D1195" t="s">
        <v>1</v>
      </c>
      <c r="E1195">
        <v>623939</v>
      </c>
      <c r="F1195" t="s">
        <v>44</v>
      </c>
      <c r="H1195" t="s">
        <v>405</v>
      </c>
      <c r="L1195" s="1">
        <v>41669</v>
      </c>
      <c r="M1195" s="1">
        <v>41744</v>
      </c>
    </row>
    <row r="1196" spans="2:13" x14ac:dyDescent="0.25">
      <c r="B1196" t="s">
        <v>1396</v>
      </c>
      <c r="C1196" t="s">
        <v>0</v>
      </c>
      <c r="D1196" t="s">
        <v>1</v>
      </c>
      <c r="E1196">
        <v>630658</v>
      </c>
      <c r="F1196" t="s">
        <v>44</v>
      </c>
      <c r="H1196" t="s">
        <v>1397</v>
      </c>
      <c r="L1196" s="1">
        <v>41817</v>
      </c>
      <c r="M1196" s="1">
        <v>41898</v>
      </c>
    </row>
    <row r="1197" spans="2:13" x14ac:dyDescent="0.25">
      <c r="B1197" t="s">
        <v>1394</v>
      </c>
      <c r="C1197" t="s">
        <v>0</v>
      </c>
      <c r="D1197" t="s">
        <v>1</v>
      </c>
      <c r="E1197">
        <v>636772</v>
      </c>
      <c r="F1197" t="s">
        <v>44</v>
      </c>
      <c r="H1197" t="s">
        <v>1395</v>
      </c>
      <c r="L1197" s="1">
        <v>41907</v>
      </c>
      <c r="M1197" s="1">
        <v>42055</v>
      </c>
    </row>
    <row r="1198" spans="2:13" x14ac:dyDescent="0.25">
      <c r="B1198" t="s">
        <v>1392</v>
      </c>
      <c r="C1198" t="s">
        <v>0</v>
      </c>
      <c r="D1198" t="s">
        <v>1</v>
      </c>
      <c r="E1198">
        <v>636721</v>
      </c>
      <c r="F1198" t="s">
        <v>44</v>
      </c>
      <c r="H1198" t="s">
        <v>1393</v>
      </c>
      <c r="L1198" s="1">
        <v>41885</v>
      </c>
      <c r="M1198" s="1">
        <v>42054</v>
      </c>
    </row>
    <row r="1199" spans="2:13" x14ac:dyDescent="0.25">
      <c r="B1199" t="s">
        <v>1390</v>
      </c>
      <c r="C1199" t="s">
        <v>0</v>
      </c>
      <c r="D1199" t="s">
        <v>1</v>
      </c>
      <c r="E1199">
        <v>615170</v>
      </c>
      <c r="F1199" t="s">
        <v>1388</v>
      </c>
      <c r="H1199" t="s">
        <v>1391</v>
      </c>
      <c r="L1199" s="1">
        <v>41408</v>
      </c>
      <c r="M1199" s="1">
        <v>41512</v>
      </c>
    </row>
    <row r="1200" spans="2:13" x14ac:dyDescent="0.25">
      <c r="B1200" t="s">
        <v>1387</v>
      </c>
      <c r="C1200" t="s">
        <v>0</v>
      </c>
      <c r="D1200" t="s">
        <v>1</v>
      </c>
      <c r="E1200">
        <v>615169</v>
      </c>
      <c r="F1200" t="s">
        <v>1388</v>
      </c>
      <c r="H1200" t="s">
        <v>1389</v>
      </c>
      <c r="L1200" s="1">
        <v>41408</v>
      </c>
      <c r="M1200" s="1">
        <v>41512</v>
      </c>
    </row>
    <row r="1201" spans="2:13" x14ac:dyDescent="0.25">
      <c r="B1201" t="s">
        <v>1385</v>
      </c>
      <c r="C1201" t="s">
        <v>0</v>
      </c>
      <c r="D1201" t="s">
        <v>1</v>
      </c>
      <c r="E1201">
        <v>636093</v>
      </c>
      <c r="F1201" t="s">
        <v>44</v>
      </c>
      <c r="H1201" t="s">
        <v>1386</v>
      </c>
      <c r="L1201" s="1">
        <v>41885</v>
      </c>
      <c r="M1201" s="1">
        <v>42039</v>
      </c>
    </row>
    <row r="1202" spans="2:13" x14ac:dyDescent="0.25">
      <c r="B1202" t="s">
        <v>1383</v>
      </c>
      <c r="C1202" t="s">
        <v>0</v>
      </c>
      <c r="D1202" t="s">
        <v>1</v>
      </c>
      <c r="E1202">
        <v>636723</v>
      </c>
      <c r="F1202" t="s">
        <v>44</v>
      </c>
      <c r="H1202" t="s">
        <v>1384</v>
      </c>
      <c r="L1202" s="1">
        <v>41907</v>
      </c>
      <c r="M1202" s="1">
        <v>42054</v>
      </c>
    </row>
    <row r="1203" spans="2:13" x14ac:dyDescent="0.25">
      <c r="B1203" t="s">
        <v>1381</v>
      </c>
      <c r="C1203" t="s">
        <v>0</v>
      </c>
      <c r="D1203" t="s">
        <v>1</v>
      </c>
      <c r="E1203">
        <v>630029</v>
      </c>
      <c r="F1203" t="s">
        <v>44</v>
      </c>
      <c r="H1203" t="s">
        <v>1382</v>
      </c>
      <c r="L1203" s="1">
        <v>41817</v>
      </c>
      <c r="M1203" s="1">
        <v>41885</v>
      </c>
    </row>
    <row r="1204" spans="2:13" x14ac:dyDescent="0.25">
      <c r="B1204" t="s">
        <v>1380</v>
      </c>
      <c r="C1204" t="s">
        <v>0</v>
      </c>
      <c r="D1204" t="s">
        <v>1</v>
      </c>
      <c r="E1204">
        <v>623403</v>
      </c>
      <c r="F1204" t="s">
        <v>44</v>
      </c>
      <c r="H1204" t="s">
        <v>318</v>
      </c>
      <c r="L1204" s="1">
        <v>41669</v>
      </c>
      <c r="M1204" s="1">
        <v>41730</v>
      </c>
    </row>
    <row r="1205" spans="2:13" x14ac:dyDescent="0.25">
      <c r="B1205" t="s">
        <v>1379</v>
      </c>
      <c r="C1205" t="s">
        <v>0</v>
      </c>
      <c r="D1205" t="s">
        <v>1</v>
      </c>
      <c r="E1205">
        <v>648555</v>
      </c>
      <c r="F1205" t="s">
        <v>44</v>
      </c>
      <c r="H1205" t="s">
        <v>1377</v>
      </c>
      <c r="L1205" s="1">
        <v>42347</v>
      </c>
      <c r="M1205" s="1">
        <v>42381</v>
      </c>
    </row>
    <row r="1206" spans="2:13" x14ac:dyDescent="0.25">
      <c r="B1206" t="s">
        <v>1378</v>
      </c>
      <c r="C1206" t="s">
        <v>0</v>
      </c>
      <c r="D1206" t="s">
        <v>1</v>
      </c>
      <c r="E1206">
        <v>640840</v>
      </c>
      <c r="F1206" t="s">
        <v>44</v>
      </c>
      <c r="H1206" t="s">
        <v>1377</v>
      </c>
      <c r="L1206" s="1">
        <v>42072</v>
      </c>
      <c r="M1206" s="1">
        <v>42143</v>
      </c>
    </row>
    <row r="1207" spans="2:13" x14ac:dyDescent="0.25">
      <c r="B1207" t="s">
        <v>1376</v>
      </c>
      <c r="C1207" t="s">
        <v>100</v>
      </c>
      <c r="D1207" t="s">
        <v>50</v>
      </c>
      <c r="E1207">
        <v>635676</v>
      </c>
      <c r="F1207" t="s">
        <v>44</v>
      </c>
      <c r="H1207" t="s">
        <v>1377</v>
      </c>
      <c r="L1207" s="1">
        <v>41891</v>
      </c>
    </row>
    <row r="1208" spans="2:13" x14ac:dyDescent="0.25">
      <c r="B1208" t="s">
        <v>1374</v>
      </c>
      <c r="C1208" t="s">
        <v>0</v>
      </c>
      <c r="D1208" t="s">
        <v>1</v>
      </c>
      <c r="E1208">
        <v>634629</v>
      </c>
      <c r="F1208" t="s">
        <v>332</v>
      </c>
      <c r="H1208" t="s">
        <v>1375</v>
      </c>
      <c r="L1208" s="1">
        <v>41849</v>
      </c>
      <c r="M1208" s="1">
        <v>42003</v>
      </c>
    </row>
    <row r="1209" spans="2:13" x14ac:dyDescent="0.25">
      <c r="B1209" t="s">
        <v>1372</v>
      </c>
      <c r="C1209" t="s">
        <v>0</v>
      </c>
      <c r="D1209" t="s">
        <v>1</v>
      </c>
      <c r="E1209">
        <v>638179</v>
      </c>
      <c r="F1209" t="s">
        <v>44</v>
      </c>
      <c r="H1209" t="s">
        <v>1373</v>
      </c>
      <c r="L1209" s="1">
        <v>41921</v>
      </c>
      <c r="M1209" s="1">
        <v>42087</v>
      </c>
    </row>
    <row r="1210" spans="2:13" x14ac:dyDescent="0.25">
      <c r="B1210" t="s">
        <v>1370</v>
      </c>
      <c r="C1210" t="s">
        <v>0</v>
      </c>
      <c r="D1210" t="s">
        <v>1</v>
      </c>
      <c r="E1210">
        <v>653151</v>
      </c>
      <c r="F1210" t="s">
        <v>44</v>
      </c>
      <c r="H1210" t="s">
        <v>1371</v>
      </c>
      <c r="L1210" s="1">
        <v>42454</v>
      </c>
      <c r="M1210" s="1">
        <v>42523</v>
      </c>
    </row>
    <row r="1211" spans="2:13" x14ac:dyDescent="0.25">
      <c r="B1211" t="s">
        <v>1369</v>
      </c>
      <c r="C1211" t="s">
        <v>100</v>
      </c>
      <c r="D1211" t="s">
        <v>50</v>
      </c>
      <c r="E1211">
        <v>644601</v>
      </c>
      <c r="F1211" t="s">
        <v>1359</v>
      </c>
      <c r="H1211" t="s">
        <v>1367</v>
      </c>
      <c r="L1211" s="1">
        <v>42115</v>
      </c>
    </row>
    <row r="1212" spans="2:13" x14ac:dyDescent="0.25">
      <c r="B1212" t="s">
        <v>1368</v>
      </c>
      <c r="C1212" t="s">
        <v>0</v>
      </c>
      <c r="D1212" t="s">
        <v>1</v>
      </c>
      <c r="E1212">
        <v>634221</v>
      </c>
      <c r="F1212" t="s">
        <v>44</v>
      </c>
      <c r="H1212" t="s">
        <v>1367</v>
      </c>
      <c r="L1212" s="1">
        <v>41953</v>
      </c>
      <c r="M1212" s="1">
        <v>41989</v>
      </c>
    </row>
    <row r="1213" spans="2:13" x14ac:dyDescent="0.25">
      <c r="B1213" t="s">
        <v>1366</v>
      </c>
      <c r="C1213" t="s">
        <v>0</v>
      </c>
      <c r="D1213" t="s">
        <v>1</v>
      </c>
      <c r="E1213">
        <v>634003</v>
      </c>
      <c r="F1213" t="s">
        <v>44</v>
      </c>
      <c r="H1213" t="s">
        <v>1367</v>
      </c>
      <c r="L1213" s="1">
        <v>41843</v>
      </c>
      <c r="M1213" s="1">
        <v>41983</v>
      </c>
    </row>
    <row r="1214" spans="2:13" x14ac:dyDescent="0.25">
      <c r="B1214" t="s">
        <v>1365</v>
      </c>
      <c r="C1214" t="s">
        <v>100</v>
      </c>
      <c r="D1214" t="s">
        <v>50</v>
      </c>
      <c r="E1214">
        <v>632907</v>
      </c>
      <c r="F1214" t="s">
        <v>44</v>
      </c>
      <c r="H1214" t="s">
        <v>1364</v>
      </c>
      <c r="L1214" s="1">
        <v>41822</v>
      </c>
    </row>
    <row r="1215" spans="2:13" x14ac:dyDescent="0.25">
      <c r="B1215" t="s">
        <v>1363</v>
      </c>
      <c r="C1215" t="s">
        <v>0</v>
      </c>
      <c r="D1215" t="s">
        <v>1</v>
      </c>
      <c r="E1215">
        <v>635993</v>
      </c>
      <c r="F1215" t="s">
        <v>332</v>
      </c>
      <c r="H1215" t="s">
        <v>1364</v>
      </c>
      <c r="L1215" s="1">
        <v>41796</v>
      </c>
      <c r="M1215" s="1">
        <v>42038</v>
      </c>
    </row>
    <row r="1216" spans="2:13" x14ac:dyDescent="0.25">
      <c r="B1216" t="s">
        <v>1362</v>
      </c>
      <c r="C1216" t="s">
        <v>100</v>
      </c>
      <c r="D1216" t="s">
        <v>50</v>
      </c>
      <c r="E1216">
        <v>632908</v>
      </c>
      <c r="F1216" t="s">
        <v>44</v>
      </c>
      <c r="H1216" t="s">
        <v>1361</v>
      </c>
      <c r="L1216" s="1">
        <v>41822</v>
      </c>
    </row>
    <row r="1217" spans="2:13" x14ac:dyDescent="0.25">
      <c r="B1217" t="s">
        <v>1360</v>
      </c>
      <c r="C1217" t="s">
        <v>0</v>
      </c>
      <c r="D1217" t="s">
        <v>1</v>
      </c>
      <c r="E1217">
        <v>635941</v>
      </c>
      <c r="F1217" t="s">
        <v>332</v>
      </c>
      <c r="H1217" t="s">
        <v>1361</v>
      </c>
      <c r="L1217" s="1">
        <v>41796</v>
      </c>
      <c r="M1217" s="1">
        <v>42037</v>
      </c>
    </row>
    <row r="1218" spans="2:13" x14ac:dyDescent="0.25">
      <c r="B1218" t="s">
        <v>1358</v>
      </c>
      <c r="C1218" t="s">
        <v>100</v>
      </c>
      <c r="D1218" t="s">
        <v>50</v>
      </c>
      <c r="E1218">
        <v>644600</v>
      </c>
      <c r="F1218" t="s">
        <v>1359</v>
      </c>
      <c r="H1218" t="s">
        <v>1357</v>
      </c>
      <c r="L1218" s="1">
        <v>42115</v>
      </c>
    </row>
    <row r="1219" spans="2:13" x14ac:dyDescent="0.25">
      <c r="B1219" t="s">
        <v>1356</v>
      </c>
      <c r="C1219" t="s">
        <v>0</v>
      </c>
      <c r="D1219" t="s">
        <v>1</v>
      </c>
      <c r="E1219">
        <v>634002</v>
      </c>
      <c r="F1219" t="s">
        <v>44</v>
      </c>
      <c r="H1219" t="s">
        <v>1357</v>
      </c>
      <c r="L1219" s="1">
        <v>41843</v>
      </c>
      <c r="M1219" s="1">
        <v>41983</v>
      </c>
    </row>
    <row r="1220" spans="2:13" x14ac:dyDescent="0.25">
      <c r="B1220" t="s">
        <v>1354</v>
      </c>
      <c r="C1220" t="s">
        <v>0</v>
      </c>
      <c r="D1220" t="s">
        <v>1</v>
      </c>
      <c r="E1220">
        <v>653271</v>
      </c>
      <c r="F1220" t="s">
        <v>44</v>
      </c>
      <c r="H1220" t="s">
        <v>1355</v>
      </c>
      <c r="L1220" s="1">
        <v>42454</v>
      </c>
      <c r="M1220" s="1">
        <v>42527</v>
      </c>
    </row>
    <row r="1221" spans="2:13" x14ac:dyDescent="0.25">
      <c r="B1221" t="s">
        <v>1353</v>
      </c>
      <c r="C1221" t="s">
        <v>0</v>
      </c>
      <c r="D1221" t="s">
        <v>1</v>
      </c>
      <c r="E1221">
        <v>646300</v>
      </c>
      <c r="F1221" t="s">
        <v>44</v>
      </c>
      <c r="H1221" t="s">
        <v>1352</v>
      </c>
      <c r="L1221" s="1">
        <v>42269</v>
      </c>
      <c r="M1221" s="1">
        <v>42299</v>
      </c>
    </row>
    <row r="1222" spans="2:13" x14ac:dyDescent="0.25">
      <c r="B1222" t="s">
        <v>1351</v>
      </c>
      <c r="C1222" t="s">
        <v>0</v>
      </c>
      <c r="D1222" t="s">
        <v>1</v>
      </c>
      <c r="E1222">
        <v>638178</v>
      </c>
      <c r="F1222" t="s">
        <v>44</v>
      </c>
      <c r="H1222" t="s">
        <v>1352</v>
      </c>
      <c r="L1222" s="1">
        <v>41921</v>
      </c>
      <c r="M1222" s="1">
        <v>42087</v>
      </c>
    </row>
    <row r="1223" spans="2:13" x14ac:dyDescent="0.25">
      <c r="B1223" t="s">
        <v>1349</v>
      </c>
      <c r="C1223" t="s">
        <v>0</v>
      </c>
      <c r="D1223" t="s">
        <v>1</v>
      </c>
      <c r="E1223">
        <v>634628</v>
      </c>
      <c r="F1223" t="s">
        <v>332</v>
      </c>
      <c r="H1223" t="s">
        <v>1350</v>
      </c>
      <c r="L1223" s="1">
        <v>41849</v>
      </c>
      <c r="M1223" s="1">
        <v>42003</v>
      </c>
    </row>
    <row r="1224" spans="2:13" x14ac:dyDescent="0.25">
      <c r="B1224" t="s">
        <v>1348</v>
      </c>
      <c r="C1224" t="s">
        <v>0</v>
      </c>
      <c r="D1224" t="s">
        <v>1</v>
      </c>
      <c r="E1224">
        <v>651517</v>
      </c>
      <c r="F1224" t="s">
        <v>44</v>
      </c>
      <c r="H1224" t="s">
        <v>1345</v>
      </c>
      <c r="L1224" s="1">
        <v>42383</v>
      </c>
      <c r="M1224" s="1">
        <v>42466</v>
      </c>
    </row>
    <row r="1225" spans="2:13" x14ac:dyDescent="0.25">
      <c r="B1225" t="s">
        <v>1347</v>
      </c>
      <c r="C1225" t="s">
        <v>0</v>
      </c>
      <c r="D1225" t="s">
        <v>1</v>
      </c>
      <c r="E1225">
        <v>639210</v>
      </c>
      <c r="F1225" t="s">
        <v>44</v>
      </c>
      <c r="H1225" t="s">
        <v>1345</v>
      </c>
      <c r="L1225" s="1">
        <v>42072</v>
      </c>
      <c r="M1225" s="1">
        <v>42107</v>
      </c>
    </row>
    <row r="1226" spans="2:13" x14ac:dyDescent="0.25">
      <c r="B1226" t="s">
        <v>1346</v>
      </c>
      <c r="C1226" t="s">
        <v>100</v>
      </c>
      <c r="D1226" t="s">
        <v>50</v>
      </c>
      <c r="E1226">
        <v>637314</v>
      </c>
      <c r="F1226" t="s">
        <v>44</v>
      </c>
      <c r="H1226" t="s">
        <v>1345</v>
      </c>
      <c r="L1226" s="1">
        <v>42025</v>
      </c>
    </row>
    <row r="1227" spans="2:13" x14ac:dyDescent="0.25">
      <c r="B1227" t="s">
        <v>1344</v>
      </c>
      <c r="C1227" t="s">
        <v>0</v>
      </c>
      <c r="D1227" t="s">
        <v>1</v>
      </c>
      <c r="E1227">
        <v>639109</v>
      </c>
      <c r="F1227" t="s">
        <v>44</v>
      </c>
      <c r="H1227" t="s">
        <v>1345</v>
      </c>
      <c r="L1227" s="1">
        <v>41891</v>
      </c>
      <c r="M1227" s="1">
        <v>42104</v>
      </c>
    </row>
    <row r="1233" spans="2:13" x14ac:dyDescent="0.25">
      <c r="B1233" t="s">
        <v>1343</v>
      </c>
      <c r="C1233" t="s">
        <v>0</v>
      </c>
      <c r="D1233" t="s">
        <v>1</v>
      </c>
      <c r="E1233">
        <v>647361</v>
      </c>
      <c r="F1233" t="s">
        <v>44</v>
      </c>
      <c r="H1233" t="s">
        <v>1342</v>
      </c>
      <c r="L1233" s="1">
        <v>42251</v>
      </c>
      <c r="M1233" s="1">
        <v>42340</v>
      </c>
    </row>
    <row r="1234" spans="2:13" x14ac:dyDescent="0.25">
      <c r="B1234" t="s">
        <v>1341</v>
      </c>
      <c r="C1234" t="s">
        <v>0</v>
      </c>
      <c r="D1234" t="s">
        <v>1</v>
      </c>
      <c r="E1234">
        <v>644424</v>
      </c>
      <c r="F1234" t="s">
        <v>44</v>
      </c>
      <c r="H1234" t="s">
        <v>1342</v>
      </c>
      <c r="L1234" s="1">
        <v>42074</v>
      </c>
      <c r="M1234" s="1">
        <v>42240</v>
      </c>
    </row>
    <row r="1235" spans="2:13" x14ac:dyDescent="0.25">
      <c r="B1235" t="s">
        <v>1340</v>
      </c>
      <c r="C1235" t="s">
        <v>0</v>
      </c>
      <c r="D1235" t="s">
        <v>1</v>
      </c>
      <c r="E1235">
        <v>628203</v>
      </c>
      <c r="F1235" t="s">
        <v>68</v>
      </c>
      <c r="H1235" t="s">
        <v>534</v>
      </c>
      <c r="L1235" s="1">
        <v>41800</v>
      </c>
      <c r="M1235" s="1">
        <v>41843</v>
      </c>
    </row>
    <row r="1236" spans="2:13" x14ac:dyDescent="0.25">
      <c r="B1236" t="s">
        <v>1338</v>
      </c>
      <c r="C1236" t="s">
        <v>0</v>
      </c>
      <c r="D1236" t="s">
        <v>1</v>
      </c>
      <c r="E1236">
        <v>640352</v>
      </c>
      <c r="F1236" t="s">
        <v>44</v>
      </c>
      <c r="H1236" t="s">
        <v>1339</v>
      </c>
      <c r="L1236" s="1">
        <v>42093</v>
      </c>
      <c r="M1236" s="1">
        <v>42129</v>
      </c>
    </row>
    <row r="1237" spans="2:13" x14ac:dyDescent="0.25">
      <c r="B1237" t="s">
        <v>1337</v>
      </c>
      <c r="C1237" t="s">
        <v>0</v>
      </c>
      <c r="D1237" t="s">
        <v>1</v>
      </c>
      <c r="E1237">
        <v>633606</v>
      </c>
      <c r="F1237" t="s">
        <v>68</v>
      </c>
      <c r="H1237" t="s">
        <v>508</v>
      </c>
      <c r="L1237" s="1">
        <v>41911</v>
      </c>
      <c r="M1237" s="1">
        <v>41974</v>
      </c>
    </row>
    <row r="1238" spans="2:13" x14ac:dyDescent="0.25">
      <c r="B1238" t="s">
        <v>1336</v>
      </c>
      <c r="C1238" t="s">
        <v>0</v>
      </c>
      <c r="D1238" t="s">
        <v>1</v>
      </c>
      <c r="E1238">
        <v>657451</v>
      </c>
      <c r="F1238" t="s">
        <v>136</v>
      </c>
      <c r="H1238" t="s">
        <v>494</v>
      </c>
      <c r="L1238" s="1">
        <v>42590</v>
      </c>
      <c r="M1238" s="1">
        <v>42674</v>
      </c>
    </row>
    <row r="1239" spans="2:13" x14ac:dyDescent="0.25">
      <c r="B1239" t="s">
        <v>1335</v>
      </c>
      <c r="C1239" t="s">
        <v>100</v>
      </c>
      <c r="D1239" t="s">
        <v>50</v>
      </c>
      <c r="E1239">
        <v>655850</v>
      </c>
      <c r="F1239" t="s">
        <v>319</v>
      </c>
      <c r="H1239" t="s">
        <v>494</v>
      </c>
      <c r="L1239" s="1">
        <v>42569</v>
      </c>
    </row>
    <row r="1240" spans="2:13" x14ac:dyDescent="0.25">
      <c r="B1240" t="s">
        <v>484</v>
      </c>
      <c r="C1240" t="s">
        <v>139</v>
      </c>
      <c r="F1240" t="s">
        <v>136</v>
      </c>
      <c r="H1240" t="s">
        <v>483</v>
      </c>
      <c r="L1240" s="1">
        <v>42849</v>
      </c>
      <c r="M1240" s="1">
        <v>42891</v>
      </c>
    </row>
    <row r="1241" spans="2:13" x14ac:dyDescent="0.25">
      <c r="B1241" t="s">
        <v>475</v>
      </c>
      <c r="C1241" t="s">
        <v>139</v>
      </c>
      <c r="F1241" t="s">
        <v>136</v>
      </c>
      <c r="H1241" t="s">
        <v>474</v>
      </c>
      <c r="L1241" s="1">
        <v>42849</v>
      </c>
      <c r="M1241" s="1">
        <v>42891</v>
      </c>
    </row>
    <row r="1242" spans="2:13" x14ac:dyDescent="0.25">
      <c r="B1242" t="s">
        <v>1333</v>
      </c>
      <c r="C1242" t="s">
        <v>0</v>
      </c>
      <c r="D1242" t="s">
        <v>1</v>
      </c>
      <c r="E1242">
        <v>657661</v>
      </c>
      <c r="F1242" t="s">
        <v>136</v>
      </c>
      <c r="H1242" t="s">
        <v>1334</v>
      </c>
      <c r="L1242" s="1">
        <v>42566</v>
      </c>
      <c r="M1242" s="1">
        <v>42681</v>
      </c>
    </row>
    <row r="1243" spans="2:13" x14ac:dyDescent="0.25">
      <c r="B1243" t="s">
        <v>1331</v>
      </c>
      <c r="C1243" t="s">
        <v>0</v>
      </c>
      <c r="D1243" t="s">
        <v>1</v>
      </c>
      <c r="E1243">
        <v>640351</v>
      </c>
      <c r="F1243" t="s">
        <v>44</v>
      </c>
      <c r="H1243" t="s">
        <v>1332</v>
      </c>
      <c r="L1243" s="1">
        <v>42093</v>
      </c>
      <c r="M1243" s="1">
        <v>42129</v>
      </c>
    </row>
    <row r="1244" spans="2:13" x14ac:dyDescent="0.25">
      <c r="B1244" t="s">
        <v>1330</v>
      </c>
      <c r="C1244" t="s">
        <v>0</v>
      </c>
      <c r="D1244" t="s">
        <v>1</v>
      </c>
      <c r="E1244">
        <v>646299</v>
      </c>
      <c r="F1244" t="s">
        <v>44</v>
      </c>
      <c r="H1244" t="s">
        <v>1329</v>
      </c>
      <c r="L1244" s="1">
        <v>42269</v>
      </c>
      <c r="M1244" s="1">
        <v>42299</v>
      </c>
    </row>
    <row r="1245" spans="2:13" x14ac:dyDescent="0.25">
      <c r="B1245" t="s">
        <v>1328</v>
      </c>
      <c r="C1245" t="s">
        <v>0</v>
      </c>
      <c r="D1245" t="s">
        <v>1</v>
      </c>
      <c r="E1245">
        <v>640687</v>
      </c>
      <c r="F1245" t="s">
        <v>44</v>
      </c>
      <c r="H1245" t="s">
        <v>1329</v>
      </c>
      <c r="L1245" s="1">
        <v>42101</v>
      </c>
      <c r="M1245" s="1">
        <v>42138</v>
      </c>
    </row>
    <row r="1246" spans="2:13" x14ac:dyDescent="0.25">
      <c r="B1246" t="s">
        <v>1326</v>
      </c>
      <c r="C1246" t="s">
        <v>0</v>
      </c>
      <c r="D1246" t="s">
        <v>1</v>
      </c>
      <c r="E1246">
        <v>640028</v>
      </c>
      <c r="F1246" t="s">
        <v>44</v>
      </c>
      <c r="H1246" t="s">
        <v>1327</v>
      </c>
      <c r="L1246" s="1">
        <v>42074</v>
      </c>
      <c r="M1246" s="1">
        <v>42122</v>
      </c>
    </row>
    <row r="1247" spans="2:13" x14ac:dyDescent="0.25">
      <c r="B1247" t="s">
        <v>1324</v>
      </c>
      <c r="C1247" t="s">
        <v>0</v>
      </c>
      <c r="D1247" t="s">
        <v>1</v>
      </c>
      <c r="E1247">
        <v>643245</v>
      </c>
      <c r="F1247" t="s">
        <v>68</v>
      </c>
      <c r="H1247" t="s">
        <v>1325</v>
      </c>
      <c r="L1247" s="1">
        <v>42026</v>
      </c>
      <c r="M1247" s="1">
        <v>42205</v>
      </c>
    </row>
    <row r="1248" spans="2:13" x14ac:dyDescent="0.25">
      <c r="B1248" t="s">
        <v>1323</v>
      </c>
      <c r="C1248" t="s">
        <v>0</v>
      </c>
      <c r="D1248" t="s">
        <v>1</v>
      </c>
      <c r="E1248">
        <v>647753</v>
      </c>
      <c r="F1248" t="s">
        <v>68</v>
      </c>
      <c r="H1248" t="s">
        <v>404</v>
      </c>
      <c r="L1248" s="1">
        <v>42298</v>
      </c>
      <c r="M1248" s="1">
        <v>42355</v>
      </c>
    </row>
    <row r="1249" spans="2:13" x14ac:dyDescent="0.25">
      <c r="B1249" t="s">
        <v>386</v>
      </c>
      <c r="C1249" t="s">
        <v>139</v>
      </c>
      <c r="F1249" t="s">
        <v>68</v>
      </c>
      <c r="H1249" t="s">
        <v>387</v>
      </c>
      <c r="L1249" s="1">
        <v>42507</v>
      </c>
      <c r="M1249" s="1">
        <v>42884</v>
      </c>
    </row>
    <row r="1250" spans="2:13" x14ac:dyDescent="0.25">
      <c r="B1250" t="s">
        <v>1322</v>
      </c>
      <c r="C1250" t="s">
        <v>0</v>
      </c>
      <c r="D1250" t="s">
        <v>1</v>
      </c>
      <c r="E1250">
        <v>647283</v>
      </c>
      <c r="F1250" t="s">
        <v>44</v>
      </c>
      <c r="H1250" t="s">
        <v>1320</v>
      </c>
      <c r="L1250" s="1">
        <v>42303</v>
      </c>
      <c r="M1250" s="1">
        <v>42338</v>
      </c>
    </row>
    <row r="1251" spans="2:13" x14ac:dyDescent="0.25">
      <c r="B1251" t="s">
        <v>1321</v>
      </c>
      <c r="C1251" t="s">
        <v>0</v>
      </c>
      <c r="D1251" t="s">
        <v>1</v>
      </c>
      <c r="E1251">
        <v>645369</v>
      </c>
      <c r="F1251" t="s">
        <v>44</v>
      </c>
      <c r="H1251" t="s">
        <v>1320</v>
      </c>
      <c r="L1251" s="1">
        <v>42219</v>
      </c>
      <c r="M1251" s="1">
        <v>42268</v>
      </c>
    </row>
    <row r="1252" spans="2:13" x14ac:dyDescent="0.25">
      <c r="B1252" t="s">
        <v>1319</v>
      </c>
      <c r="C1252" t="s">
        <v>0</v>
      </c>
      <c r="D1252" t="s">
        <v>1</v>
      </c>
      <c r="E1252">
        <v>642686</v>
      </c>
      <c r="F1252" t="s">
        <v>44</v>
      </c>
      <c r="H1252" t="s">
        <v>1320</v>
      </c>
      <c r="L1252" s="1">
        <v>42079</v>
      </c>
      <c r="M1252" s="1">
        <v>42191</v>
      </c>
    </row>
    <row r="1253" spans="2:13" x14ac:dyDescent="0.25">
      <c r="B1253" t="s">
        <v>1317</v>
      </c>
      <c r="C1253" t="s">
        <v>100</v>
      </c>
      <c r="D1253" t="s">
        <v>50</v>
      </c>
      <c r="E1253">
        <v>645840</v>
      </c>
      <c r="F1253" t="s">
        <v>44</v>
      </c>
      <c r="H1253" t="s">
        <v>1318</v>
      </c>
      <c r="L1253" s="1">
        <v>42200</v>
      </c>
    </row>
    <row r="1254" spans="2:13" x14ac:dyDescent="0.25">
      <c r="B1254" t="s">
        <v>1315</v>
      </c>
      <c r="C1254" t="s">
        <v>0</v>
      </c>
      <c r="D1254" t="s">
        <v>1</v>
      </c>
      <c r="E1254">
        <v>642685</v>
      </c>
      <c r="F1254" t="s">
        <v>44</v>
      </c>
      <c r="H1254" t="s">
        <v>1316</v>
      </c>
      <c r="L1254" s="1">
        <v>42079</v>
      </c>
      <c r="M1254" s="1">
        <v>42191</v>
      </c>
    </row>
    <row r="1255" spans="2:13" x14ac:dyDescent="0.25">
      <c r="B1255" t="s">
        <v>1313</v>
      </c>
      <c r="C1255" t="s">
        <v>0</v>
      </c>
      <c r="D1255" t="s">
        <v>1</v>
      </c>
      <c r="E1255">
        <v>653947</v>
      </c>
      <c r="F1255" t="s">
        <v>68</v>
      </c>
      <c r="H1255" t="s">
        <v>1314</v>
      </c>
      <c r="L1255" s="1">
        <v>42479</v>
      </c>
      <c r="M1255" s="1">
        <v>42552</v>
      </c>
    </row>
    <row r="1256" spans="2:13" x14ac:dyDescent="0.25">
      <c r="B1256" t="s">
        <v>1312</v>
      </c>
      <c r="C1256" t="s">
        <v>0</v>
      </c>
      <c r="D1256" t="s">
        <v>1</v>
      </c>
      <c r="E1256">
        <v>641787</v>
      </c>
      <c r="F1256" t="s">
        <v>68</v>
      </c>
      <c r="H1256" t="s">
        <v>317</v>
      </c>
      <c r="L1256" s="1">
        <v>42115</v>
      </c>
      <c r="M1256" s="1">
        <v>42165</v>
      </c>
    </row>
    <row r="1257" spans="2:13" x14ac:dyDescent="0.25">
      <c r="B1257" t="s">
        <v>1311</v>
      </c>
      <c r="C1257" t="s">
        <v>0</v>
      </c>
      <c r="D1257" t="s">
        <v>1</v>
      </c>
      <c r="E1257">
        <v>641309</v>
      </c>
      <c r="F1257" t="s">
        <v>68</v>
      </c>
      <c r="H1257" t="s">
        <v>317</v>
      </c>
      <c r="L1257" s="1">
        <v>42087</v>
      </c>
      <c r="M1257" s="1">
        <v>42156</v>
      </c>
    </row>
    <row r="1258" spans="2:13" x14ac:dyDescent="0.25">
      <c r="B1258" t="s">
        <v>305</v>
      </c>
      <c r="C1258" t="s">
        <v>139</v>
      </c>
      <c r="F1258" t="s">
        <v>44</v>
      </c>
      <c r="H1258" t="s">
        <v>304</v>
      </c>
      <c r="L1258" s="1">
        <v>42859</v>
      </c>
      <c r="M1258" s="1">
        <v>42898</v>
      </c>
    </row>
    <row r="1259" spans="2:13" x14ac:dyDescent="0.25">
      <c r="B1259" t="s">
        <v>1310</v>
      </c>
      <c r="C1259" t="s">
        <v>0</v>
      </c>
      <c r="D1259" t="s">
        <v>1</v>
      </c>
      <c r="E1259">
        <v>639214</v>
      </c>
      <c r="F1259" t="s">
        <v>68</v>
      </c>
      <c r="H1259" t="s">
        <v>291</v>
      </c>
      <c r="L1259" s="1">
        <v>42067</v>
      </c>
      <c r="M1259" s="1">
        <v>42107</v>
      </c>
    </row>
    <row r="1260" spans="2:13" x14ac:dyDescent="0.25">
      <c r="B1260" t="s">
        <v>1308</v>
      </c>
      <c r="C1260" t="s">
        <v>0</v>
      </c>
      <c r="D1260" t="s">
        <v>1</v>
      </c>
      <c r="E1260">
        <v>642852</v>
      </c>
      <c r="F1260" t="s">
        <v>68</v>
      </c>
      <c r="H1260" t="s">
        <v>1309</v>
      </c>
      <c r="L1260" s="1">
        <v>42135</v>
      </c>
      <c r="M1260" s="1">
        <v>42193</v>
      </c>
    </row>
    <row r="1261" spans="2:13" x14ac:dyDescent="0.25">
      <c r="B1261" t="s">
        <v>1307</v>
      </c>
      <c r="C1261" t="s">
        <v>100</v>
      </c>
      <c r="D1261" t="s">
        <v>50</v>
      </c>
      <c r="E1261">
        <v>658823</v>
      </c>
      <c r="F1261" t="s">
        <v>99</v>
      </c>
      <c r="H1261" t="s">
        <v>1305</v>
      </c>
      <c r="L1261" s="1">
        <v>42472</v>
      </c>
    </row>
    <row r="1262" spans="2:13" x14ac:dyDescent="0.25">
      <c r="B1262" t="s">
        <v>1306</v>
      </c>
      <c r="C1262" t="s">
        <v>0</v>
      </c>
      <c r="D1262" t="s">
        <v>1</v>
      </c>
      <c r="E1262">
        <v>652601</v>
      </c>
      <c r="F1262" t="s">
        <v>44</v>
      </c>
      <c r="H1262" t="s">
        <v>1305</v>
      </c>
      <c r="L1262" s="1">
        <v>42468</v>
      </c>
      <c r="M1262" s="1">
        <v>42502</v>
      </c>
    </row>
    <row r="1263" spans="2:13" x14ac:dyDescent="0.25">
      <c r="B1263" t="s">
        <v>1304</v>
      </c>
      <c r="C1263" t="s">
        <v>0</v>
      </c>
      <c r="D1263" t="s">
        <v>1</v>
      </c>
      <c r="E1263">
        <v>648101</v>
      </c>
      <c r="F1263" t="s">
        <v>44</v>
      </c>
      <c r="H1263" t="s">
        <v>1305</v>
      </c>
      <c r="L1263" s="1">
        <v>42263</v>
      </c>
      <c r="M1263" s="1">
        <v>42366</v>
      </c>
    </row>
    <row r="1264" spans="2:13" x14ac:dyDescent="0.25">
      <c r="B1264" t="s">
        <v>1302</v>
      </c>
      <c r="C1264" t="s">
        <v>0</v>
      </c>
      <c r="D1264" t="s">
        <v>1</v>
      </c>
      <c r="E1264">
        <v>648299</v>
      </c>
      <c r="F1264" t="s">
        <v>44</v>
      </c>
      <c r="H1264" t="s">
        <v>1303</v>
      </c>
      <c r="L1264" s="1">
        <v>42263</v>
      </c>
      <c r="M1264" s="1">
        <v>42374</v>
      </c>
    </row>
    <row r="1265" spans="2:13" x14ac:dyDescent="0.25">
      <c r="B1265" t="s">
        <v>1301</v>
      </c>
      <c r="C1265" t="s">
        <v>0</v>
      </c>
      <c r="D1265" t="s">
        <v>1</v>
      </c>
      <c r="E1265">
        <v>635953</v>
      </c>
      <c r="F1265" t="s">
        <v>68</v>
      </c>
      <c r="H1265" t="s">
        <v>244</v>
      </c>
      <c r="L1265" s="1">
        <v>41950</v>
      </c>
      <c r="M1265" s="1">
        <v>42037</v>
      </c>
    </row>
    <row r="1266" spans="2:13" x14ac:dyDescent="0.25">
      <c r="B1266" t="s">
        <v>1300</v>
      </c>
      <c r="C1266" t="s">
        <v>0</v>
      </c>
      <c r="D1266" t="s">
        <v>1</v>
      </c>
      <c r="E1266">
        <v>659082</v>
      </c>
      <c r="F1266" t="s">
        <v>44</v>
      </c>
      <c r="H1266" t="s">
        <v>200</v>
      </c>
      <c r="L1266" s="1">
        <v>42674</v>
      </c>
      <c r="M1266" s="1">
        <v>42724</v>
      </c>
    </row>
    <row r="1267" spans="2:13" x14ac:dyDescent="0.25">
      <c r="B1267" t="s">
        <v>1299</v>
      </c>
      <c r="C1267" t="s">
        <v>0</v>
      </c>
      <c r="D1267" t="s">
        <v>1</v>
      </c>
      <c r="E1267">
        <v>656486</v>
      </c>
      <c r="F1267" t="s">
        <v>136</v>
      </c>
      <c r="H1267" t="s">
        <v>188</v>
      </c>
      <c r="L1267" s="1">
        <v>42564</v>
      </c>
      <c r="M1267" s="1">
        <v>42642</v>
      </c>
    </row>
    <row r="1268" spans="2:13" x14ac:dyDescent="0.25">
      <c r="B1268" t="s">
        <v>1298</v>
      </c>
      <c r="C1268" t="s">
        <v>100</v>
      </c>
      <c r="D1268" t="s">
        <v>50</v>
      </c>
      <c r="E1268">
        <v>650511</v>
      </c>
      <c r="F1268" t="s">
        <v>68</v>
      </c>
      <c r="H1268" t="s">
        <v>188</v>
      </c>
      <c r="L1268" s="1">
        <v>42227</v>
      </c>
    </row>
    <row r="1269" spans="2:13" x14ac:dyDescent="0.25">
      <c r="B1269" t="s">
        <v>1297</v>
      </c>
      <c r="C1269" t="s">
        <v>100</v>
      </c>
      <c r="D1269" t="s">
        <v>50</v>
      </c>
      <c r="E1269">
        <v>649885</v>
      </c>
      <c r="F1269" t="s">
        <v>280</v>
      </c>
      <c r="H1269" t="s">
        <v>1296</v>
      </c>
      <c r="L1269" s="1">
        <v>42321</v>
      </c>
    </row>
    <row r="1270" spans="2:13" x14ac:dyDescent="0.25">
      <c r="B1270" t="s">
        <v>1295</v>
      </c>
      <c r="C1270" t="s">
        <v>0</v>
      </c>
      <c r="D1270" t="s">
        <v>1</v>
      </c>
      <c r="E1270">
        <v>649587</v>
      </c>
      <c r="F1270" t="s">
        <v>44</v>
      </c>
      <c r="H1270" t="s">
        <v>1296</v>
      </c>
      <c r="L1270" s="1">
        <v>42263</v>
      </c>
      <c r="M1270" s="1">
        <v>42408</v>
      </c>
    </row>
    <row r="1271" spans="2:13" x14ac:dyDescent="0.25">
      <c r="B1271" t="s">
        <v>1293</v>
      </c>
      <c r="C1271" t="s">
        <v>0</v>
      </c>
      <c r="D1271" t="s">
        <v>1</v>
      </c>
      <c r="E1271">
        <v>648230</v>
      </c>
      <c r="F1271" t="s">
        <v>68</v>
      </c>
      <c r="H1271" t="s">
        <v>1294</v>
      </c>
      <c r="L1271" s="1">
        <v>42256</v>
      </c>
      <c r="M1271" s="1">
        <v>42373</v>
      </c>
    </row>
    <row r="1272" spans="2:13" x14ac:dyDescent="0.25">
      <c r="B1272" t="s">
        <v>1292</v>
      </c>
      <c r="C1272" t="s">
        <v>0</v>
      </c>
      <c r="D1272" t="s">
        <v>1</v>
      </c>
      <c r="E1272">
        <v>657890</v>
      </c>
      <c r="F1272" t="s">
        <v>44</v>
      </c>
      <c r="H1272" t="s">
        <v>138</v>
      </c>
      <c r="L1272" s="1">
        <v>42530</v>
      </c>
      <c r="M1272" s="1">
        <v>42688</v>
      </c>
    </row>
    <row r="1273" spans="2:13" x14ac:dyDescent="0.25">
      <c r="B1273" t="s">
        <v>1291</v>
      </c>
      <c r="C1273" t="s">
        <v>100</v>
      </c>
      <c r="D1273" t="s">
        <v>50</v>
      </c>
      <c r="E1273">
        <v>663902</v>
      </c>
      <c r="F1273" t="s">
        <v>136</v>
      </c>
      <c r="H1273" t="s">
        <v>483</v>
      </c>
      <c r="L1273" s="1">
        <v>42825</v>
      </c>
    </row>
    <row r="1274" spans="2:13" x14ac:dyDescent="0.25">
      <c r="B1274" t="s">
        <v>1290</v>
      </c>
      <c r="C1274" t="s">
        <v>100</v>
      </c>
      <c r="D1274" t="s">
        <v>50</v>
      </c>
      <c r="E1274">
        <v>663901</v>
      </c>
      <c r="F1274" t="s">
        <v>136</v>
      </c>
      <c r="H1274" t="s">
        <v>474</v>
      </c>
      <c r="L1274" s="1">
        <v>42825</v>
      </c>
    </row>
    <row r="1279" spans="2:13" x14ac:dyDescent="0.25">
      <c r="B1279" t="s">
        <v>544</v>
      </c>
      <c r="C1279" t="s">
        <v>162</v>
      </c>
      <c r="F1279" t="s">
        <v>134</v>
      </c>
      <c r="H1279" t="s">
        <v>543</v>
      </c>
      <c r="L1279" s="1">
        <v>42888</v>
      </c>
      <c r="M1279" s="1">
        <v>42912</v>
      </c>
    </row>
    <row r="1280" spans="2:13" x14ac:dyDescent="0.25">
      <c r="B1280" t="s">
        <v>533</v>
      </c>
      <c r="C1280" t="s">
        <v>76</v>
      </c>
      <c r="F1280" t="s">
        <v>134</v>
      </c>
      <c r="H1280" t="s">
        <v>532</v>
      </c>
      <c r="L1280" s="1">
        <v>42766</v>
      </c>
      <c r="M1280" s="1">
        <v>42801</v>
      </c>
    </row>
    <row r="1281" spans="2:13" x14ac:dyDescent="0.25">
      <c r="B1281" t="s">
        <v>518</v>
      </c>
      <c r="C1281" t="s">
        <v>76</v>
      </c>
      <c r="F1281" t="s">
        <v>44</v>
      </c>
      <c r="H1281" t="s">
        <v>519</v>
      </c>
      <c r="L1281" s="1">
        <v>42678</v>
      </c>
      <c r="M1281" s="1">
        <v>42835</v>
      </c>
    </row>
    <row r="1282" spans="2:13" x14ac:dyDescent="0.25">
      <c r="B1282" t="s">
        <v>1289</v>
      </c>
      <c r="C1282" t="s">
        <v>0</v>
      </c>
      <c r="D1282" t="s">
        <v>1</v>
      </c>
      <c r="E1282">
        <v>654939</v>
      </c>
      <c r="F1282" t="s">
        <v>44</v>
      </c>
      <c r="H1282" t="s">
        <v>1288</v>
      </c>
      <c r="L1282" s="1">
        <v>42559</v>
      </c>
      <c r="M1282" s="1">
        <v>42585</v>
      </c>
    </row>
    <row r="1283" spans="2:13" x14ac:dyDescent="0.25">
      <c r="B1283" t="s">
        <v>1287</v>
      </c>
      <c r="C1283" t="s">
        <v>0</v>
      </c>
      <c r="D1283" t="s">
        <v>1</v>
      </c>
      <c r="E1283">
        <v>646542</v>
      </c>
      <c r="F1283" t="s">
        <v>44</v>
      </c>
      <c r="H1283" t="s">
        <v>1288</v>
      </c>
      <c r="L1283" s="1">
        <v>41948</v>
      </c>
      <c r="M1283" s="1">
        <v>42310</v>
      </c>
    </row>
    <row r="1284" spans="2:13" x14ac:dyDescent="0.25">
      <c r="B1284" t="s">
        <v>1286</v>
      </c>
      <c r="C1284" t="s">
        <v>100</v>
      </c>
      <c r="D1284" t="s">
        <v>50</v>
      </c>
      <c r="E1284">
        <v>650316</v>
      </c>
      <c r="F1284" t="s">
        <v>68</v>
      </c>
      <c r="H1284" t="s">
        <v>1285</v>
      </c>
      <c r="L1284" s="1">
        <v>42380</v>
      </c>
    </row>
    <row r="1285" spans="2:13" x14ac:dyDescent="0.25">
      <c r="B1285" t="s">
        <v>1284</v>
      </c>
      <c r="C1285" t="s">
        <v>0</v>
      </c>
      <c r="D1285" t="s">
        <v>1</v>
      </c>
      <c r="E1285">
        <v>652193</v>
      </c>
      <c r="F1285" t="s">
        <v>44</v>
      </c>
      <c r="H1285" t="s">
        <v>1285</v>
      </c>
      <c r="L1285" s="1">
        <v>42376</v>
      </c>
      <c r="M1285" s="1">
        <v>42488</v>
      </c>
    </row>
    <row r="1286" spans="2:13" x14ac:dyDescent="0.25">
      <c r="B1286" t="s">
        <v>1282</v>
      </c>
      <c r="C1286" t="s">
        <v>0</v>
      </c>
      <c r="D1286" t="s">
        <v>1</v>
      </c>
      <c r="E1286">
        <v>650300</v>
      </c>
      <c r="F1286" t="s">
        <v>44</v>
      </c>
      <c r="H1286" t="s">
        <v>1283</v>
      </c>
      <c r="L1286" s="1">
        <v>42257</v>
      </c>
      <c r="M1286" s="1">
        <v>42429</v>
      </c>
    </row>
    <row r="1287" spans="2:13" x14ac:dyDescent="0.25">
      <c r="B1287" t="s">
        <v>1281</v>
      </c>
      <c r="C1287" t="s">
        <v>0</v>
      </c>
      <c r="D1287" t="s">
        <v>1</v>
      </c>
      <c r="E1287">
        <v>658642</v>
      </c>
      <c r="F1287" t="s">
        <v>177</v>
      </c>
      <c r="H1287" t="s">
        <v>473</v>
      </c>
      <c r="L1287" s="1">
        <v>42292</v>
      </c>
      <c r="M1287" s="1">
        <v>42711</v>
      </c>
    </row>
    <row r="1288" spans="2:13" x14ac:dyDescent="0.25">
      <c r="B1288" t="s">
        <v>1280</v>
      </c>
      <c r="C1288" t="s">
        <v>0</v>
      </c>
      <c r="D1288" t="s">
        <v>1</v>
      </c>
      <c r="E1288">
        <v>658642</v>
      </c>
      <c r="F1288" t="s">
        <v>44</v>
      </c>
      <c r="H1288" t="s">
        <v>473</v>
      </c>
      <c r="L1288" s="1">
        <v>42257</v>
      </c>
      <c r="M1288" s="1">
        <v>42711</v>
      </c>
    </row>
    <row r="1289" spans="2:13" x14ac:dyDescent="0.25">
      <c r="B1289" t="s">
        <v>1279</v>
      </c>
      <c r="C1289" t="s">
        <v>100</v>
      </c>
      <c r="D1289" t="s">
        <v>50</v>
      </c>
      <c r="E1289">
        <v>635911</v>
      </c>
      <c r="F1289" t="s">
        <v>163</v>
      </c>
      <c r="H1289" t="s">
        <v>473</v>
      </c>
      <c r="L1289" s="1">
        <v>41996</v>
      </c>
    </row>
    <row r="1290" spans="2:13" x14ac:dyDescent="0.25">
      <c r="B1290" t="s">
        <v>1277</v>
      </c>
      <c r="C1290" t="s">
        <v>0</v>
      </c>
      <c r="D1290" t="s">
        <v>1</v>
      </c>
      <c r="E1290">
        <v>652332</v>
      </c>
      <c r="F1290" t="s">
        <v>44</v>
      </c>
      <c r="H1290" t="s">
        <v>1278</v>
      </c>
      <c r="L1290" s="1">
        <v>42376</v>
      </c>
      <c r="M1290" s="1">
        <v>42494</v>
      </c>
    </row>
    <row r="1291" spans="2:13" x14ac:dyDescent="0.25">
      <c r="B1291" t="s">
        <v>1275</v>
      </c>
      <c r="C1291" t="s">
        <v>0</v>
      </c>
      <c r="D1291" t="s">
        <v>1</v>
      </c>
      <c r="E1291">
        <v>640668</v>
      </c>
      <c r="F1291" t="s">
        <v>44</v>
      </c>
      <c r="H1291" t="s">
        <v>1276</v>
      </c>
      <c r="L1291" s="1">
        <v>41948</v>
      </c>
      <c r="M1291" s="1">
        <v>42138</v>
      </c>
    </row>
    <row r="1292" spans="2:13" x14ac:dyDescent="0.25">
      <c r="B1292" t="s">
        <v>1274</v>
      </c>
      <c r="C1292" t="s">
        <v>0</v>
      </c>
      <c r="D1292" t="s">
        <v>1</v>
      </c>
      <c r="E1292">
        <v>660860</v>
      </c>
      <c r="F1292" t="s">
        <v>134</v>
      </c>
      <c r="H1292" t="s">
        <v>442</v>
      </c>
      <c r="L1292" s="1">
        <v>42479</v>
      </c>
      <c r="M1292" s="1">
        <v>42775</v>
      </c>
    </row>
    <row r="1293" spans="2:13" x14ac:dyDescent="0.25">
      <c r="B1293" t="s">
        <v>1273</v>
      </c>
      <c r="C1293" t="s">
        <v>0</v>
      </c>
      <c r="D1293" t="s">
        <v>1</v>
      </c>
      <c r="E1293">
        <v>662590</v>
      </c>
      <c r="F1293" t="s">
        <v>134</v>
      </c>
      <c r="H1293" t="s">
        <v>435</v>
      </c>
      <c r="L1293" s="1">
        <v>42768</v>
      </c>
      <c r="M1293" s="1">
        <v>42831</v>
      </c>
    </row>
    <row r="1294" spans="2:13" x14ac:dyDescent="0.25">
      <c r="B1294" t="s">
        <v>1272</v>
      </c>
      <c r="C1294" t="s">
        <v>0</v>
      </c>
      <c r="D1294" t="s">
        <v>1</v>
      </c>
      <c r="E1294">
        <v>658001</v>
      </c>
      <c r="F1294" t="s">
        <v>134</v>
      </c>
      <c r="H1294" t="s">
        <v>435</v>
      </c>
      <c r="L1294" s="1">
        <v>42622</v>
      </c>
      <c r="M1294" s="1">
        <v>42690</v>
      </c>
    </row>
    <row r="1295" spans="2:13" x14ac:dyDescent="0.25">
      <c r="B1295" t="s">
        <v>1271</v>
      </c>
      <c r="C1295" t="s">
        <v>0</v>
      </c>
      <c r="D1295" t="s">
        <v>1</v>
      </c>
      <c r="E1295">
        <v>650936</v>
      </c>
      <c r="F1295" t="s">
        <v>68</v>
      </c>
      <c r="H1295" t="s">
        <v>427</v>
      </c>
      <c r="L1295" s="1">
        <v>42340</v>
      </c>
      <c r="M1295" s="1">
        <v>42446</v>
      </c>
    </row>
    <row r="1296" spans="2:13" x14ac:dyDescent="0.25">
      <c r="B1296" t="s">
        <v>414</v>
      </c>
      <c r="C1296" t="s">
        <v>139</v>
      </c>
      <c r="F1296" t="s">
        <v>134</v>
      </c>
      <c r="H1296" t="s">
        <v>413</v>
      </c>
      <c r="L1296" s="1">
        <v>42808</v>
      </c>
      <c r="M1296" s="1">
        <v>42849</v>
      </c>
    </row>
    <row r="1297" spans="2:13" x14ac:dyDescent="0.25">
      <c r="B1297" t="s">
        <v>1270</v>
      </c>
      <c r="C1297" t="s">
        <v>0</v>
      </c>
      <c r="D1297" t="s">
        <v>1</v>
      </c>
      <c r="E1297">
        <v>653441</v>
      </c>
      <c r="F1297" t="s">
        <v>177</v>
      </c>
      <c r="H1297" t="s">
        <v>398</v>
      </c>
      <c r="L1297" s="1">
        <v>42480</v>
      </c>
      <c r="M1297" s="1">
        <v>42534</v>
      </c>
    </row>
    <row r="1298" spans="2:13" x14ac:dyDescent="0.25">
      <c r="B1298" t="s">
        <v>1269</v>
      </c>
      <c r="C1298" t="s">
        <v>0</v>
      </c>
      <c r="D1298" t="s">
        <v>1</v>
      </c>
      <c r="E1298">
        <v>649419</v>
      </c>
      <c r="F1298" t="s">
        <v>177</v>
      </c>
      <c r="H1298" t="s">
        <v>398</v>
      </c>
      <c r="L1298" s="1">
        <v>42303</v>
      </c>
      <c r="M1298" s="1">
        <v>42403</v>
      </c>
    </row>
    <row r="1299" spans="2:13" x14ac:dyDescent="0.25">
      <c r="B1299" t="s">
        <v>1268</v>
      </c>
      <c r="C1299" t="s">
        <v>0</v>
      </c>
      <c r="D1299" t="s">
        <v>1</v>
      </c>
      <c r="E1299">
        <v>657907</v>
      </c>
      <c r="F1299" t="s">
        <v>44</v>
      </c>
      <c r="H1299" t="s">
        <v>1266</v>
      </c>
      <c r="L1299" s="1">
        <v>42640</v>
      </c>
      <c r="M1299" s="1">
        <v>42688</v>
      </c>
    </row>
    <row r="1300" spans="2:13" x14ac:dyDescent="0.25">
      <c r="B1300" t="s">
        <v>1267</v>
      </c>
      <c r="C1300" t="s">
        <v>100</v>
      </c>
      <c r="D1300" t="s">
        <v>50</v>
      </c>
      <c r="E1300">
        <v>649597</v>
      </c>
      <c r="F1300" t="s">
        <v>68</v>
      </c>
      <c r="H1300" t="s">
        <v>1266</v>
      </c>
      <c r="L1300" s="1">
        <v>42297</v>
      </c>
    </row>
    <row r="1301" spans="2:13" x14ac:dyDescent="0.25">
      <c r="B1301" t="s">
        <v>1265</v>
      </c>
      <c r="C1301" t="s">
        <v>0</v>
      </c>
      <c r="D1301" t="s">
        <v>1</v>
      </c>
      <c r="E1301">
        <v>649845</v>
      </c>
      <c r="F1301" t="s">
        <v>44</v>
      </c>
      <c r="H1301" t="s">
        <v>1266</v>
      </c>
      <c r="L1301" s="1">
        <v>42296</v>
      </c>
      <c r="M1301" s="1">
        <v>42416</v>
      </c>
    </row>
    <row r="1302" spans="2:13" x14ac:dyDescent="0.25">
      <c r="B1302" t="s">
        <v>1263</v>
      </c>
      <c r="C1302" t="s">
        <v>0</v>
      </c>
      <c r="D1302" t="s">
        <v>1</v>
      </c>
      <c r="E1302">
        <v>644035</v>
      </c>
      <c r="F1302" t="s">
        <v>44</v>
      </c>
      <c r="H1302" t="s">
        <v>1264</v>
      </c>
      <c r="L1302" s="1">
        <v>42165</v>
      </c>
      <c r="M1302" s="1">
        <v>42226</v>
      </c>
    </row>
    <row r="1303" spans="2:13" x14ac:dyDescent="0.25">
      <c r="B1303" t="s">
        <v>1261</v>
      </c>
      <c r="C1303" t="s">
        <v>0</v>
      </c>
      <c r="D1303" t="s">
        <v>1</v>
      </c>
      <c r="E1303">
        <v>644034</v>
      </c>
      <c r="F1303" t="s">
        <v>44</v>
      </c>
      <c r="H1303" t="s">
        <v>1262</v>
      </c>
      <c r="L1303" s="1">
        <v>42165</v>
      </c>
      <c r="M1303" s="1">
        <v>42226</v>
      </c>
    </row>
    <row r="1304" spans="2:13" x14ac:dyDescent="0.25">
      <c r="B1304" t="s">
        <v>1259</v>
      </c>
      <c r="C1304" t="s">
        <v>0</v>
      </c>
      <c r="D1304" t="s">
        <v>1</v>
      </c>
      <c r="E1304">
        <v>644335</v>
      </c>
      <c r="F1304" t="s">
        <v>44</v>
      </c>
      <c r="H1304" t="s">
        <v>1260</v>
      </c>
      <c r="L1304" s="1">
        <v>42167</v>
      </c>
      <c r="M1304" s="1">
        <v>42236</v>
      </c>
    </row>
    <row r="1305" spans="2:13" x14ac:dyDescent="0.25">
      <c r="B1305" t="s">
        <v>1257</v>
      </c>
      <c r="C1305" t="s">
        <v>0</v>
      </c>
      <c r="D1305" t="s">
        <v>1</v>
      </c>
      <c r="E1305">
        <v>649270</v>
      </c>
      <c r="F1305" t="s">
        <v>44</v>
      </c>
      <c r="H1305" t="s">
        <v>1258</v>
      </c>
      <c r="L1305" s="1">
        <v>42285</v>
      </c>
      <c r="M1305" s="1">
        <v>42401</v>
      </c>
    </row>
    <row r="1306" spans="2:13" x14ac:dyDescent="0.25">
      <c r="B1306" t="s">
        <v>1256</v>
      </c>
      <c r="C1306" t="s">
        <v>0</v>
      </c>
      <c r="D1306" t="s">
        <v>1</v>
      </c>
      <c r="E1306">
        <v>662900</v>
      </c>
      <c r="F1306" t="s">
        <v>177</v>
      </c>
      <c r="H1306" t="s">
        <v>334</v>
      </c>
      <c r="L1306" s="1">
        <v>42758</v>
      </c>
      <c r="M1306" s="1">
        <v>42844</v>
      </c>
    </row>
    <row r="1307" spans="2:13" x14ac:dyDescent="0.25">
      <c r="B1307" t="s">
        <v>1255</v>
      </c>
      <c r="C1307" t="s">
        <v>0</v>
      </c>
      <c r="D1307" t="s">
        <v>1</v>
      </c>
      <c r="E1307">
        <v>659020</v>
      </c>
      <c r="F1307" t="s">
        <v>177</v>
      </c>
      <c r="H1307" t="s">
        <v>316</v>
      </c>
      <c r="L1307" s="1">
        <v>42573</v>
      </c>
      <c r="M1307" s="1">
        <v>42723</v>
      </c>
    </row>
    <row r="1308" spans="2:13" x14ac:dyDescent="0.25">
      <c r="B1308" t="s">
        <v>1254</v>
      </c>
      <c r="C1308" t="s">
        <v>0</v>
      </c>
      <c r="D1308" t="s">
        <v>1</v>
      </c>
      <c r="E1308">
        <v>661974</v>
      </c>
      <c r="F1308" t="s">
        <v>134</v>
      </c>
      <c r="H1308" t="s">
        <v>290</v>
      </c>
      <c r="L1308" s="1">
        <v>42653</v>
      </c>
      <c r="M1308" s="1">
        <v>42810</v>
      </c>
    </row>
    <row r="1309" spans="2:13" x14ac:dyDescent="0.25">
      <c r="B1309" t="s">
        <v>1253</v>
      </c>
      <c r="C1309" t="s">
        <v>0</v>
      </c>
      <c r="D1309" t="s">
        <v>1</v>
      </c>
      <c r="E1309">
        <v>657452</v>
      </c>
      <c r="F1309" t="s">
        <v>134</v>
      </c>
      <c r="H1309" t="s">
        <v>284</v>
      </c>
      <c r="L1309" s="1">
        <v>42592</v>
      </c>
      <c r="M1309" s="1">
        <v>42674</v>
      </c>
    </row>
    <row r="1310" spans="2:13" x14ac:dyDescent="0.25">
      <c r="B1310" t="s">
        <v>275</v>
      </c>
      <c r="C1310" t="s">
        <v>162</v>
      </c>
      <c r="F1310" t="s">
        <v>134</v>
      </c>
      <c r="H1310" t="s">
        <v>274</v>
      </c>
      <c r="L1310" s="1">
        <v>42891</v>
      </c>
      <c r="M1310" s="1">
        <v>42912</v>
      </c>
    </row>
    <row r="1311" spans="2:13" x14ac:dyDescent="0.25">
      <c r="B1311" t="s">
        <v>1252</v>
      </c>
      <c r="C1311" t="s">
        <v>0</v>
      </c>
      <c r="D1311" t="s">
        <v>1</v>
      </c>
      <c r="E1311">
        <v>658603</v>
      </c>
      <c r="F1311" t="s">
        <v>177</v>
      </c>
      <c r="H1311" t="s">
        <v>261</v>
      </c>
      <c r="L1311" s="1">
        <v>42450</v>
      </c>
      <c r="M1311" s="1">
        <v>42710</v>
      </c>
    </row>
    <row r="1312" spans="2:13" x14ac:dyDescent="0.25">
      <c r="B1312" t="s">
        <v>1251</v>
      </c>
      <c r="C1312" t="s">
        <v>100</v>
      </c>
      <c r="D1312" t="s">
        <v>50</v>
      </c>
      <c r="E1312">
        <v>652722</v>
      </c>
      <c r="F1312" t="s">
        <v>44</v>
      </c>
      <c r="H1312" t="s">
        <v>261</v>
      </c>
      <c r="L1312" s="1">
        <v>42437</v>
      </c>
    </row>
    <row r="1313" spans="2:13" x14ac:dyDescent="0.25">
      <c r="B1313" t="s">
        <v>1249</v>
      </c>
      <c r="C1313" t="s">
        <v>0</v>
      </c>
      <c r="D1313" t="s">
        <v>1</v>
      </c>
      <c r="E1313">
        <v>643925</v>
      </c>
      <c r="F1313" t="s">
        <v>44</v>
      </c>
      <c r="H1313" t="s">
        <v>1250</v>
      </c>
      <c r="L1313" s="1">
        <v>42165</v>
      </c>
      <c r="M1313" s="1">
        <v>42222</v>
      </c>
    </row>
    <row r="1314" spans="2:13" x14ac:dyDescent="0.25">
      <c r="B1314" t="s">
        <v>1247</v>
      </c>
      <c r="C1314" t="s">
        <v>0</v>
      </c>
      <c r="D1314" t="s">
        <v>1</v>
      </c>
      <c r="E1314">
        <v>654528</v>
      </c>
      <c r="F1314" t="s">
        <v>44</v>
      </c>
      <c r="H1314" t="s">
        <v>1248</v>
      </c>
      <c r="L1314" s="1">
        <v>42521</v>
      </c>
      <c r="M1314" s="1">
        <v>42572</v>
      </c>
    </row>
    <row r="1315" spans="2:13" x14ac:dyDescent="0.25">
      <c r="B1315" t="s">
        <v>1245</v>
      </c>
      <c r="C1315" t="s">
        <v>0</v>
      </c>
      <c r="D1315" t="s">
        <v>1</v>
      </c>
      <c r="E1315">
        <v>656569</v>
      </c>
      <c r="F1315" t="s">
        <v>44</v>
      </c>
      <c r="H1315" t="s">
        <v>1246</v>
      </c>
      <c r="L1315" s="1">
        <v>42521</v>
      </c>
      <c r="M1315" s="1">
        <v>42646</v>
      </c>
    </row>
    <row r="1316" spans="2:13" x14ac:dyDescent="0.25">
      <c r="B1316" t="s">
        <v>1244</v>
      </c>
      <c r="C1316" t="s">
        <v>0</v>
      </c>
      <c r="D1316" t="s">
        <v>1</v>
      </c>
      <c r="E1316">
        <v>652200</v>
      </c>
      <c r="F1316" t="s">
        <v>44</v>
      </c>
      <c r="H1316" t="s">
        <v>1243</v>
      </c>
      <c r="L1316" s="1">
        <v>42460</v>
      </c>
      <c r="M1316" s="1">
        <v>42488</v>
      </c>
    </row>
    <row r="1317" spans="2:13" x14ac:dyDescent="0.25">
      <c r="B1317" t="s">
        <v>1242</v>
      </c>
      <c r="C1317" t="s">
        <v>0</v>
      </c>
      <c r="D1317" t="s">
        <v>1</v>
      </c>
      <c r="E1317">
        <v>646546</v>
      </c>
      <c r="F1317" t="s">
        <v>44</v>
      </c>
      <c r="H1317" t="s">
        <v>1243</v>
      </c>
      <c r="L1317" s="1">
        <v>42165</v>
      </c>
      <c r="M1317" s="1">
        <v>42310</v>
      </c>
    </row>
    <row r="1318" spans="2:13" x14ac:dyDescent="0.25">
      <c r="B1318" t="s">
        <v>1241</v>
      </c>
      <c r="C1318" t="s">
        <v>100</v>
      </c>
      <c r="D1318" t="s">
        <v>50</v>
      </c>
      <c r="E1318">
        <v>652721</v>
      </c>
      <c r="F1318" t="s">
        <v>44</v>
      </c>
      <c r="H1318" t="s">
        <v>187</v>
      </c>
      <c r="L1318" s="1">
        <v>42437</v>
      </c>
    </row>
    <row r="1319" spans="2:13" x14ac:dyDescent="0.25">
      <c r="B1319" t="s">
        <v>186</v>
      </c>
      <c r="C1319" t="s">
        <v>76</v>
      </c>
      <c r="D1319" t="s">
        <v>1</v>
      </c>
      <c r="E1319">
        <v>658676</v>
      </c>
      <c r="F1319" t="s">
        <v>177</v>
      </c>
      <c r="H1319" t="s">
        <v>187</v>
      </c>
      <c r="L1319" s="1">
        <v>42402</v>
      </c>
      <c r="M1319" s="1">
        <v>42478</v>
      </c>
    </row>
    <row r="1320" spans="2:13" x14ac:dyDescent="0.25">
      <c r="B1320" t="s">
        <v>1240</v>
      </c>
      <c r="C1320" t="s">
        <v>0</v>
      </c>
      <c r="D1320" t="s">
        <v>1</v>
      </c>
      <c r="E1320">
        <v>658104</v>
      </c>
      <c r="F1320" t="s">
        <v>177</v>
      </c>
      <c r="H1320" t="s">
        <v>178</v>
      </c>
      <c r="L1320" s="1">
        <v>42321</v>
      </c>
      <c r="M1320" s="1">
        <v>42695</v>
      </c>
    </row>
    <row r="1326" spans="2:13" x14ac:dyDescent="0.25">
      <c r="B1326" t="s">
        <v>1238</v>
      </c>
      <c r="C1326" t="s">
        <v>0</v>
      </c>
      <c r="D1326" t="s">
        <v>1</v>
      </c>
      <c r="E1326">
        <v>653270</v>
      </c>
      <c r="F1326" t="s">
        <v>134</v>
      </c>
      <c r="H1326" t="s">
        <v>1239</v>
      </c>
      <c r="L1326" s="1">
        <v>42426</v>
      </c>
      <c r="M1326" s="1">
        <v>42527</v>
      </c>
    </row>
    <row r="1327" spans="2:13" x14ac:dyDescent="0.25">
      <c r="B1327" t="s">
        <v>1237</v>
      </c>
      <c r="C1327" t="s">
        <v>0</v>
      </c>
      <c r="D1327" t="s">
        <v>1</v>
      </c>
      <c r="E1327">
        <v>659233</v>
      </c>
      <c r="F1327" t="s">
        <v>134</v>
      </c>
      <c r="H1327" t="s">
        <v>531</v>
      </c>
      <c r="L1327" s="1">
        <v>42689</v>
      </c>
      <c r="M1327" s="1">
        <v>42726</v>
      </c>
    </row>
    <row r="1328" spans="2:13" x14ac:dyDescent="0.25">
      <c r="B1328" t="s">
        <v>1236</v>
      </c>
      <c r="C1328" t="s">
        <v>0</v>
      </c>
      <c r="D1328" t="s">
        <v>1</v>
      </c>
      <c r="E1328">
        <v>663090</v>
      </c>
      <c r="F1328" t="s">
        <v>134</v>
      </c>
      <c r="H1328" t="s">
        <v>517</v>
      </c>
      <c r="L1328" s="1">
        <v>42808</v>
      </c>
      <c r="M1328" s="1">
        <v>42849</v>
      </c>
    </row>
    <row r="1329" spans="2:13" x14ac:dyDescent="0.25">
      <c r="B1329" t="s">
        <v>1235</v>
      </c>
      <c r="C1329" t="s">
        <v>0</v>
      </c>
      <c r="D1329" t="s">
        <v>1</v>
      </c>
      <c r="E1329">
        <v>659222</v>
      </c>
      <c r="F1329" t="s">
        <v>134</v>
      </c>
      <c r="H1329" t="s">
        <v>517</v>
      </c>
      <c r="L1329" s="1">
        <v>42648</v>
      </c>
      <c r="M1329" s="1">
        <v>42726</v>
      </c>
    </row>
    <row r="1330" spans="2:13" x14ac:dyDescent="0.25">
      <c r="B1330" t="s">
        <v>1234</v>
      </c>
      <c r="C1330" t="s">
        <v>0</v>
      </c>
      <c r="D1330" t="s">
        <v>1</v>
      </c>
      <c r="E1330">
        <v>658609</v>
      </c>
      <c r="F1330" t="s">
        <v>134</v>
      </c>
      <c r="H1330" t="s">
        <v>482</v>
      </c>
      <c r="L1330" s="1">
        <v>42632</v>
      </c>
      <c r="M1330" s="1">
        <v>42710</v>
      </c>
    </row>
    <row r="1331" spans="2:13" x14ac:dyDescent="0.25">
      <c r="B1331" t="s">
        <v>1232</v>
      </c>
      <c r="C1331" t="s">
        <v>0</v>
      </c>
      <c r="D1331" t="s">
        <v>1</v>
      </c>
      <c r="E1331">
        <v>653088</v>
      </c>
      <c r="F1331" t="s">
        <v>134</v>
      </c>
      <c r="H1331" t="s">
        <v>1233</v>
      </c>
      <c r="L1331" s="1">
        <v>42474</v>
      </c>
      <c r="M1331" s="1">
        <v>42521</v>
      </c>
    </row>
    <row r="1332" spans="2:13" x14ac:dyDescent="0.25">
      <c r="B1332" t="s">
        <v>1231</v>
      </c>
      <c r="C1332" t="s">
        <v>0</v>
      </c>
      <c r="D1332" t="s">
        <v>1</v>
      </c>
      <c r="E1332">
        <v>658367</v>
      </c>
      <c r="F1332" t="s">
        <v>134</v>
      </c>
      <c r="H1332" t="s">
        <v>449</v>
      </c>
      <c r="L1332" s="1">
        <v>42516</v>
      </c>
      <c r="M1332" s="1">
        <v>42703</v>
      </c>
    </row>
    <row r="1333" spans="2:13" x14ac:dyDescent="0.25">
      <c r="B1333" t="s">
        <v>1229</v>
      </c>
      <c r="C1333" t="s">
        <v>0</v>
      </c>
      <c r="D1333" t="s">
        <v>1</v>
      </c>
      <c r="E1333">
        <v>649600</v>
      </c>
      <c r="F1333" t="s">
        <v>134</v>
      </c>
      <c r="H1333" t="s">
        <v>1230</v>
      </c>
      <c r="L1333" s="1">
        <v>42317</v>
      </c>
      <c r="M1333" s="1">
        <v>42408</v>
      </c>
    </row>
    <row r="1334" spans="2:13" x14ac:dyDescent="0.25">
      <c r="B1334" t="s">
        <v>1228</v>
      </c>
      <c r="C1334" t="s">
        <v>0</v>
      </c>
      <c r="D1334" t="s">
        <v>1</v>
      </c>
      <c r="E1334">
        <v>660896</v>
      </c>
      <c r="F1334" t="s">
        <v>286</v>
      </c>
      <c r="H1334" t="s">
        <v>434</v>
      </c>
      <c r="L1334" s="1">
        <v>42717</v>
      </c>
      <c r="M1334" s="1">
        <v>42775</v>
      </c>
    </row>
    <row r="1335" spans="2:13" x14ac:dyDescent="0.25">
      <c r="B1335" t="s">
        <v>1227</v>
      </c>
      <c r="C1335" t="s">
        <v>0</v>
      </c>
      <c r="D1335" t="s">
        <v>1</v>
      </c>
      <c r="E1335">
        <v>651997</v>
      </c>
      <c r="F1335" t="s">
        <v>134</v>
      </c>
      <c r="H1335" t="s">
        <v>434</v>
      </c>
      <c r="L1335" s="1">
        <v>42430</v>
      </c>
      <c r="M1335" s="1">
        <v>42481</v>
      </c>
    </row>
    <row r="1336" spans="2:13" x14ac:dyDescent="0.25">
      <c r="B1336" t="s">
        <v>1226</v>
      </c>
      <c r="C1336" t="s">
        <v>0</v>
      </c>
      <c r="D1336" t="s">
        <v>1</v>
      </c>
      <c r="E1336">
        <v>657434</v>
      </c>
      <c r="F1336" t="s">
        <v>286</v>
      </c>
      <c r="H1336" t="s">
        <v>434</v>
      </c>
      <c r="L1336" s="1">
        <v>42369</v>
      </c>
      <c r="M1336" s="1">
        <v>42674</v>
      </c>
    </row>
    <row r="1337" spans="2:13" x14ac:dyDescent="0.25">
      <c r="B1337" t="s">
        <v>1225</v>
      </c>
      <c r="C1337" t="s">
        <v>0</v>
      </c>
      <c r="D1337" t="s">
        <v>1</v>
      </c>
      <c r="E1337">
        <v>636162</v>
      </c>
      <c r="F1337" t="s">
        <v>286</v>
      </c>
      <c r="H1337" t="s">
        <v>434</v>
      </c>
      <c r="L1337" s="1">
        <v>41914</v>
      </c>
      <c r="M1337" s="1">
        <v>42040</v>
      </c>
    </row>
    <row r="1338" spans="2:13" x14ac:dyDescent="0.25">
      <c r="B1338" t="s">
        <v>1224</v>
      </c>
      <c r="C1338" t="s">
        <v>0</v>
      </c>
      <c r="D1338" t="s">
        <v>1</v>
      </c>
      <c r="E1338">
        <v>658686</v>
      </c>
      <c r="F1338" t="s">
        <v>177</v>
      </c>
      <c r="H1338" t="s">
        <v>375</v>
      </c>
      <c r="L1338" s="1">
        <v>42591</v>
      </c>
      <c r="M1338" s="1">
        <v>42712</v>
      </c>
    </row>
    <row r="1339" spans="2:13" x14ac:dyDescent="0.25">
      <c r="B1339" t="s">
        <v>1223</v>
      </c>
      <c r="C1339" t="s">
        <v>0</v>
      </c>
      <c r="D1339" t="s">
        <v>1</v>
      </c>
      <c r="E1339">
        <v>658911</v>
      </c>
      <c r="F1339" t="s">
        <v>177</v>
      </c>
      <c r="H1339" t="s">
        <v>365</v>
      </c>
      <c r="L1339" s="1">
        <v>42591</v>
      </c>
      <c r="M1339" s="1">
        <v>42718</v>
      </c>
    </row>
    <row r="1340" spans="2:13" x14ac:dyDescent="0.25">
      <c r="B1340" t="s">
        <v>1222</v>
      </c>
      <c r="C1340" t="s">
        <v>0</v>
      </c>
      <c r="D1340" t="s">
        <v>1</v>
      </c>
      <c r="E1340">
        <v>661385</v>
      </c>
      <c r="F1340" t="s">
        <v>163</v>
      </c>
      <c r="H1340" t="s">
        <v>355</v>
      </c>
      <c r="L1340" s="1">
        <v>42661</v>
      </c>
      <c r="M1340" s="1">
        <v>42793</v>
      </c>
    </row>
    <row r="1341" spans="2:13" x14ac:dyDescent="0.25">
      <c r="B1341" t="s">
        <v>1221</v>
      </c>
      <c r="C1341" t="s">
        <v>100</v>
      </c>
      <c r="D1341" t="s">
        <v>50</v>
      </c>
      <c r="E1341">
        <v>657831</v>
      </c>
      <c r="F1341" t="s">
        <v>163</v>
      </c>
      <c r="H1341" t="s">
        <v>355</v>
      </c>
      <c r="L1341" s="1">
        <v>42656</v>
      </c>
    </row>
    <row r="1342" spans="2:13" x14ac:dyDescent="0.25">
      <c r="B1342" t="s">
        <v>1220</v>
      </c>
      <c r="C1342" t="s">
        <v>100</v>
      </c>
      <c r="D1342" t="s">
        <v>50</v>
      </c>
      <c r="E1342">
        <v>656999</v>
      </c>
      <c r="F1342" t="s">
        <v>134</v>
      </c>
      <c r="H1342" t="s">
        <v>355</v>
      </c>
      <c r="L1342" s="1">
        <v>42509</v>
      </c>
    </row>
    <row r="1343" spans="2:13" x14ac:dyDescent="0.25">
      <c r="B1343" t="s">
        <v>1219</v>
      </c>
      <c r="C1343" t="s">
        <v>0</v>
      </c>
      <c r="D1343" t="s">
        <v>1</v>
      </c>
      <c r="E1343">
        <v>659956</v>
      </c>
      <c r="F1343" t="s">
        <v>134</v>
      </c>
      <c r="H1343" t="s">
        <v>346</v>
      </c>
      <c r="L1343" s="1">
        <v>42558</v>
      </c>
      <c r="M1343" s="1">
        <v>42752</v>
      </c>
    </row>
    <row r="1344" spans="2:13" x14ac:dyDescent="0.25">
      <c r="B1344" t="s">
        <v>1218</v>
      </c>
      <c r="C1344" t="s">
        <v>100</v>
      </c>
      <c r="D1344" t="s">
        <v>50</v>
      </c>
      <c r="E1344">
        <v>632250</v>
      </c>
      <c r="F1344" t="s">
        <v>272</v>
      </c>
      <c r="H1344" t="s">
        <v>1217</v>
      </c>
      <c r="L1344" s="1">
        <v>41908</v>
      </c>
    </row>
    <row r="1345" spans="2:13" x14ac:dyDescent="0.25">
      <c r="B1345" t="s">
        <v>1216</v>
      </c>
      <c r="C1345" t="s">
        <v>0</v>
      </c>
      <c r="D1345" t="s">
        <v>1</v>
      </c>
      <c r="E1345">
        <v>607108</v>
      </c>
      <c r="F1345" t="s">
        <v>1169</v>
      </c>
      <c r="H1345" t="s">
        <v>1217</v>
      </c>
      <c r="L1345" s="1">
        <v>41250</v>
      </c>
      <c r="M1345" s="1">
        <v>41303</v>
      </c>
    </row>
    <row r="1346" spans="2:13" x14ac:dyDescent="0.25">
      <c r="B1346" t="s">
        <v>314</v>
      </c>
      <c r="C1346" t="s">
        <v>139</v>
      </c>
      <c r="F1346" t="s">
        <v>286</v>
      </c>
      <c r="H1346" t="s">
        <v>315</v>
      </c>
      <c r="L1346" s="1">
        <v>42593</v>
      </c>
      <c r="M1346" s="1">
        <v>42892</v>
      </c>
    </row>
    <row r="1347" spans="2:13" x14ac:dyDescent="0.25">
      <c r="B1347" t="s">
        <v>1215</v>
      </c>
      <c r="C1347" t="s">
        <v>100</v>
      </c>
      <c r="D1347" t="s">
        <v>50</v>
      </c>
      <c r="E1347">
        <v>655313</v>
      </c>
      <c r="F1347" t="s">
        <v>286</v>
      </c>
      <c r="H1347" t="s">
        <v>315</v>
      </c>
      <c r="L1347" s="1">
        <v>42503</v>
      </c>
    </row>
    <row r="1348" spans="2:13" x14ac:dyDescent="0.25">
      <c r="B1348" t="s">
        <v>1214</v>
      </c>
      <c r="C1348" t="s">
        <v>0</v>
      </c>
      <c r="D1348" t="s">
        <v>1</v>
      </c>
      <c r="E1348">
        <v>611865</v>
      </c>
      <c r="F1348" t="s">
        <v>272</v>
      </c>
      <c r="H1348" t="s">
        <v>315</v>
      </c>
      <c r="L1348" s="1">
        <v>41383</v>
      </c>
      <c r="M1348" s="1">
        <v>41414</v>
      </c>
    </row>
    <row r="1349" spans="2:13" x14ac:dyDescent="0.25">
      <c r="B1349" t="s">
        <v>1212</v>
      </c>
      <c r="C1349" t="s">
        <v>0</v>
      </c>
      <c r="D1349" t="s">
        <v>1</v>
      </c>
      <c r="E1349">
        <v>604581</v>
      </c>
      <c r="F1349" t="s">
        <v>286</v>
      </c>
      <c r="H1349" t="s">
        <v>1213</v>
      </c>
      <c r="L1349" s="1">
        <v>41190</v>
      </c>
      <c r="M1349" s="1">
        <v>41240</v>
      </c>
    </row>
    <row r="1350" spans="2:13" x14ac:dyDescent="0.25">
      <c r="B1350" t="s">
        <v>1210</v>
      </c>
      <c r="C1350" t="s">
        <v>0</v>
      </c>
      <c r="D1350" t="s">
        <v>1</v>
      </c>
      <c r="E1350">
        <v>611571</v>
      </c>
      <c r="F1350" t="s">
        <v>1169</v>
      </c>
      <c r="H1350" t="s">
        <v>1211</v>
      </c>
      <c r="L1350" s="1">
        <v>41250</v>
      </c>
      <c r="M1350" s="1">
        <v>41408</v>
      </c>
    </row>
    <row r="1351" spans="2:13" x14ac:dyDescent="0.25">
      <c r="B1351" t="s">
        <v>1209</v>
      </c>
      <c r="C1351" t="s">
        <v>0</v>
      </c>
      <c r="D1351" t="s">
        <v>1</v>
      </c>
      <c r="E1351">
        <v>607202</v>
      </c>
      <c r="F1351" t="s">
        <v>1169</v>
      </c>
      <c r="H1351" t="s">
        <v>273</v>
      </c>
      <c r="L1351" s="1">
        <v>41269</v>
      </c>
      <c r="M1351" s="1">
        <v>41304</v>
      </c>
    </row>
    <row r="1352" spans="2:13" x14ac:dyDescent="0.25">
      <c r="B1352" t="s">
        <v>1208</v>
      </c>
      <c r="C1352" t="s">
        <v>0</v>
      </c>
      <c r="D1352" t="s">
        <v>1</v>
      </c>
      <c r="E1352">
        <v>603575</v>
      </c>
      <c r="F1352" t="s">
        <v>1169</v>
      </c>
      <c r="H1352" t="s">
        <v>273</v>
      </c>
      <c r="L1352" s="1">
        <v>41166</v>
      </c>
      <c r="M1352" s="1">
        <v>41211</v>
      </c>
    </row>
    <row r="1353" spans="2:13" x14ac:dyDescent="0.25">
      <c r="B1353" t="s">
        <v>260</v>
      </c>
      <c r="C1353" t="s">
        <v>139</v>
      </c>
      <c r="F1353" t="s">
        <v>134</v>
      </c>
      <c r="H1353" t="s">
        <v>258</v>
      </c>
      <c r="L1353" s="1">
        <v>42825</v>
      </c>
      <c r="M1353" s="1">
        <v>42891</v>
      </c>
    </row>
    <row r="1354" spans="2:13" x14ac:dyDescent="0.25">
      <c r="B1354" t="s">
        <v>259</v>
      </c>
      <c r="C1354" t="s">
        <v>139</v>
      </c>
      <c r="F1354" t="s">
        <v>183</v>
      </c>
      <c r="H1354" t="s">
        <v>258</v>
      </c>
      <c r="L1354" s="1">
        <v>42731</v>
      </c>
      <c r="M1354" s="1">
        <v>42892</v>
      </c>
    </row>
    <row r="1355" spans="2:13" x14ac:dyDescent="0.25">
      <c r="B1355" t="s">
        <v>1207</v>
      </c>
      <c r="C1355" t="s">
        <v>0</v>
      </c>
      <c r="D1355" t="s">
        <v>1</v>
      </c>
      <c r="E1355">
        <v>629772</v>
      </c>
      <c r="F1355" t="s">
        <v>286</v>
      </c>
      <c r="H1355" t="s">
        <v>258</v>
      </c>
      <c r="L1355" s="1">
        <v>41851</v>
      </c>
      <c r="M1355" s="1">
        <v>41878</v>
      </c>
    </row>
    <row r="1356" spans="2:13" x14ac:dyDescent="0.25">
      <c r="B1356" t="s">
        <v>243</v>
      </c>
      <c r="C1356" t="s">
        <v>139</v>
      </c>
      <c r="F1356" t="s">
        <v>134</v>
      </c>
      <c r="H1356" t="s">
        <v>242</v>
      </c>
      <c r="L1356" s="1">
        <v>42871</v>
      </c>
    </row>
    <row r="1357" spans="2:13" x14ac:dyDescent="0.25">
      <c r="B1357" t="s">
        <v>227</v>
      </c>
      <c r="C1357" t="s">
        <v>139</v>
      </c>
      <c r="F1357" t="s">
        <v>134</v>
      </c>
      <c r="H1357" t="s">
        <v>226</v>
      </c>
      <c r="L1357" s="1">
        <v>42802</v>
      </c>
      <c r="M1357" s="1">
        <v>42893</v>
      </c>
    </row>
    <row r="1358" spans="2:13" x14ac:dyDescent="0.25">
      <c r="B1358" t="s">
        <v>1206</v>
      </c>
      <c r="C1358" t="s">
        <v>0</v>
      </c>
      <c r="D1358" t="s">
        <v>1</v>
      </c>
      <c r="E1358">
        <v>632099</v>
      </c>
      <c r="F1358" t="s">
        <v>286</v>
      </c>
      <c r="H1358" t="s">
        <v>226</v>
      </c>
      <c r="L1358" s="1">
        <v>41697</v>
      </c>
      <c r="M1358" s="1">
        <v>41934</v>
      </c>
    </row>
    <row r="1359" spans="2:13" x14ac:dyDescent="0.25">
      <c r="B1359" t="s">
        <v>1205</v>
      </c>
      <c r="C1359" t="s">
        <v>162</v>
      </c>
      <c r="F1359" t="s">
        <v>134</v>
      </c>
      <c r="H1359" t="s">
        <v>211</v>
      </c>
      <c r="L1359" s="1">
        <v>42894</v>
      </c>
      <c r="M1359" s="1">
        <v>42919</v>
      </c>
    </row>
    <row r="1360" spans="2:13" x14ac:dyDescent="0.25">
      <c r="B1360" t="s">
        <v>212</v>
      </c>
      <c r="C1360" t="s">
        <v>76</v>
      </c>
      <c r="F1360" t="s">
        <v>134</v>
      </c>
      <c r="H1360" t="s">
        <v>211</v>
      </c>
      <c r="L1360" s="1">
        <v>42825</v>
      </c>
      <c r="M1360" s="1">
        <v>42863</v>
      </c>
    </row>
    <row r="1361" spans="2:13" x14ac:dyDescent="0.25">
      <c r="B1361" t="s">
        <v>1204</v>
      </c>
      <c r="C1361" t="s">
        <v>0</v>
      </c>
      <c r="D1361" t="s">
        <v>1</v>
      </c>
      <c r="E1361">
        <v>616798</v>
      </c>
      <c r="F1361" t="s">
        <v>210</v>
      </c>
      <c r="H1361" t="s">
        <v>211</v>
      </c>
      <c r="L1361" s="1">
        <v>41513</v>
      </c>
      <c r="M1361" s="1">
        <v>41556</v>
      </c>
    </row>
    <row r="1362" spans="2:13" x14ac:dyDescent="0.25">
      <c r="B1362" t="s">
        <v>1203</v>
      </c>
      <c r="C1362" t="s">
        <v>0</v>
      </c>
      <c r="D1362" t="s">
        <v>1</v>
      </c>
      <c r="E1362">
        <v>654441</v>
      </c>
      <c r="F1362" t="s">
        <v>134</v>
      </c>
      <c r="H1362" t="s">
        <v>1202</v>
      </c>
      <c r="L1362" s="1">
        <v>42530</v>
      </c>
      <c r="M1362" s="1">
        <v>42570</v>
      </c>
    </row>
    <row r="1363" spans="2:13" x14ac:dyDescent="0.25">
      <c r="B1363" t="s">
        <v>1201</v>
      </c>
      <c r="C1363" t="s">
        <v>0</v>
      </c>
      <c r="D1363" t="s">
        <v>1</v>
      </c>
      <c r="E1363">
        <v>653108</v>
      </c>
      <c r="F1363" t="s">
        <v>134</v>
      </c>
      <c r="H1363" t="s">
        <v>1202</v>
      </c>
      <c r="L1363" s="1">
        <v>42348</v>
      </c>
      <c r="M1363" s="1">
        <v>42522</v>
      </c>
    </row>
    <row r="1364" spans="2:13" x14ac:dyDescent="0.25">
      <c r="B1364" t="s">
        <v>185</v>
      </c>
      <c r="C1364" t="s">
        <v>139</v>
      </c>
      <c r="F1364" t="s">
        <v>183</v>
      </c>
      <c r="H1364" t="s">
        <v>184</v>
      </c>
      <c r="L1364" s="1">
        <v>42692</v>
      </c>
      <c r="M1364" s="1">
        <v>42892</v>
      </c>
    </row>
    <row r="1365" spans="2:13" x14ac:dyDescent="0.25">
      <c r="B1365" t="s">
        <v>1200</v>
      </c>
      <c r="C1365" t="s">
        <v>100</v>
      </c>
      <c r="D1365" t="s">
        <v>50</v>
      </c>
      <c r="E1365">
        <v>625667</v>
      </c>
      <c r="F1365" t="s">
        <v>68</v>
      </c>
      <c r="H1365" t="s">
        <v>184</v>
      </c>
      <c r="L1365" s="1">
        <v>41669</v>
      </c>
    </row>
    <row r="1366" spans="2:13" x14ac:dyDescent="0.25">
      <c r="B1366" t="s">
        <v>1199</v>
      </c>
      <c r="C1366" t="s">
        <v>0</v>
      </c>
      <c r="D1366" t="s">
        <v>1</v>
      </c>
      <c r="E1366">
        <v>618290</v>
      </c>
      <c r="F1366" t="s">
        <v>286</v>
      </c>
      <c r="H1366" t="s">
        <v>184</v>
      </c>
      <c r="L1366" s="1">
        <v>41563</v>
      </c>
      <c r="M1366" s="1">
        <v>41597</v>
      </c>
    </row>
    <row r="1367" spans="2:13" x14ac:dyDescent="0.25">
      <c r="B1367" t="s">
        <v>176</v>
      </c>
      <c r="C1367" t="s">
        <v>139</v>
      </c>
      <c r="F1367" t="s">
        <v>134</v>
      </c>
      <c r="H1367" t="s">
        <v>175</v>
      </c>
      <c r="L1367" s="1">
        <v>42706</v>
      </c>
      <c r="M1367" s="1">
        <v>42842</v>
      </c>
    </row>
    <row r="1368" spans="2:13" x14ac:dyDescent="0.25">
      <c r="B1368" t="s">
        <v>1198</v>
      </c>
      <c r="C1368" t="s">
        <v>0</v>
      </c>
      <c r="D1368" t="s">
        <v>1</v>
      </c>
      <c r="E1368">
        <v>617406</v>
      </c>
      <c r="F1368" t="s">
        <v>286</v>
      </c>
      <c r="H1368" t="s">
        <v>175</v>
      </c>
      <c r="L1368" s="1">
        <v>41505</v>
      </c>
      <c r="M1368" s="1">
        <v>41575</v>
      </c>
    </row>
    <row r="1369" spans="2:13" x14ac:dyDescent="0.25">
      <c r="B1369" t="s">
        <v>167</v>
      </c>
      <c r="C1369" t="s">
        <v>139</v>
      </c>
      <c r="F1369" t="s">
        <v>134</v>
      </c>
      <c r="H1369" t="s">
        <v>166</v>
      </c>
      <c r="L1369" s="1">
        <v>42690</v>
      </c>
      <c r="M1369" s="1">
        <v>42885</v>
      </c>
    </row>
    <row r="1370" spans="2:13" x14ac:dyDescent="0.25">
      <c r="B1370" t="s">
        <v>1197</v>
      </c>
      <c r="C1370" t="s">
        <v>0</v>
      </c>
      <c r="D1370" t="s">
        <v>1</v>
      </c>
      <c r="E1370">
        <v>620027</v>
      </c>
      <c r="F1370" t="s">
        <v>286</v>
      </c>
      <c r="H1370" t="s">
        <v>166</v>
      </c>
      <c r="L1370" s="1">
        <v>41554</v>
      </c>
      <c r="M1370" s="1">
        <v>41647</v>
      </c>
    </row>
    <row r="1371" spans="2:13" x14ac:dyDescent="0.25">
      <c r="B1371" t="s">
        <v>1196</v>
      </c>
      <c r="C1371" t="s">
        <v>0</v>
      </c>
      <c r="D1371" t="s">
        <v>1</v>
      </c>
      <c r="E1371">
        <v>621218</v>
      </c>
      <c r="F1371" t="s">
        <v>286</v>
      </c>
      <c r="H1371" t="s">
        <v>1195</v>
      </c>
      <c r="L1371" s="1">
        <v>41628</v>
      </c>
      <c r="M1371" s="1">
        <v>41674</v>
      </c>
    </row>
    <row r="1372" spans="2:13" x14ac:dyDescent="0.25">
      <c r="B1372" t="s">
        <v>1194</v>
      </c>
      <c r="C1372" t="s">
        <v>0</v>
      </c>
      <c r="D1372" t="s">
        <v>1</v>
      </c>
      <c r="E1372">
        <v>612424</v>
      </c>
      <c r="F1372" t="s">
        <v>272</v>
      </c>
      <c r="H1372" t="s">
        <v>1195</v>
      </c>
      <c r="L1372" s="1">
        <v>41387</v>
      </c>
      <c r="M1372" s="1">
        <v>41431</v>
      </c>
    </row>
    <row r="1378" spans="2:13" x14ac:dyDescent="0.25">
      <c r="B1378" t="s">
        <v>1192</v>
      </c>
      <c r="C1378" t="s">
        <v>0</v>
      </c>
      <c r="D1378" t="s">
        <v>1</v>
      </c>
      <c r="E1378">
        <v>602393</v>
      </c>
      <c r="F1378" t="s">
        <v>286</v>
      </c>
      <c r="H1378" t="s">
        <v>1193</v>
      </c>
      <c r="L1378" s="1">
        <v>41128</v>
      </c>
      <c r="M1378" s="1">
        <v>41176</v>
      </c>
    </row>
    <row r="1379" spans="2:13" x14ac:dyDescent="0.25">
      <c r="B1379" t="s">
        <v>1190</v>
      </c>
      <c r="C1379" t="s">
        <v>0</v>
      </c>
      <c r="D1379" t="s">
        <v>1</v>
      </c>
      <c r="E1379">
        <v>631419</v>
      </c>
      <c r="F1379" t="s">
        <v>1191</v>
      </c>
      <c r="H1379" t="s">
        <v>1188</v>
      </c>
      <c r="L1379" s="1">
        <v>41873</v>
      </c>
      <c r="M1379" s="1">
        <v>41914</v>
      </c>
    </row>
    <row r="1380" spans="2:13" x14ac:dyDescent="0.25">
      <c r="B1380" t="s">
        <v>1189</v>
      </c>
      <c r="C1380" t="s">
        <v>0</v>
      </c>
      <c r="D1380" t="s">
        <v>1</v>
      </c>
      <c r="E1380">
        <v>627059</v>
      </c>
      <c r="F1380" t="s">
        <v>1162</v>
      </c>
      <c r="H1380" t="s">
        <v>1188</v>
      </c>
      <c r="L1380" s="1">
        <v>41771</v>
      </c>
      <c r="M1380" s="1">
        <v>41813</v>
      </c>
    </row>
    <row r="1381" spans="2:13" x14ac:dyDescent="0.25">
      <c r="B1381" t="s">
        <v>1187</v>
      </c>
      <c r="C1381" t="s">
        <v>0</v>
      </c>
      <c r="D1381" t="s">
        <v>1</v>
      </c>
      <c r="E1381">
        <v>620576</v>
      </c>
      <c r="F1381" t="s">
        <v>286</v>
      </c>
      <c r="H1381" t="s">
        <v>1188</v>
      </c>
      <c r="L1381" s="1">
        <v>41526</v>
      </c>
      <c r="M1381" s="1">
        <v>41660</v>
      </c>
    </row>
    <row r="1382" spans="2:13" x14ac:dyDescent="0.25">
      <c r="B1382" t="s">
        <v>1186</v>
      </c>
      <c r="C1382" t="s">
        <v>0</v>
      </c>
      <c r="D1382" t="s">
        <v>1</v>
      </c>
      <c r="E1382">
        <v>659852</v>
      </c>
      <c r="F1382" t="s">
        <v>134</v>
      </c>
      <c r="H1382" t="s">
        <v>1185</v>
      </c>
      <c r="L1382" s="1">
        <v>42704</v>
      </c>
      <c r="M1382" s="1">
        <v>42747</v>
      </c>
    </row>
    <row r="1383" spans="2:13" x14ac:dyDescent="0.25">
      <c r="B1383" t="s">
        <v>1184</v>
      </c>
      <c r="C1383" t="s">
        <v>0</v>
      </c>
      <c r="D1383" t="s">
        <v>1</v>
      </c>
      <c r="E1383">
        <v>656571</v>
      </c>
      <c r="F1383" t="s">
        <v>134</v>
      </c>
      <c r="H1383" t="s">
        <v>1185</v>
      </c>
      <c r="L1383" s="1">
        <v>42530</v>
      </c>
      <c r="M1383" s="1">
        <v>42646</v>
      </c>
    </row>
    <row r="1384" spans="2:13" x14ac:dyDescent="0.25">
      <c r="B1384" t="s">
        <v>1183</v>
      </c>
      <c r="C1384" t="s">
        <v>139</v>
      </c>
      <c r="F1384" t="s">
        <v>177</v>
      </c>
      <c r="H1384" t="s">
        <v>487</v>
      </c>
      <c r="L1384" s="1">
        <v>42758</v>
      </c>
      <c r="M1384" s="1">
        <v>42793</v>
      </c>
    </row>
    <row r="1385" spans="2:13" x14ac:dyDescent="0.25">
      <c r="B1385" t="s">
        <v>1182</v>
      </c>
      <c r="C1385" t="s">
        <v>0</v>
      </c>
      <c r="D1385" t="s">
        <v>1</v>
      </c>
      <c r="E1385">
        <v>655763</v>
      </c>
      <c r="F1385" t="s">
        <v>147</v>
      </c>
      <c r="H1385" t="s">
        <v>487</v>
      </c>
      <c r="L1385" s="1">
        <v>42394</v>
      </c>
      <c r="M1385" s="1">
        <v>42613</v>
      </c>
    </row>
    <row r="1386" spans="2:13" x14ac:dyDescent="0.25">
      <c r="B1386" t="s">
        <v>1181</v>
      </c>
      <c r="C1386" t="s">
        <v>0</v>
      </c>
      <c r="D1386" t="s">
        <v>1</v>
      </c>
      <c r="E1386">
        <v>648297</v>
      </c>
      <c r="F1386" t="s">
        <v>134</v>
      </c>
      <c r="H1386" t="s">
        <v>487</v>
      </c>
      <c r="L1386" s="1">
        <v>42209</v>
      </c>
      <c r="M1386" s="1">
        <v>42374</v>
      </c>
    </row>
    <row r="1387" spans="2:13" x14ac:dyDescent="0.25">
      <c r="B1387" t="s">
        <v>1180</v>
      </c>
      <c r="C1387" t="s">
        <v>0</v>
      </c>
      <c r="D1387" t="s">
        <v>1</v>
      </c>
      <c r="E1387">
        <v>623136</v>
      </c>
      <c r="F1387" t="s">
        <v>210</v>
      </c>
      <c r="H1387" t="s">
        <v>487</v>
      </c>
      <c r="L1387" s="1">
        <v>41689</v>
      </c>
      <c r="M1387" s="1">
        <v>41723</v>
      </c>
    </row>
    <row r="1388" spans="2:13" x14ac:dyDescent="0.25">
      <c r="B1388" t="s">
        <v>1179</v>
      </c>
      <c r="C1388" t="s">
        <v>100</v>
      </c>
      <c r="D1388" t="s">
        <v>50</v>
      </c>
      <c r="E1388">
        <v>631225</v>
      </c>
      <c r="F1388" t="s">
        <v>134</v>
      </c>
      <c r="H1388" t="s">
        <v>476</v>
      </c>
      <c r="L1388" s="1">
        <v>41744</v>
      </c>
    </row>
    <row r="1389" spans="2:13" x14ac:dyDescent="0.25">
      <c r="B1389" t="s">
        <v>1178</v>
      </c>
      <c r="C1389" t="s">
        <v>0</v>
      </c>
      <c r="D1389" t="s">
        <v>1</v>
      </c>
      <c r="E1389">
        <v>631906</v>
      </c>
      <c r="F1389" t="s">
        <v>1067</v>
      </c>
      <c r="H1389" t="s">
        <v>451</v>
      </c>
      <c r="L1389" s="1">
        <v>41628</v>
      </c>
      <c r="M1389" s="1">
        <v>41928</v>
      </c>
    </row>
    <row r="1390" spans="2:13" x14ac:dyDescent="0.25">
      <c r="B1390" t="s">
        <v>1177</v>
      </c>
      <c r="C1390" t="s">
        <v>0</v>
      </c>
      <c r="D1390" t="s">
        <v>1</v>
      </c>
      <c r="E1390">
        <v>642542</v>
      </c>
      <c r="F1390" t="s">
        <v>134</v>
      </c>
      <c r="H1390" t="s">
        <v>444</v>
      </c>
      <c r="L1390" s="1">
        <v>42146</v>
      </c>
      <c r="M1390" s="1">
        <v>42184</v>
      </c>
    </row>
    <row r="1391" spans="2:13" x14ac:dyDescent="0.25">
      <c r="B1391" t="s">
        <v>1176</v>
      </c>
      <c r="C1391" t="s">
        <v>0</v>
      </c>
      <c r="D1391" t="s">
        <v>1</v>
      </c>
      <c r="E1391">
        <v>640646</v>
      </c>
      <c r="F1391" t="s">
        <v>1162</v>
      </c>
      <c r="H1391" t="s">
        <v>444</v>
      </c>
      <c r="L1391" s="1">
        <v>41618</v>
      </c>
      <c r="M1391" s="1">
        <v>42138</v>
      </c>
    </row>
    <row r="1392" spans="2:13" x14ac:dyDescent="0.25">
      <c r="B1392" t="s">
        <v>1175</v>
      </c>
      <c r="C1392" t="s">
        <v>0</v>
      </c>
      <c r="D1392" t="s">
        <v>1</v>
      </c>
      <c r="E1392">
        <v>600754</v>
      </c>
      <c r="F1392" t="s">
        <v>1162</v>
      </c>
      <c r="H1392" t="s">
        <v>444</v>
      </c>
      <c r="L1392" s="1">
        <v>41082</v>
      </c>
      <c r="M1392" s="1">
        <v>41129</v>
      </c>
    </row>
    <row r="1393" spans="2:13" x14ac:dyDescent="0.25">
      <c r="B1393" t="s">
        <v>1174</v>
      </c>
      <c r="C1393" t="s">
        <v>0</v>
      </c>
      <c r="F1393" t="s">
        <v>1162</v>
      </c>
      <c r="H1393" t="s">
        <v>1173</v>
      </c>
      <c r="L1393" s="1">
        <v>41290</v>
      </c>
      <c r="M1393" s="1">
        <v>41708</v>
      </c>
    </row>
    <row r="1394" spans="2:13" x14ac:dyDescent="0.25">
      <c r="B1394" t="s">
        <v>1172</v>
      </c>
      <c r="C1394" t="s">
        <v>0</v>
      </c>
      <c r="D1394" t="s">
        <v>1</v>
      </c>
      <c r="E1394">
        <v>622365</v>
      </c>
      <c r="F1394" t="s">
        <v>286</v>
      </c>
      <c r="H1394" t="s">
        <v>1173</v>
      </c>
      <c r="L1394" s="1">
        <v>41246</v>
      </c>
      <c r="M1394" s="1">
        <v>41708</v>
      </c>
    </row>
    <row r="1395" spans="2:13" x14ac:dyDescent="0.25">
      <c r="B1395" t="s">
        <v>1171</v>
      </c>
      <c r="C1395" t="s">
        <v>0</v>
      </c>
      <c r="D1395" t="s">
        <v>1</v>
      </c>
      <c r="E1395">
        <v>624041</v>
      </c>
      <c r="F1395" t="s">
        <v>272</v>
      </c>
      <c r="H1395" t="s">
        <v>1170</v>
      </c>
      <c r="L1395" s="1">
        <v>41718</v>
      </c>
      <c r="M1395" s="1">
        <v>41745</v>
      </c>
    </row>
    <row r="1396" spans="2:13" x14ac:dyDescent="0.25">
      <c r="B1396" t="s">
        <v>1168</v>
      </c>
      <c r="C1396" t="s">
        <v>0</v>
      </c>
      <c r="D1396" t="s">
        <v>1</v>
      </c>
      <c r="E1396">
        <v>619251</v>
      </c>
      <c r="F1396" t="s">
        <v>1169</v>
      </c>
      <c r="H1396" t="s">
        <v>1170</v>
      </c>
      <c r="L1396" s="1">
        <v>41570</v>
      </c>
      <c r="M1396" s="1">
        <v>41624</v>
      </c>
    </row>
    <row r="1397" spans="2:13" x14ac:dyDescent="0.25">
      <c r="B1397" t="s">
        <v>1167</v>
      </c>
      <c r="C1397" t="s">
        <v>0</v>
      </c>
      <c r="D1397" t="s">
        <v>1</v>
      </c>
      <c r="E1397">
        <v>635333</v>
      </c>
      <c r="F1397" t="s">
        <v>319</v>
      </c>
      <c r="H1397" t="s">
        <v>1165</v>
      </c>
      <c r="L1397" s="1">
        <v>41964</v>
      </c>
      <c r="M1397" s="1">
        <v>42019</v>
      </c>
    </row>
    <row r="1398" spans="2:13" x14ac:dyDescent="0.25">
      <c r="B1398" t="s">
        <v>1166</v>
      </c>
      <c r="C1398" t="s">
        <v>0</v>
      </c>
      <c r="D1398" t="s">
        <v>1</v>
      </c>
      <c r="E1398">
        <v>630582</v>
      </c>
      <c r="F1398" t="s">
        <v>319</v>
      </c>
      <c r="H1398" t="s">
        <v>1165</v>
      </c>
      <c r="L1398" s="1">
        <v>41690</v>
      </c>
      <c r="M1398" s="1">
        <v>41897</v>
      </c>
    </row>
    <row r="1399" spans="2:13" x14ac:dyDescent="0.25">
      <c r="B1399" t="s">
        <v>1164</v>
      </c>
      <c r="C1399" t="s">
        <v>0</v>
      </c>
      <c r="D1399" t="s">
        <v>1</v>
      </c>
      <c r="E1399">
        <v>612044</v>
      </c>
      <c r="F1399" t="s">
        <v>319</v>
      </c>
      <c r="H1399" t="s">
        <v>1165</v>
      </c>
      <c r="L1399" s="1">
        <v>41362</v>
      </c>
      <c r="M1399" s="1">
        <v>41422</v>
      </c>
    </row>
    <row r="1400" spans="2:13" x14ac:dyDescent="0.25">
      <c r="B1400" t="s">
        <v>1161</v>
      </c>
      <c r="C1400" t="s">
        <v>0</v>
      </c>
      <c r="D1400" t="s">
        <v>1</v>
      </c>
      <c r="E1400">
        <v>620757</v>
      </c>
      <c r="F1400" t="s">
        <v>1162</v>
      </c>
      <c r="H1400" t="s">
        <v>1163</v>
      </c>
      <c r="L1400" s="1">
        <v>41628</v>
      </c>
      <c r="M1400" s="1">
        <v>41662</v>
      </c>
    </row>
    <row r="1401" spans="2:13" x14ac:dyDescent="0.25">
      <c r="B1401" t="s">
        <v>1160</v>
      </c>
      <c r="C1401" t="s">
        <v>0</v>
      </c>
      <c r="D1401" t="s">
        <v>1</v>
      </c>
      <c r="E1401">
        <v>637286</v>
      </c>
      <c r="F1401" t="s">
        <v>134</v>
      </c>
      <c r="H1401" t="s">
        <v>389</v>
      </c>
      <c r="L1401" s="1">
        <v>41960</v>
      </c>
      <c r="M1401" s="1">
        <v>42067</v>
      </c>
    </row>
    <row r="1402" spans="2:13" x14ac:dyDescent="0.25">
      <c r="B1402" t="s">
        <v>1159</v>
      </c>
      <c r="C1402" t="s">
        <v>0</v>
      </c>
      <c r="D1402" t="s">
        <v>1</v>
      </c>
      <c r="E1402">
        <v>610127</v>
      </c>
      <c r="F1402" t="s">
        <v>134</v>
      </c>
      <c r="H1402" t="s">
        <v>380</v>
      </c>
      <c r="L1402" s="1">
        <v>41331</v>
      </c>
      <c r="M1402" s="1">
        <v>41373</v>
      </c>
    </row>
    <row r="1403" spans="2:13" x14ac:dyDescent="0.25">
      <c r="B1403" t="s">
        <v>1158</v>
      </c>
      <c r="C1403" t="s">
        <v>100</v>
      </c>
      <c r="D1403" t="s">
        <v>50</v>
      </c>
      <c r="E1403">
        <v>631222</v>
      </c>
      <c r="F1403" t="s">
        <v>651</v>
      </c>
      <c r="H1403" t="s">
        <v>378</v>
      </c>
      <c r="L1403" s="1">
        <v>41634</v>
      </c>
    </row>
    <row r="1404" spans="2:13" x14ac:dyDescent="0.25">
      <c r="B1404" t="s">
        <v>1157</v>
      </c>
      <c r="C1404" t="s">
        <v>0</v>
      </c>
      <c r="D1404" t="s">
        <v>1</v>
      </c>
      <c r="E1404">
        <v>634152</v>
      </c>
      <c r="F1404" t="s">
        <v>134</v>
      </c>
      <c r="H1404" t="s">
        <v>356</v>
      </c>
      <c r="L1404" s="1">
        <v>41789</v>
      </c>
      <c r="M1404" s="1">
        <v>41988</v>
      </c>
    </row>
    <row r="1405" spans="2:13" x14ac:dyDescent="0.25">
      <c r="B1405" t="s">
        <v>1156</v>
      </c>
      <c r="C1405" t="s">
        <v>0</v>
      </c>
      <c r="D1405" t="s">
        <v>1</v>
      </c>
      <c r="E1405">
        <v>643619</v>
      </c>
      <c r="F1405" t="s">
        <v>134</v>
      </c>
      <c r="H1405" t="s">
        <v>347</v>
      </c>
      <c r="L1405" s="1">
        <v>42165</v>
      </c>
      <c r="M1405" s="1">
        <v>42215</v>
      </c>
    </row>
    <row r="1406" spans="2:13" x14ac:dyDescent="0.25">
      <c r="B1406" t="s">
        <v>337</v>
      </c>
      <c r="C1406" t="s">
        <v>139</v>
      </c>
      <c r="F1406" t="s">
        <v>134</v>
      </c>
      <c r="H1406" t="s">
        <v>336</v>
      </c>
      <c r="L1406" s="1">
        <v>42808</v>
      </c>
      <c r="M1406" s="1">
        <v>42898</v>
      </c>
    </row>
    <row r="1407" spans="2:13" x14ac:dyDescent="0.25">
      <c r="B1407" t="s">
        <v>1155</v>
      </c>
      <c r="C1407" t="s">
        <v>0</v>
      </c>
      <c r="D1407" t="s">
        <v>1</v>
      </c>
      <c r="E1407">
        <v>648222</v>
      </c>
      <c r="F1407" t="s">
        <v>319</v>
      </c>
      <c r="H1407" t="s">
        <v>320</v>
      </c>
      <c r="L1407" s="1">
        <v>42228</v>
      </c>
      <c r="M1407" s="1">
        <v>42373</v>
      </c>
    </row>
    <row r="1408" spans="2:13" x14ac:dyDescent="0.25">
      <c r="B1408" t="s">
        <v>1154</v>
      </c>
      <c r="C1408" t="s">
        <v>100</v>
      </c>
      <c r="D1408" t="s">
        <v>50</v>
      </c>
      <c r="E1408">
        <v>642772</v>
      </c>
      <c r="F1408" t="s">
        <v>319</v>
      </c>
      <c r="H1408" t="s">
        <v>320</v>
      </c>
      <c r="L1408" s="1">
        <v>42138</v>
      </c>
    </row>
    <row r="1409" spans="2:13" x14ac:dyDescent="0.25">
      <c r="B1409" t="s">
        <v>1153</v>
      </c>
      <c r="C1409" t="s">
        <v>0</v>
      </c>
      <c r="D1409" t="s">
        <v>1</v>
      </c>
      <c r="E1409">
        <v>658173</v>
      </c>
      <c r="F1409" t="s">
        <v>134</v>
      </c>
      <c r="H1409" t="s">
        <v>306</v>
      </c>
      <c r="L1409" s="1">
        <v>42591</v>
      </c>
      <c r="M1409" s="1">
        <v>42696</v>
      </c>
    </row>
    <row r="1410" spans="2:13" x14ac:dyDescent="0.25">
      <c r="B1410" t="s">
        <v>1152</v>
      </c>
      <c r="C1410" t="s">
        <v>0</v>
      </c>
      <c r="D1410" t="s">
        <v>1</v>
      </c>
      <c r="E1410">
        <v>658173</v>
      </c>
      <c r="F1410" t="s">
        <v>134</v>
      </c>
      <c r="H1410" t="s">
        <v>306</v>
      </c>
      <c r="L1410" s="1">
        <v>42544</v>
      </c>
      <c r="M1410" s="1">
        <v>42696</v>
      </c>
    </row>
    <row r="1411" spans="2:13" x14ac:dyDescent="0.25">
      <c r="B1411" t="s">
        <v>1151</v>
      </c>
      <c r="C1411" t="s">
        <v>0</v>
      </c>
      <c r="D1411" t="s">
        <v>1</v>
      </c>
      <c r="E1411">
        <v>655563</v>
      </c>
      <c r="F1411" t="s">
        <v>134</v>
      </c>
      <c r="H1411" t="s">
        <v>292</v>
      </c>
      <c r="L1411" s="1">
        <v>42390</v>
      </c>
      <c r="M1411" s="1">
        <v>42607</v>
      </c>
    </row>
    <row r="1412" spans="2:13" x14ac:dyDescent="0.25">
      <c r="B1412" t="s">
        <v>1149</v>
      </c>
      <c r="C1412" t="s">
        <v>0</v>
      </c>
      <c r="D1412" t="s">
        <v>1</v>
      </c>
      <c r="E1412">
        <v>655213</v>
      </c>
      <c r="F1412" t="s">
        <v>134</v>
      </c>
      <c r="H1412" t="s">
        <v>1150</v>
      </c>
      <c r="L1412" s="1">
        <v>42431</v>
      </c>
      <c r="M1412" s="1">
        <v>42597</v>
      </c>
    </row>
    <row r="1413" spans="2:13" x14ac:dyDescent="0.25">
      <c r="B1413" t="s">
        <v>1148</v>
      </c>
      <c r="C1413" t="s">
        <v>0</v>
      </c>
      <c r="D1413" t="s">
        <v>1</v>
      </c>
      <c r="E1413">
        <v>648121</v>
      </c>
      <c r="F1413" t="s">
        <v>134</v>
      </c>
      <c r="H1413" t="s">
        <v>276</v>
      </c>
      <c r="L1413" s="1">
        <v>42320</v>
      </c>
      <c r="M1413" s="1">
        <v>42366</v>
      </c>
    </row>
    <row r="1414" spans="2:13" x14ac:dyDescent="0.25">
      <c r="B1414" t="s">
        <v>1147</v>
      </c>
      <c r="C1414" t="s">
        <v>0</v>
      </c>
      <c r="D1414" t="s">
        <v>1</v>
      </c>
      <c r="E1414">
        <v>646743</v>
      </c>
      <c r="F1414" t="s">
        <v>134</v>
      </c>
      <c r="H1414" t="s">
        <v>276</v>
      </c>
      <c r="L1414" s="1">
        <v>42272</v>
      </c>
      <c r="M1414" s="1">
        <v>42318</v>
      </c>
    </row>
    <row r="1415" spans="2:13" x14ac:dyDescent="0.25">
      <c r="B1415" t="s">
        <v>1146</v>
      </c>
      <c r="C1415" t="s">
        <v>0</v>
      </c>
      <c r="D1415" t="s">
        <v>1</v>
      </c>
      <c r="E1415">
        <v>657237</v>
      </c>
      <c r="F1415" t="s">
        <v>134</v>
      </c>
      <c r="H1415" t="s">
        <v>262</v>
      </c>
      <c r="L1415" s="1">
        <v>42619</v>
      </c>
      <c r="M1415" s="1">
        <v>42668</v>
      </c>
    </row>
    <row r="1416" spans="2:13" x14ac:dyDescent="0.25">
      <c r="B1416" t="s">
        <v>1144</v>
      </c>
      <c r="C1416" t="s">
        <v>0</v>
      </c>
      <c r="D1416" t="s">
        <v>1</v>
      </c>
      <c r="E1416">
        <v>645447</v>
      </c>
      <c r="F1416" t="s">
        <v>1145</v>
      </c>
      <c r="H1416" t="s">
        <v>262</v>
      </c>
      <c r="L1416" s="1">
        <v>42226</v>
      </c>
      <c r="M1416" s="1">
        <v>42270</v>
      </c>
    </row>
    <row r="1417" spans="2:13" x14ac:dyDescent="0.25">
      <c r="B1417" t="s">
        <v>1143</v>
      </c>
      <c r="C1417" t="s">
        <v>0</v>
      </c>
      <c r="D1417" t="s">
        <v>1</v>
      </c>
      <c r="E1417">
        <v>644465</v>
      </c>
      <c r="F1417" t="s">
        <v>134</v>
      </c>
      <c r="H1417" t="s">
        <v>262</v>
      </c>
      <c r="L1417" s="1">
        <v>42192</v>
      </c>
      <c r="M1417" s="1">
        <v>42240</v>
      </c>
    </row>
    <row r="1418" spans="2:13" x14ac:dyDescent="0.25">
      <c r="B1418" t="s">
        <v>1142</v>
      </c>
      <c r="C1418" t="s">
        <v>0</v>
      </c>
      <c r="D1418" t="s">
        <v>1</v>
      </c>
      <c r="E1418">
        <v>631480</v>
      </c>
      <c r="F1418" t="s">
        <v>1067</v>
      </c>
      <c r="H1418" t="s">
        <v>245</v>
      </c>
      <c r="L1418" s="1">
        <v>41582</v>
      </c>
      <c r="M1418" s="1">
        <v>41918</v>
      </c>
    </row>
    <row r="1419" spans="2:13" x14ac:dyDescent="0.25">
      <c r="B1419" t="s">
        <v>1141</v>
      </c>
      <c r="C1419" t="s">
        <v>100</v>
      </c>
      <c r="D1419" t="s">
        <v>50</v>
      </c>
      <c r="E1419">
        <v>631221</v>
      </c>
      <c r="F1419" t="s">
        <v>1067</v>
      </c>
      <c r="H1419" t="s">
        <v>230</v>
      </c>
      <c r="L1419" s="1">
        <v>41582</v>
      </c>
    </row>
    <row r="1420" spans="2:13" x14ac:dyDescent="0.25">
      <c r="B1420" t="s">
        <v>1140</v>
      </c>
      <c r="C1420" t="s">
        <v>0</v>
      </c>
      <c r="D1420" t="s">
        <v>1</v>
      </c>
      <c r="E1420">
        <v>650965</v>
      </c>
      <c r="F1420" t="s">
        <v>134</v>
      </c>
      <c r="H1420" t="s">
        <v>214</v>
      </c>
      <c r="L1420" s="1">
        <v>42390</v>
      </c>
      <c r="M1420" s="1">
        <v>42446</v>
      </c>
    </row>
    <row r="1421" spans="2:13" x14ac:dyDescent="0.25">
      <c r="B1421" t="s">
        <v>1139</v>
      </c>
      <c r="C1421" t="s">
        <v>0</v>
      </c>
      <c r="D1421" t="s">
        <v>1</v>
      </c>
      <c r="E1421">
        <v>633901</v>
      </c>
      <c r="F1421" t="s">
        <v>134</v>
      </c>
      <c r="H1421" t="s">
        <v>214</v>
      </c>
      <c r="L1421" s="1">
        <v>41913</v>
      </c>
      <c r="M1421" s="1">
        <v>41981</v>
      </c>
    </row>
    <row r="1422" spans="2:13" x14ac:dyDescent="0.25">
      <c r="B1422" t="s">
        <v>1137</v>
      </c>
      <c r="C1422" t="s">
        <v>0</v>
      </c>
      <c r="D1422" t="s">
        <v>1</v>
      </c>
      <c r="E1422">
        <v>631494</v>
      </c>
      <c r="F1422" t="s">
        <v>134</v>
      </c>
      <c r="H1422" t="s">
        <v>1138</v>
      </c>
      <c r="L1422" s="1">
        <v>41823</v>
      </c>
      <c r="M1422" s="1">
        <v>41918</v>
      </c>
    </row>
    <row r="1423" spans="2:13" x14ac:dyDescent="0.25">
      <c r="B1423" t="s">
        <v>1135</v>
      </c>
      <c r="C1423" t="s">
        <v>0</v>
      </c>
      <c r="D1423" t="s">
        <v>1</v>
      </c>
      <c r="E1423">
        <v>630598</v>
      </c>
      <c r="F1423" t="s">
        <v>134</v>
      </c>
      <c r="H1423" t="s">
        <v>1136</v>
      </c>
      <c r="L1423" s="1">
        <v>41816</v>
      </c>
      <c r="M1423" s="1">
        <v>41897</v>
      </c>
    </row>
    <row r="1424" spans="2:13" x14ac:dyDescent="0.25">
      <c r="B1424" t="s">
        <v>1134</v>
      </c>
      <c r="C1424" t="s">
        <v>0</v>
      </c>
      <c r="D1424" t="s">
        <v>1</v>
      </c>
      <c r="E1424">
        <v>662745</v>
      </c>
      <c r="F1424" t="s">
        <v>134</v>
      </c>
      <c r="H1424" t="s">
        <v>169</v>
      </c>
      <c r="L1424" s="1">
        <v>42788</v>
      </c>
      <c r="M1424" s="1">
        <v>42837</v>
      </c>
    </row>
    <row r="1425" spans="2:13" x14ac:dyDescent="0.25">
      <c r="B1425" t="s">
        <v>1133</v>
      </c>
      <c r="C1425" t="s">
        <v>0</v>
      </c>
      <c r="D1425" t="s">
        <v>1</v>
      </c>
      <c r="E1425">
        <v>659783</v>
      </c>
      <c r="F1425" t="s">
        <v>134</v>
      </c>
      <c r="H1425" t="s">
        <v>169</v>
      </c>
      <c r="L1425" s="1">
        <v>42682</v>
      </c>
      <c r="M1425" s="1">
        <v>42746</v>
      </c>
    </row>
    <row r="1426" spans="2:13" x14ac:dyDescent="0.25">
      <c r="B1426" t="s">
        <v>1132</v>
      </c>
      <c r="C1426" t="s">
        <v>100</v>
      </c>
      <c r="D1426" t="s">
        <v>50</v>
      </c>
      <c r="E1426">
        <v>658487</v>
      </c>
      <c r="F1426" t="s">
        <v>145</v>
      </c>
      <c r="H1426" t="s">
        <v>169</v>
      </c>
      <c r="L1426" s="1">
        <v>42459</v>
      </c>
    </row>
    <row r="1427" spans="2:13" x14ac:dyDescent="0.25">
      <c r="B1427" t="s">
        <v>1131</v>
      </c>
      <c r="C1427" t="s">
        <v>0</v>
      </c>
      <c r="D1427" t="s">
        <v>1</v>
      </c>
      <c r="E1427">
        <v>634277</v>
      </c>
      <c r="F1427" t="s">
        <v>143</v>
      </c>
      <c r="H1427" t="s">
        <v>169</v>
      </c>
      <c r="L1427" s="1">
        <v>41851</v>
      </c>
      <c r="M1427" s="1">
        <v>41991</v>
      </c>
    </row>
    <row r="1428" spans="2:13" x14ac:dyDescent="0.25">
      <c r="B1428" t="s">
        <v>1129</v>
      </c>
      <c r="C1428" t="s">
        <v>0</v>
      </c>
      <c r="D1428" t="s">
        <v>1</v>
      </c>
      <c r="E1428">
        <v>655520</v>
      </c>
      <c r="F1428" t="s">
        <v>134</v>
      </c>
      <c r="H1428" t="s">
        <v>1130</v>
      </c>
      <c r="L1428" s="1">
        <v>42425</v>
      </c>
      <c r="M1428" s="1">
        <v>42606</v>
      </c>
    </row>
    <row r="1434" spans="2:13" x14ac:dyDescent="0.25">
      <c r="B1434" t="s">
        <v>546</v>
      </c>
      <c r="C1434" t="s">
        <v>139</v>
      </c>
      <c r="F1434" t="s">
        <v>177</v>
      </c>
      <c r="H1434" t="s">
        <v>545</v>
      </c>
      <c r="L1434" s="1">
        <v>42853</v>
      </c>
      <c r="M1434" s="1">
        <v>42881</v>
      </c>
    </row>
    <row r="1435" spans="2:13" x14ac:dyDescent="0.25">
      <c r="B1435" t="s">
        <v>1128</v>
      </c>
      <c r="C1435" t="s">
        <v>0</v>
      </c>
      <c r="D1435" t="s">
        <v>1</v>
      </c>
      <c r="E1435">
        <v>654067</v>
      </c>
      <c r="F1435" t="s">
        <v>134</v>
      </c>
      <c r="H1435" t="s">
        <v>522</v>
      </c>
      <c r="L1435" s="1">
        <v>42494</v>
      </c>
      <c r="M1435" s="1">
        <v>42558</v>
      </c>
    </row>
    <row r="1436" spans="2:13" x14ac:dyDescent="0.25">
      <c r="B1436" t="s">
        <v>1127</v>
      </c>
      <c r="C1436" t="s">
        <v>0</v>
      </c>
      <c r="D1436" t="s">
        <v>1</v>
      </c>
      <c r="E1436">
        <v>652975</v>
      </c>
      <c r="F1436" t="s">
        <v>134</v>
      </c>
      <c r="H1436" t="s">
        <v>522</v>
      </c>
      <c r="L1436" s="1">
        <v>42419</v>
      </c>
      <c r="M1436" s="1">
        <v>42515</v>
      </c>
    </row>
    <row r="1437" spans="2:13" x14ac:dyDescent="0.25">
      <c r="B1437" t="s">
        <v>1126</v>
      </c>
      <c r="C1437" t="s">
        <v>100</v>
      </c>
      <c r="D1437" t="s">
        <v>50</v>
      </c>
      <c r="E1437">
        <v>651980</v>
      </c>
      <c r="F1437" t="s">
        <v>177</v>
      </c>
      <c r="H1437" t="s">
        <v>522</v>
      </c>
      <c r="L1437" s="1">
        <v>42318</v>
      </c>
    </row>
    <row r="1438" spans="2:13" x14ac:dyDescent="0.25">
      <c r="B1438" t="s">
        <v>1125</v>
      </c>
      <c r="C1438" t="s">
        <v>100</v>
      </c>
      <c r="D1438" t="s">
        <v>50</v>
      </c>
      <c r="E1438">
        <v>662645</v>
      </c>
      <c r="F1438" t="s">
        <v>177</v>
      </c>
      <c r="H1438" t="s">
        <v>522</v>
      </c>
      <c r="L1438" s="1">
        <v>42314</v>
      </c>
    </row>
    <row r="1439" spans="2:13" x14ac:dyDescent="0.25">
      <c r="B1439" t="s">
        <v>1124</v>
      </c>
      <c r="C1439" t="s">
        <v>0</v>
      </c>
      <c r="D1439" t="s">
        <v>1</v>
      </c>
      <c r="E1439">
        <v>652081</v>
      </c>
      <c r="F1439" t="s">
        <v>177</v>
      </c>
      <c r="H1439" t="s">
        <v>509</v>
      </c>
      <c r="L1439" s="1">
        <v>42352</v>
      </c>
      <c r="M1439" s="1">
        <v>42486</v>
      </c>
    </row>
    <row r="1440" spans="2:13" x14ac:dyDescent="0.25">
      <c r="B1440" t="s">
        <v>1123</v>
      </c>
      <c r="C1440" t="s">
        <v>100</v>
      </c>
      <c r="D1440" t="s">
        <v>50</v>
      </c>
      <c r="E1440">
        <v>657847</v>
      </c>
      <c r="F1440" t="s">
        <v>177</v>
      </c>
      <c r="H1440" t="s">
        <v>509</v>
      </c>
      <c r="L1440" s="1">
        <v>42352</v>
      </c>
    </row>
    <row r="1441" spans="2:13" x14ac:dyDescent="0.25">
      <c r="B1441" t="s">
        <v>1122</v>
      </c>
      <c r="C1441" t="s">
        <v>100</v>
      </c>
      <c r="D1441" t="s">
        <v>50</v>
      </c>
      <c r="E1441">
        <v>654122</v>
      </c>
      <c r="F1441" t="s">
        <v>134</v>
      </c>
      <c r="H1441" t="s">
        <v>509</v>
      </c>
      <c r="L1441" s="1">
        <v>42347</v>
      </c>
    </row>
    <row r="1442" spans="2:13" x14ac:dyDescent="0.25">
      <c r="B1442" t="s">
        <v>497</v>
      </c>
      <c r="C1442" t="s">
        <v>139</v>
      </c>
      <c r="F1442" t="s">
        <v>177</v>
      </c>
      <c r="H1442" t="s">
        <v>495</v>
      </c>
      <c r="L1442" s="1">
        <v>42594</v>
      </c>
      <c r="M1442" s="1">
        <v>42814</v>
      </c>
    </row>
    <row r="1443" spans="2:13" x14ac:dyDescent="0.25">
      <c r="B1443" t="s">
        <v>496</v>
      </c>
      <c r="C1443" t="s">
        <v>76</v>
      </c>
      <c r="F1443" t="s">
        <v>134</v>
      </c>
      <c r="H1443" t="s">
        <v>495</v>
      </c>
      <c r="L1443" s="1">
        <v>42474</v>
      </c>
      <c r="M1443" s="1">
        <v>42758</v>
      </c>
    </row>
    <row r="1444" spans="2:13" x14ac:dyDescent="0.25">
      <c r="B1444" t="s">
        <v>1121</v>
      </c>
      <c r="C1444" t="s">
        <v>0</v>
      </c>
      <c r="D1444" t="s">
        <v>1</v>
      </c>
      <c r="E1444">
        <v>654849</v>
      </c>
      <c r="F1444" t="s">
        <v>134</v>
      </c>
      <c r="H1444" t="s">
        <v>488</v>
      </c>
      <c r="L1444" s="1">
        <v>42530</v>
      </c>
      <c r="M1444" s="1">
        <v>42583</v>
      </c>
    </row>
    <row r="1445" spans="2:13" x14ac:dyDescent="0.25">
      <c r="B1445" t="s">
        <v>1120</v>
      </c>
      <c r="C1445" t="s">
        <v>0</v>
      </c>
      <c r="D1445" t="s">
        <v>1</v>
      </c>
      <c r="E1445">
        <v>651996</v>
      </c>
      <c r="F1445" t="s">
        <v>134</v>
      </c>
      <c r="H1445" t="s">
        <v>488</v>
      </c>
      <c r="L1445" s="1">
        <v>42423</v>
      </c>
      <c r="M1445" s="1">
        <v>42481</v>
      </c>
    </row>
    <row r="1446" spans="2:13" x14ac:dyDescent="0.25">
      <c r="B1446" t="s">
        <v>1119</v>
      </c>
      <c r="C1446" t="s">
        <v>0</v>
      </c>
      <c r="D1446" t="s">
        <v>1</v>
      </c>
      <c r="E1446">
        <v>651570</v>
      </c>
      <c r="F1446" t="s">
        <v>147</v>
      </c>
      <c r="H1446" t="s">
        <v>488</v>
      </c>
      <c r="L1446" s="1">
        <v>42419</v>
      </c>
      <c r="M1446" s="1">
        <v>42467</v>
      </c>
    </row>
    <row r="1447" spans="2:13" x14ac:dyDescent="0.25">
      <c r="B1447" t="s">
        <v>1118</v>
      </c>
      <c r="C1447" t="s">
        <v>0</v>
      </c>
      <c r="D1447" t="s">
        <v>1</v>
      </c>
      <c r="E1447">
        <v>654298</v>
      </c>
      <c r="F1447" t="s">
        <v>147</v>
      </c>
      <c r="H1447" t="s">
        <v>477</v>
      </c>
      <c r="L1447" s="1">
        <v>42487</v>
      </c>
      <c r="M1447" s="1">
        <v>42565</v>
      </c>
    </row>
    <row r="1448" spans="2:13" x14ac:dyDescent="0.25">
      <c r="B1448" t="s">
        <v>1117</v>
      </c>
      <c r="C1448" t="s">
        <v>0</v>
      </c>
      <c r="D1448" t="s">
        <v>1</v>
      </c>
      <c r="E1448">
        <v>649605</v>
      </c>
      <c r="F1448" t="s">
        <v>68</v>
      </c>
      <c r="H1448" t="s">
        <v>477</v>
      </c>
      <c r="L1448" s="1">
        <v>42332</v>
      </c>
      <c r="M1448" s="1">
        <v>42408</v>
      </c>
    </row>
    <row r="1449" spans="2:13" x14ac:dyDescent="0.25">
      <c r="B1449" t="s">
        <v>465</v>
      </c>
      <c r="C1449" t="s">
        <v>139</v>
      </c>
      <c r="F1449" t="s">
        <v>134</v>
      </c>
      <c r="H1449" t="s">
        <v>466</v>
      </c>
      <c r="L1449" s="1">
        <v>42733</v>
      </c>
      <c r="M1449" s="1">
        <v>42898</v>
      </c>
    </row>
    <row r="1450" spans="2:13" x14ac:dyDescent="0.25">
      <c r="B1450" t="s">
        <v>1116</v>
      </c>
      <c r="C1450" t="s">
        <v>0</v>
      </c>
      <c r="D1450" t="s">
        <v>1</v>
      </c>
      <c r="E1450">
        <v>659531</v>
      </c>
      <c r="F1450" t="s">
        <v>147</v>
      </c>
      <c r="H1450" t="s">
        <v>466</v>
      </c>
      <c r="L1450" s="1">
        <v>42689</v>
      </c>
      <c r="M1450" s="1">
        <v>42738</v>
      </c>
    </row>
    <row r="1451" spans="2:13" x14ac:dyDescent="0.25">
      <c r="B1451" t="s">
        <v>1115</v>
      </c>
      <c r="C1451" t="s">
        <v>0</v>
      </c>
      <c r="D1451" t="s">
        <v>1</v>
      </c>
      <c r="E1451">
        <v>656760</v>
      </c>
      <c r="F1451" t="s">
        <v>134</v>
      </c>
      <c r="H1451" t="s">
        <v>466</v>
      </c>
      <c r="L1451" s="1">
        <v>42577</v>
      </c>
      <c r="M1451" s="1">
        <v>42653</v>
      </c>
    </row>
    <row r="1452" spans="2:13" x14ac:dyDescent="0.25">
      <c r="B1452" t="s">
        <v>1114</v>
      </c>
      <c r="C1452" t="s">
        <v>0</v>
      </c>
      <c r="D1452" t="s">
        <v>1</v>
      </c>
      <c r="E1452">
        <v>656236</v>
      </c>
      <c r="F1452" t="s">
        <v>147</v>
      </c>
      <c r="H1452" t="s">
        <v>466</v>
      </c>
      <c r="L1452" s="1">
        <v>42522</v>
      </c>
      <c r="M1452" s="1">
        <v>42634</v>
      </c>
    </row>
    <row r="1453" spans="2:13" x14ac:dyDescent="0.25">
      <c r="B1453" t="s">
        <v>1113</v>
      </c>
      <c r="C1453" t="s">
        <v>0</v>
      </c>
      <c r="D1453" t="s">
        <v>1</v>
      </c>
      <c r="E1453">
        <v>648305</v>
      </c>
      <c r="F1453" t="s">
        <v>134</v>
      </c>
      <c r="H1453" t="s">
        <v>452</v>
      </c>
      <c r="L1453" s="1">
        <v>42328</v>
      </c>
      <c r="M1453" s="1">
        <v>42374</v>
      </c>
    </row>
    <row r="1454" spans="2:13" x14ac:dyDescent="0.25">
      <c r="B1454" t="s">
        <v>1112</v>
      </c>
      <c r="C1454" t="s">
        <v>0</v>
      </c>
      <c r="D1454" t="s">
        <v>1</v>
      </c>
      <c r="E1454">
        <v>650902</v>
      </c>
      <c r="F1454" t="s">
        <v>147</v>
      </c>
      <c r="H1454" t="s">
        <v>445</v>
      </c>
      <c r="L1454" s="1">
        <v>42418</v>
      </c>
      <c r="M1454" s="1">
        <v>42445</v>
      </c>
    </row>
    <row r="1455" spans="2:13" x14ac:dyDescent="0.25">
      <c r="B1455" t="s">
        <v>1111</v>
      </c>
      <c r="C1455" t="s">
        <v>0</v>
      </c>
      <c r="D1455" t="s">
        <v>1</v>
      </c>
      <c r="E1455">
        <v>648115</v>
      </c>
      <c r="F1455" t="s">
        <v>134</v>
      </c>
      <c r="H1455" t="s">
        <v>445</v>
      </c>
      <c r="L1455" s="1">
        <v>42306</v>
      </c>
      <c r="M1455" s="1">
        <v>42366</v>
      </c>
    </row>
    <row r="1456" spans="2:13" x14ac:dyDescent="0.25">
      <c r="B1456" t="s">
        <v>1110</v>
      </c>
      <c r="C1456" t="s">
        <v>0</v>
      </c>
      <c r="D1456" t="s">
        <v>1</v>
      </c>
      <c r="E1456">
        <v>652396</v>
      </c>
      <c r="F1456" t="s">
        <v>134</v>
      </c>
      <c r="H1456" t="s">
        <v>436</v>
      </c>
      <c r="L1456" s="1">
        <v>42432</v>
      </c>
      <c r="M1456" s="1">
        <v>42495</v>
      </c>
    </row>
    <row r="1457" spans="2:13" x14ac:dyDescent="0.25">
      <c r="B1457" t="s">
        <v>416</v>
      </c>
      <c r="C1457" t="s">
        <v>76</v>
      </c>
      <c r="F1457" t="s">
        <v>147</v>
      </c>
      <c r="H1457" t="s">
        <v>428</v>
      </c>
      <c r="L1457" s="1">
        <v>42837</v>
      </c>
      <c r="M1457" s="1">
        <v>42877</v>
      </c>
    </row>
    <row r="1458" spans="2:13" x14ac:dyDescent="0.25">
      <c r="B1458" t="s">
        <v>1109</v>
      </c>
      <c r="C1458" t="s">
        <v>0</v>
      </c>
      <c r="D1458" t="s">
        <v>1</v>
      </c>
      <c r="E1458">
        <v>651864</v>
      </c>
      <c r="F1458" t="s">
        <v>134</v>
      </c>
      <c r="H1458" t="s">
        <v>428</v>
      </c>
      <c r="L1458" s="1">
        <v>42429</v>
      </c>
      <c r="M1458" s="1">
        <v>42478</v>
      </c>
    </row>
    <row r="1459" spans="2:13" x14ac:dyDescent="0.25">
      <c r="B1459" t="s">
        <v>1108</v>
      </c>
      <c r="C1459" t="s">
        <v>0</v>
      </c>
      <c r="D1459" t="s">
        <v>1</v>
      </c>
      <c r="E1459">
        <v>648170</v>
      </c>
      <c r="F1459" t="s">
        <v>134</v>
      </c>
      <c r="H1459" t="s">
        <v>428</v>
      </c>
      <c r="L1459" s="1">
        <v>42275</v>
      </c>
      <c r="M1459" s="1">
        <v>42367</v>
      </c>
    </row>
    <row r="1460" spans="2:13" x14ac:dyDescent="0.25">
      <c r="B1460" t="s">
        <v>416</v>
      </c>
      <c r="C1460" t="s">
        <v>76</v>
      </c>
      <c r="F1460" t="s">
        <v>147</v>
      </c>
      <c r="H1460" t="s">
        <v>415</v>
      </c>
      <c r="L1460" s="1">
        <v>42837</v>
      </c>
      <c r="M1460" s="1">
        <v>42877</v>
      </c>
    </row>
    <row r="1461" spans="2:13" x14ac:dyDescent="0.25">
      <c r="B1461" t="s">
        <v>1107</v>
      </c>
      <c r="C1461" t="s">
        <v>0</v>
      </c>
      <c r="D1461" t="s">
        <v>1</v>
      </c>
      <c r="E1461">
        <v>650530</v>
      </c>
      <c r="F1461" t="s">
        <v>147</v>
      </c>
      <c r="H1461" t="s">
        <v>415</v>
      </c>
      <c r="L1461" s="1">
        <v>42398</v>
      </c>
      <c r="M1461" s="1">
        <v>42436</v>
      </c>
    </row>
    <row r="1462" spans="2:13" x14ac:dyDescent="0.25">
      <c r="B1462" t="s">
        <v>1106</v>
      </c>
      <c r="C1462" t="s">
        <v>0</v>
      </c>
      <c r="D1462" t="s">
        <v>1</v>
      </c>
      <c r="E1462">
        <v>649274</v>
      </c>
      <c r="F1462" t="s">
        <v>134</v>
      </c>
      <c r="H1462" t="s">
        <v>415</v>
      </c>
      <c r="L1462" s="1">
        <v>42299</v>
      </c>
      <c r="M1462" s="1">
        <v>42401</v>
      </c>
    </row>
    <row r="1463" spans="2:13" x14ac:dyDescent="0.25">
      <c r="B1463" t="s">
        <v>407</v>
      </c>
      <c r="C1463" t="s">
        <v>139</v>
      </c>
      <c r="F1463" t="s">
        <v>134</v>
      </c>
      <c r="H1463" t="s">
        <v>406</v>
      </c>
      <c r="L1463" s="1">
        <v>42871</v>
      </c>
    </row>
    <row r="1464" spans="2:13" x14ac:dyDescent="0.25">
      <c r="B1464" t="s">
        <v>1105</v>
      </c>
      <c r="C1464" t="s">
        <v>0</v>
      </c>
      <c r="D1464" t="s">
        <v>1</v>
      </c>
      <c r="E1464">
        <v>655529</v>
      </c>
      <c r="F1464" t="s">
        <v>134</v>
      </c>
      <c r="H1464" t="s">
        <v>1104</v>
      </c>
      <c r="L1464" s="1">
        <v>42516</v>
      </c>
      <c r="M1464" s="1">
        <v>42606</v>
      </c>
    </row>
    <row r="1465" spans="2:13" x14ac:dyDescent="0.25">
      <c r="B1465" t="s">
        <v>1103</v>
      </c>
      <c r="C1465" t="s">
        <v>0</v>
      </c>
      <c r="D1465" t="s">
        <v>1</v>
      </c>
      <c r="E1465">
        <v>651866</v>
      </c>
      <c r="F1465" t="s">
        <v>134</v>
      </c>
      <c r="H1465" t="s">
        <v>1104</v>
      </c>
      <c r="L1465" s="1">
        <v>42431</v>
      </c>
      <c r="M1465" s="1">
        <v>42478</v>
      </c>
    </row>
    <row r="1466" spans="2:13" x14ac:dyDescent="0.25">
      <c r="B1466" t="s">
        <v>1102</v>
      </c>
      <c r="C1466" t="s">
        <v>0</v>
      </c>
      <c r="D1466" t="s">
        <v>1</v>
      </c>
      <c r="E1466">
        <v>652589</v>
      </c>
      <c r="F1466" t="s">
        <v>134</v>
      </c>
      <c r="H1466" t="s">
        <v>1101</v>
      </c>
      <c r="L1466" s="1">
        <v>42452</v>
      </c>
      <c r="M1466" s="1">
        <v>42502</v>
      </c>
    </row>
    <row r="1467" spans="2:13" x14ac:dyDescent="0.25">
      <c r="B1467" t="s">
        <v>1100</v>
      </c>
      <c r="C1467" t="s">
        <v>0</v>
      </c>
      <c r="D1467" t="s">
        <v>1</v>
      </c>
      <c r="E1467">
        <v>648986</v>
      </c>
      <c r="F1467" t="s">
        <v>134</v>
      </c>
      <c r="H1467" t="s">
        <v>1101</v>
      </c>
      <c r="L1467" s="1">
        <v>42285</v>
      </c>
      <c r="M1467" s="1">
        <v>42394</v>
      </c>
    </row>
    <row r="1468" spans="2:13" x14ac:dyDescent="0.25">
      <c r="B1468" t="s">
        <v>1099</v>
      </c>
      <c r="C1468" t="s">
        <v>0</v>
      </c>
      <c r="D1468" t="s">
        <v>1</v>
      </c>
      <c r="E1468">
        <v>659805</v>
      </c>
      <c r="F1468" t="s">
        <v>134</v>
      </c>
      <c r="H1468" t="s">
        <v>381</v>
      </c>
      <c r="L1468" s="1">
        <v>42704</v>
      </c>
      <c r="M1468" s="1">
        <v>42746</v>
      </c>
    </row>
    <row r="1469" spans="2:13" x14ac:dyDescent="0.25">
      <c r="B1469" t="s">
        <v>1098</v>
      </c>
      <c r="C1469" t="s">
        <v>0</v>
      </c>
      <c r="D1469" t="s">
        <v>1</v>
      </c>
      <c r="E1469">
        <v>656765</v>
      </c>
      <c r="F1469" t="s">
        <v>134</v>
      </c>
      <c r="H1469" t="s">
        <v>381</v>
      </c>
      <c r="L1469" s="1">
        <v>42605</v>
      </c>
      <c r="M1469" s="1">
        <v>42653</v>
      </c>
    </row>
    <row r="1470" spans="2:13" x14ac:dyDescent="0.25">
      <c r="B1470" t="s">
        <v>1097</v>
      </c>
      <c r="C1470" t="s">
        <v>0</v>
      </c>
      <c r="D1470" t="s">
        <v>1</v>
      </c>
      <c r="E1470">
        <v>659851</v>
      </c>
      <c r="F1470" t="s">
        <v>134</v>
      </c>
      <c r="H1470" t="s">
        <v>1096</v>
      </c>
      <c r="L1470" s="1">
        <v>42704</v>
      </c>
      <c r="M1470" s="1">
        <v>42747</v>
      </c>
    </row>
    <row r="1471" spans="2:13" x14ac:dyDescent="0.25">
      <c r="B1471" t="s">
        <v>1095</v>
      </c>
      <c r="C1471" t="s">
        <v>0</v>
      </c>
      <c r="D1471" t="s">
        <v>1</v>
      </c>
      <c r="E1471">
        <v>653474</v>
      </c>
      <c r="F1471" t="s">
        <v>134</v>
      </c>
      <c r="H1471" t="s">
        <v>1096</v>
      </c>
      <c r="L1471" s="1">
        <v>42452</v>
      </c>
      <c r="M1471" s="1">
        <v>42535</v>
      </c>
    </row>
    <row r="1472" spans="2:13" x14ac:dyDescent="0.25">
      <c r="B1472" t="s">
        <v>1094</v>
      </c>
      <c r="C1472" t="s">
        <v>100</v>
      </c>
      <c r="D1472" t="s">
        <v>50</v>
      </c>
      <c r="E1472">
        <v>658866</v>
      </c>
      <c r="F1472" t="s">
        <v>134</v>
      </c>
      <c r="H1472" t="s">
        <v>368</v>
      </c>
      <c r="L1472" s="1">
        <v>42669</v>
      </c>
    </row>
    <row r="1473" spans="2:13" x14ac:dyDescent="0.25">
      <c r="B1473" t="s">
        <v>1093</v>
      </c>
      <c r="C1473" t="s">
        <v>0</v>
      </c>
      <c r="D1473" t="s">
        <v>1</v>
      </c>
      <c r="E1473">
        <v>654642</v>
      </c>
      <c r="F1473" t="s">
        <v>147</v>
      </c>
      <c r="H1473" t="s">
        <v>368</v>
      </c>
      <c r="L1473" s="1">
        <v>42543</v>
      </c>
      <c r="M1473" s="1">
        <v>42576</v>
      </c>
    </row>
    <row r="1474" spans="2:13" x14ac:dyDescent="0.25">
      <c r="B1474" t="s">
        <v>1092</v>
      </c>
      <c r="C1474" t="s">
        <v>0</v>
      </c>
      <c r="D1474" t="s">
        <v>1</v>
      </c>
      <c r="E1474">
        <v>653816</v>
      </c>
      <c r="F1474" t="s">
        <v>134</v>
      </c>
      <c r="H1474" t="s">
        <v>368</v>
      </c>
      <c r="L1474" s="1">
        <v>42396</v>
      </c>
      <c r="M1474" s="1">
        <v>42549</v>
      </c>
    </row>
    <row r="1475" spans="2:13" x14ac:dyDescent="0.25">
      <c r="B1475" t="s">
        <v>1091</v>
      </c>
      <c r="C1475" t="s">
        <v>0</v>
      </c>
      <c r="D1475" t="s">
        <v>1</v>
      </c>
      <c r="E1475">
        <v>657231</v>
      </c>
      <c r="F1475" t="s">
        <v>134</v>
      </c>
      <c r="H1475" t="s">
        <v>1090</v>
      </c>
      <c r="L1475" s="1">
        <v>42597</v>
      </c>
      <c r="M1475" s="1">
        <v>42668</v>
      </c>
    </row>
    <row r="1476" spans="2:13" x14ac:dyDescent="0.25">
      <c r="B1476" t="s">
        <v>1089</v>
      </c>
      <c r="C1476" t="s">
        <v>0</v>
      </c>
      <c r="D1476" t="s">
        <v>1</v>
      </c>
      <c r="E1476">
        <v>653084</v>
      </c>
      <c r="F1476" t="s">
        <v>134</v>
      </c>
      <c r="H1476" t="s">
        <v>1090</v>
      </c>
      <c r="L1476" s="1">
        <v>42473</v>
      </c>
      <c r="M1476" s="1">
        <v>42570</v>
      </c>
    </row>
    <row r="1477" spans="2:13" x14ac:dyDescent="0.25">
      <c r="B1477" t="s">
        <v>1087</v>
      </c>
      <c r="C1477" t="s">
        <v>0</v>
      </c>
      <c r="D1477" t="s">
        <v>1</v>
      </c>
      <c r="E1477">
        <v>644916</v>
      </c>
      <c r="F1477" t="s">
        <v>134</v>
      </c>
      <c r="H1477" t="s">
        <v>1088</v>
      </c>
      <c r="L1477" s="1">
        <v>42181</v>
      </c>
      <c r="M1477" s="1">
        <v>42255</v>
      </c>
    </row>
    <row r="1478" spans="2:13" x14ac:dyDescent="0.25">
      <c r="B1478" t="s">
        <v>1085</v>
      </c>
      <c r="C1478" t="s">
        <v>0</v>
      </c>
      <c r="D1478" t="s">
        <v>1</v>
      </c>
      <c r="E1478">
        <v>644071</v>
      </c>
      <c r="F1478" t="s">
        <v>134</v>
      </c>
      <c r="H1478" t="s">
        <v>1086</v>
      </c>
      <c r="L1478" s="1">
        <v>42142</v>
      </c>
      <c r="M1478" s="1">
        <v>42227</v>
      </c>
    </row>
    <row r="1479" spans="2:13" x14ac:dyDescent="0.25">
      <c r="B1479" t="s">
        <v>1084</v>
      </c>
      <c r="C1479" t="s">
        <v>0</v>
      </c>
      <c r="D1479" t="s">
        <v>1</v>
      </c>
      <c r="E1479">
        <v>633902</v>
      </c>
      <c r="F1479" t="s">
        <v>134</v>
      </c>
      <c r="H1479" t="s">
        <v>321</v>
      </c>
      <c r="L1479" s="1">
        <v>41913</v>
      </c>
      <c r="M1479" s="1">
        <v>41981</v>
      </c>
    </row>
    <row r="1480" spans="2:13" x14ac:dyDescent="0.25">
      <c r="B1480" t="s">
        <v>1082</v>
      </c>
      <c r="C1480" t="s">
        <v>0</v>
      </c>
      <c r="D1480" t="s">
        <v>1</v>
      </c>
      <c r="E1480">
        <v>616049</v>
      </c>
      <c r="F1480" t="s">
        <v>1083</v>
      </c>
      <c r="H1480" t="s">
        <v>307</v>
      </c>
      <c r="L1480" s="1">
        <v>41423</v>
      </c>
      <c r="M1480" s="1">
        <v>41535</v>
      </c>
    </row>
    <row r="1481" spans="2:13" x14ac:dyDescent="0.25">
      <c r="B1481" t="s">
        <v>1080</v>
      </c>
      <c r="C1481" t="s">
        <v>0</v>
      </c>
      <c r="D1481" t="s">
        <v>1</v>
      </c>
      <c r="E1481">
        <v>633912</v>
      </c>
      <c r="F1481" t="s">
        <v>134</v>
      </c>
      <c r="H1481" t="s">
        <v>1081</v>
      </c>
      <c r="L1481" s="1">
        <v>41925</v>
      </c>
      <c r="M1481" s="1">
        <v>41981</v>
      </c>
    </row>
    <row r="1482" spans="2:13" x14ac:dyDescent="0.25">
      <c r="B1482" t="s">
        <v>1079</v>
      </c>
      <c r="C1482" t="s">
        <v>0</v>
      </c>
      <c r="D1482" t="s">
        <v>1</v>
      </c>
      <c r="E1482">
        <v>604857</v>
      </c>
      <c r="F1482" t="s">
        <v>229</v>
      </c>
      <c r="H1482" t="s">
        <v>277</v>
      </c>
      <c r="L1482" s="1">
        <v>41201</v>
      </c>
      <c r="M1482" s="1">
        <v>41246</v>
      </c>
    </row>
    <row r="1483" spans="2:13" x14ac:dyDescent="0.25">
      <c r="B1483" t="s">
        <v>1078</v>
      </c>
      <c r="C1483" t="s">
        <v>0</v>
      </c>
      <c r="D1483" t="s">
        <v>1</v>
      </c>
      <c r="E1483">
        <v>649268</v>
      </c>
      <c r="F1483" t="s">
        <v>134</v>
      </c>
      <c r="H1483" t="s">
        <v>263</v>
      </c>
      <c r="L1483" s="1">
        <v>42263</v>
      </c>
      <c r="M1483" s="1">
        <v>42401</v>
      </c>
    </row>
    <row r="1484" spans="2:13" x14ac:dyDescent="0.25">
      <c r="B1484" t="s">
        <v>247</v>
      </c>
      <c r="C1484" t="s">
        <v>139</v>
      </c>
      <c r="F1484" t="s">
        <v>147</v>
      </c>
      <c r="H1484" t="s">
        <v>246</v>
      </c>
      <c r="L1484" s="1">
        <v>42872</v>
      </c>
    </row>
    <row r="1485" spans="2:13" x14ac:dyDescent="0.25">
      <c r="B1485" t="s">
        <v>1076</v>
      </c>
      <c r="C1485" t="s">
        <v>0</v>
      </c>
      <c r="D1485" t="s">
        <v>1</v>
      </c>
      <c r="E1485">
        <v>645096</v>
      </c>
      <c r="F1485" t="s">
        <v>1077</v>
      </c>
      <c r="H1485" t="s">
        <v>246</v>
      </c>
      <c r="L1485" s="1">
        <v>42207</v>
      </c>
      <c r="M1485" s="1">
        <v>42261</v>
      </c>
    </row>
    <row r="1486" spans="2:13" x14ac:dyDescent="0.25">
      <c r="B1486" t="s">
        <v>1075</v>
      </c>
      <c r="C1486" t="s">
        <v>0</v>
      </c>
      <c r="D1486" t="s">
        <v>1</v>
      </c>
      <c r="E1486">
        <v>656594</v>
      </c>
      <c r="F1486" t="s">
        <v>147</v>
      </c>
      <c r="H1486" t="s">
        <v>1073</v>
      </c>
      <c r="L1486" s="1">
        <v>42615</v>
      </c>
      <c r="M1486" s="1">
        <v>42646</v>
      </c>
    </row>
    <row r="1487" spans="2:13" x14ac:dyDescent="0.25">
      <c r="B1487" t="s">
        <v>1074</v>
      </c>
      <c r="C1487" t="s">
        <v>0</v>
      </c>
      <c r="D1487" t="s">
        <v>1</v>
      </c>
      <c r="E1487">
        <v>651910</v>
      </c>
      <c r="F1487" t="s">
        <v>147</v>
      </c>
      <c r="H1487" t="s">
        <v>1073</v>
      </c>
      <c r="L1487" s="1">
        <v>42453</v>
      </c>
      <c r="M1487" s="1">
        <v>42479</v>
      </c>
    </row>
    <row r="1488" spans="2:13" x14ac:dyDescent="0.25">
      <c r="B1488" t="s">
        <v>1072</v>
      </c>
      <c r="C1488" t="s">
        <v>0</v>
      </c>
      <c r="D1488" t="s">
        <v>1</v>
      </c>
      <c r="E1488">
        <v>652349</v>
      </c>
      <c r="F1488" t="s">
        <v>134</v>
      </c>
      <c r="H1488" t="s">
        <v>1073</v>
      </c>
      <c r="L1488" s="1">
        <v>42451</v>
      </c>
      <c r="M1488" s="1">
        <v>42494</v>
      </c>
    </row>
    <row r="1489" spans="2:13" x14ac:dyDescent="0.25">
      <c r="B1489" t="s">
        <v>215</v>
      </c>
      <c r="C1489" t="s">
        <v>140</v>
      </c>
      <c r="F1489" t="s">
        <v>177</v>
      </c>
      <c r="H1489" t="s">
        <v>216</v>
      </c>
      <c r="L1489" s="1">
        <v>42607</v>
      </c>
      <c r="M1489" s="1">
        <v>42905</v>
      </c>
    </row>
    <row r="1490" spans="2:13" x14ac:dyDescent="0.25">
      <c r="B1490" t="s">
        <v>1071</v>
      </c>
      <c r="C1490" t="s">
        <v>0</v>
      </c>
      <c r="D1490" t="s">
        <v>1</v>
      </c>
      <c r="E1490">
        <v>649786</v>
      </c>
      <c r="F1490" t="s">
        <v>147</v>
      </c>
      <c r="H1490" t="s">
        <v>216</v>
      </c>
      <c r="L1490" s="1">
        <v>42376</v>
      </c>
      <c r="M1490" s="1">
        <v>42411</v>
      </c>
    </row>
    <row r="1491" spans="2:13" x14ac:dyDescent="0.25">
      <c r="B1491" t="s">
        <v>1070</v>
      </c>
      <c r="C1491" t="s">
        <v>0</v>
      </c>
      <c r="D1491" t="s">
        <v>1</v>
      </c>
      <c r="E1491">
        <v>651556</v>
      </c>
      <c r="F1491" t="s">
        <v>134</v>
      </c>
      <c r="H1491" t="s">
        <v>216</v>
      </c>
      <c r="L1491" s="1">
        <v>42278</v>
      </c>
      <c r="M1491" s="1">
        <v>42467</v>
      </c>
    </row>
    <row r="1492" spans="2:13" x14ac:dyDescent="0.25">
      <c r="B1492" t="s">
        <v>202</v>
      </c>
      <c r="C1492" t="s">
        <v>76</v>
      </c>
      <c r="F1492" t="s">
        <v>147</v>
      </c>
      <c r="H1492" t="s">
        <v>201</v>
      </c>
      <c r="L1492" s="1">
        <v>42863</v>
      </c>
    </row>
    <row r="1493" spans="2:13" x14ac:dyDescent="0.25">
      <c r="B1493" t="s">
        <v>1069</v>
      </c>
      <c r="C1493" t="s">
        <v>0</v>
      </c>
      <c r="D1493" t="s">
        <v>1</v>
      </c>
      <c r="E1493">
        <v>655439</v>
      </c>
      <c r="F1493" t="s">
        <v>134</v>
      </c>
      <c r="H1493" t="s">
        <v>201</v>
      </c>
      <c r="L1493" s="1">
        <v>42474</v>
      </c>
      <c r="M1493" s="1">
        <v>42604</v>
      </c>
    </row>
    <row r="1494" spans="2:13" x14ac:dyDescent="0.25">
      <c r="B1494" t="s">
        <v>1068</v>
      </c>
      <c r="C1494" t="s">
        <v>0</v>
      </c>
      <c r="D1494" t="s">
        <v>1</v>
      </c>
      <c r="E1494">
        <v>651563</v>
      </c>
      <c r="F1494" t="s">
        <v>134</v>
      </c>
      <c r="H1494" t="s">
        <v>190</v>
      </c>
      <c r="L1494" s="1">
        <v>42396</v>
      </c>
      <c r="M1494" s="1">
        <v>42467</v>
      </c>
    </row>
    <row r="1495" spans="2:13" x14ac:dyDescent="0.25">
      <c r="B1495" t="s">
        <v>142</v>
      </c>
      <c r="C1495" t="s">
        <v>139</v>
      </c>
      <c r="F1495" t="s">
        <v>134</v>
      </c>
      <c r="H1495" t="s">
        <v>141</v>
      </c>
      <c r="L1495" s="1">
        <v>42872</v>
      </c>
    </row>
    <row r="1496" spans="2:13" x14ac:dyDescent="0.25">
      <c r="B1496" t="s">
        <v>1066</v>
      </c>
      <c r="C1496" t="s">
        <v>0</v>
      </c>
      <c r="D1496" t="s">
        <v>1</v>
      </c>
      <c r="E1496">
        <v>614131</v>
      </c>
      <c r="F1496" t="s">
        <v>1067</v>
      </c>
      <c r="H1496" t="s">
        <v>141</v>
      </c>
      <c r="L1496" s="1">
        <v>41415</v>
      </c>
      <c r="M1496" s="1">
        <v>41478</v>
      </c>
    </row>
    <row r="1502" spans="2:13" x14ac:dyDescent="0.25">
      <c r="B1502" t="s">
        <v>1065</v>
      </c>
      <c r="C1502" t="s">
        <v>0</v>
      </c>
      <c r="D1502" t="s">
        <v>1</v>
      </c>
      <c r="E1502">
        <v>660685</v>
      </c>
      <c r="F1502" t="s">
        <v>44</v>
      </c>
      <c r="H1502" t="s">
        <v>547</v>
      </c>
      <c r="L1502" s="1">
        <v>42653</v>
      </c>
      <c r="M1502" s="1">
        <v>42772</v>
      </c>
    </row>
    <row r="1503" spans="2:13" x14ac:dyDescent="0.25">
      <c r="B1503" t="s">
        <v>1063</v>
      </c>
      <c r="C1503" t="s">
        <v>0</v>
      </c>
      <c r="D1503" t="s">
        <v>1</v>
      </c>
      <c r="E1503">
        <v>636168</v>
      </c>
      <c r="F1503" t="s">
        <v>44</v>
      </c>
      <c r="H1503" t="s">
        <v>1064</v>
      </c>
      <c r="L1503" s="1">
        <v>41953</v>
      </c>
      <c r="M1503" s="1">
        <v>42040</v>
      </c>
    </row>
    <row r="1504" spans="2:13" x14ac:dyDescent="0.25">
      <c r="B1504" t="s">
        <v>1062</v>
      </c>
      <c r="C1504" t="s">
        <v>0</v>
      </c>
      <c r="D1504" t="s">
        <v>1</v>
      </c>
      <c r="E1504">
        <v>657433</v>
      </c>
      <c r="F1504" t="s">
        <v>44</v>
      </c>
      <c r="H1504" t="s">
        <v>1061</v>
      </c>
      <c r="L1504" s="1">
        <v>42269</v>
      </c>
      <c r="M1504" s="1">
        <v>42674</v>
      </c>
    </row>
    <row r="1505" spans="2:13" x14ac:dyDescent="0.25">
      <c r="B1505" t="s">
        <v>1060</v>
      </c>
      <c r="C1505" t="s">
        <v>100</v>
      </c>
      <c r="D1505" t="s">
        <v>50</v>
      </c>
      <c r="E1505">
        <v>650264</v>
      </c>
      <c r="F1505" t="s">
        <v>68</v>
      </c>
      <c r="H1505" t="s">
        <v>1061</v>
      </c>
      <c r="L1505" s="1">
        <v>42220</v>
      </c>
    </row>
    <row r="1506" spans="2:13" x14ac:dyDescent="0.25">
      <c r="B1506" t="s">
        <v>1059</v>
      </c>
      <c r="C1506" t="s">
        <v>0</v>
      </c>
      <c r="D1506" t="s">
        <v>1</v>
      </c>
      <c r="E1506">
        <v>657670</v>
      </c>
      <c r="F1506" t="s">
        <v>44</v>
      </c>
      <c r="H1506" t="s">
        <v>510</v>
      </c>
      <c r="L1506" s="1">
        <v>42612</v>
      </c>
      <c r="M1506" s="1">
        <v>42681</v>
      </c>
    </row>
    <row r="1507" spans="2:13" x14ac:dyDescent="0.25">
      <c r="B1507" t="s">
        <v>1057</v>
      </c>
      <c r="C1507" t="s">
        <v>0</v>
      </c>
      <c r="D1507" t="s">
        <v>1</v>
      </c>
      <c r="E1507">
        <v>652583</v>
      </c>
      <c r="F1507" t="s">
        <v>44</v>
      </c>
      <c r="H1507" t="s">
        <v>1058</v>
      </c>
      <c r="L1507" s="1">
        <v>42419</v>
      </c>
      <c r="M1507" s="1">
        <v>42502</v>
      </c>
    </row>
    <row r="1508" spans="2:13" x14ac:dyDescent="0.25">
      <c r="B1508" t="s">
        <v>1055</v>
      </c>
      <c r="C1508" t="s">
        <v>0</v>
      </c>
      <c r="D1508" t="s">
        <v>1</v>
      </c>
      <c r="E1508">
        <v>652004</v>
      </c>
      <c r="F1508" t="s">
        <v>44</v>
      </c>
      <c r="H1508" t="s">
        <v>1056</v>
      </c>
      <c r="L1508" s="1">
        <v>42446</v>
      </c>
      <c r="M1508" s="1">
        <v>42481</v>
      </c>
    </row>
    <row r="1509" spans="2:13" x14ac:dyDescent="0.25">
      <c r="B1509" t="s">
        <v>1054</v>
      </c>
      <c r="C1509" t="s">
        <v>0</v>
      </c>
      <c r="D1509" t="s">
        <v>1</v>
      </c>
      <c r="E1509">
        <v>655956</v>
      </c>
      <c r="F1509" t="s">
        <v>44</v>
      </c>
      <c r="H1509" t="s">
        <v>1053</v>
      </c>
      <c r="L1509" s="1">
        <v>42590</v>
      </c>
      <c r="M1509" s="1">
        <v>42621</v>
      </c>
    </row>
    <row r="1510" spans="2:13" x14ac:dyDescent="0.25">
      <c r="B1510" t="s">
        <v>1052</v>
      </c>
      <c r="C1510" t="s">
        <v>0</v>
      </c>
      <c r="D1510" t="s">
        <v>1</v>
      </c>
      <c r="E1510">
        <v>652003</v>
      </c>
      <c r="F1510" t="s">
        <v>44</v>
      </c>
      <c r="H1510" t="s">
        <v>1053</v>
      </c>
      <c r="L1510" s="1">
        <v>42446</v>
      </c>
      <c r="M1510" s="1">
        <v>42481</v>
      </c>
    </row>
    <row r="1511" spans="2:13" x14ac:dyDescent="0.25">
      <c r="B1511" t="s">
        <v>1051</v>
      </c>
      <c r="C1511" t="s">
        <v>0</v>
      </c>
      <c r="D1511" t="s">
        <v>1</v>
      </c>
      <c r="E1511">
        <v>652353</v>
      </c>
      <c r="F1511" t="s">
        <v>44</v>
      </c>
      <c r="H1511" t="s">
        <v>1050</v>
      </c>
      <c r="L1511" s="1">
        <v>42460</v>
      </c>
      <c r="M1511" s="1">
        <v>42494</v>
      </c>
    </row>
    <row r="1512" spans="2:13" x14ac:dyDescent="0.25">
      <c r="B1512" t="s">
        <v>1049</v>
      </c>
      <c r="C1512" t="s">
        <v>0</v>
      </c>
      <c r="F1512" t="s">
        <v>44</v>
      </c>
      <c r="H1512" t="s">
        <v>1050</v>
      </c>
      <c r="L1512" s="1">
        <v>42419</v>
      </c>
      <c r="M1512" s="1">
        <v>42473</v>
      </c>
    </row>
    <row r="1513" spans="2:13" x14ac:dyDescent="0.25">
      <c r="B1513" t="s">
        <v>1048</v>
      </c>
      <c r="C1513" t="s">
        <v>0</v>
      </c>
      <c r="D1513" t="s">
        <v>1</v>
      </c>
      <c r="E1513">
        <v>658455</v>
      </c>
      <c r="F1513" t="s">
        <v>44</v>
      </c>
      <c r="H1513" t="s">
        <v>453</v>
      </c>
      <c r="L1513" s="1">
        <v>42612</v>
      </c>
      <c r="M1513" s="1">
        <v>42704</v>
      </c>
    </row>
    <row r="1514" spans="2:13" x14ac:dyDescent="0.25">
      <c r="B1514" t="s">
        <v>1047</v>
      </c>
      <c r="C1514" t="s">
        <v>0</v>
      </c>
      <c r="D1514" t="s">
        <v>1</v>
      </c>
      <c r="E1514">
        <v>644707</v>
      </c>
      <c r="F1514" t="s">
        <v>177</v>
      </c>
      <c r="H1514" t="s">
        <v>1046</v>
      </c>
      <c r="L1514" s="1">
        <v>42072</v>
      </c>
      <c r="M1514" s="1">
        <v>42247</v>
      </c>
    </row>
    <row r="1515" spans="2:13" x14ac:dyDescent="0.25">
      <c r="B1515" t="s">
        <v>1045</v>
      </c>
      <c r="C1515" t="s">
        <v>0</v>
      </c>
      <c r="D1515" t="s">
        <v>1</v>
      </c>
      <c r="E1515">
        <v>644706</v>
      </c>
      <c r="F1515" t="s">
        <v>177</v>
      </c>
      <c r="H1515" t="s">
        <v>1046</v>
      </c>
      <c r="L1515" s="1">
        <v>42002</v>
      </c>
      <c r="M1515" s="1">
        <v>42247</v>
      </c>
    </row>
    <row r="1516" spans="2:13" x14ac:dyDescent="0.25">
      <c r="B1516" t="s">
        <v>1043</v>
      </c>
      <c r="C1516" t="s">
        <v>0</v>
      </c>
      <c r="D1516" t="s">
        <v>1</v>
      </c>
      <c r="E1516">
        <v>636167</v>
      </c>
      <c r="F1516" t="s">
        <v>44</v>
      </c>
      <c r="H1516" t="s">
        <v>1044</v>
      </c>
      <c r="L1516" s="1">
        <v>41953</v>
      </c>
      <c r="M1516" s="1">
        <v>42040</v>
      </c>
    </row>
    <row r="1517" spans="2:13" x14ac:dyDescent="0.25">
      <c r="B1517" t="s">
        <v>1042</v>
      </c>
      <c r="C1517" t="s">
        <v>0</v>
      </c>
      <c r="D1517" t="s">
        <v>1</v>
      </c>
      <c r="E1517">
        <v>652080</v>
      </c>
      <c r="F1517" t="s">
        <v>177</v>
      </c>
      <c r="H1517" t="s">
        <v>429</v>
      </c>
      <c r="L1517" s="1">
        <v>42361</v>
      </c>
      <c r="M1517" s="1">
        <v>42486</v>
      </c>
    </row>
    <row r="1518" spans="2:13" x14ac:dyDescent="0.25">
      <c r="B1518" t="s">
        <v>1041</v>
      </c>
      <c r="C1518" t="s">
        <v>100</v>
      </c>
      <c r="D1518" t="s">
        <v>50</v>
      </c>
      <c r="E1518">
        <v>652492</v>
      </c>
      <c r="F1518" t="s">
        <v>134</v>
      </c>
      <c r="H1518" t="s">
        <v>429</v>
      </c>
      <c r="L1518" s="1">
        <v>42306</v>
      </c>
    </row>
    <row r="1519" spans="2:13" x14ac:dyDescent="0.25">
      <c r="B1519" t="s">
        <v>1040</v>
      </c>
      <c r="C1519" t="s">
        <v>0</v>
      </c>
      <c r="D1519" t="s">
        <v>1</v>
      </c>
      <c r="E1519">
        <v>651856</v>
      </c>
      <c r="F1519" t="s">
        <v>177</v>
      </c>
      <c r="H1519" t="s">
        <v>417</v>
      </c>
      <c r="L1519" s="1">
        <v>42368</v>
      </c>
      <c r="M1519" s="1">
        <v>42478</v>
      </c>
    </row>
    <row r="1520" spans="2:13" x14ac:dyDescent="0.25">
      <c r="B1520" t="s">
        <v>409</v>
      </c>
      <c r="C1520" t="s">
        <v>76</v>
      </c>
      <c r="F1520" t="s">
        <v>177</v>
      </c>
      <c r="H1520" t="s">
        <v>408</v>
      </c>
      <c r="L1520" s="1">
        <v>42317</v>
      </c>
      <c r="M1520" s="1">
        <v>42430</v>
      </c>
    </row>
    <row r="1521" spans="2:13" x14ac:dyDescent="0.25">
      <c r="B1521" t="s">
        <v>1039</v>
      </c>
      <c r="C1521" t="s">
        <v>0</v>
      </c>
      <c r="D1521" t="s">
        <v>1</v>
      </c>
      <c r="E1521">
        <v>651030</v>
      </c>
      <c r="F1521" t="s">
        <v>177</v>
      </c>
      <c r="H1521" t="s">
        <v>1037</v>
      </c>
      <c r="L1521" s="1">
        <v>41995</v>
      </c>
      <c r="M1521" s="1">
        <v>42450</v>
      </c>
    </row>
    <row r="1522" spans="2:13" x14ac:dyDescent="0.25">
      <c r="B1522" t="s">
        <v>1038</v>
      </c>
      <c r="C1522" t="s">
        <v>0</v>
      </c>
      <c r="D1522" t="s">
        <v>1</v>
      </c>
      <c r="E1522">
        <v>642425</v>
      </c>
      <c r="F1522" t="s">
        <v>177</v>
      </c>
      <c r="H1522" t="s">
        <v>1037</v>
      </c>
      <c r="L1522" s="1">
        <v>41995</v>
      </c>
      <c r="M1522" s="1">
        <v>42180</v>
      </c>
    </row>
    <row r="1523" spans="2:13" x14ac:dyDescent="0.25">
      <c r="B1523" t="s">
        <v>1036</v>
      </c>
      <c r="C1523" t="s">
        <v>0</v>
      </c>
      <c r="D1523" t="s">
        <v>1</v>
      </c>
      <c r="E1523">
        <v>651030</v>
      </c>
      <c r="F1523" t="s">
        <v>440</v>
      </c>
      <c r="H1523" t="s">
        <v>1037</v>
      </c>
      <c r="L1523" s="1">
        <v>41977</v>
      </c>
      <c r="M1523" s="1">
        <v>42450</v>
      </c>
    </row>
    <row r="1524" spans="2:13" x14ac:dyDescent="0.25">
      <c r="B1524" t="s">
        <v>1035</v>
      </c>
      <c r="C1524" t="s">
        <v>0</v>
      </c>
      <c r="D1524" t="s">
        <v>1</v>
      </c>
      <c r="E1524">
        <v>661379</v>
      </c>
      <c r="F1524" t="s">
        <v>44</v>
      </c>
      <c r="H1524" t="s">
        <v>390</v>
      </c>
      <c r="L1524" s="1">
        <v>42625</v>
      </c>
      <c r="M1524" s="1">
        <v>42793</v>
      </c>
    </row>
    <row r="1525" spans="2:13" x14ac:dyDescent="0.25">
      <c r="B1525" t="s">
        <v>1034</v>
      </c>
      <c r="C1525" t="s">
        <v>100</v>
      </c>
      <c r="D1525" t="s">
        <v>50</v>
      </c>
      <c r="E1525">
        <v>657444</v>
      </c>
      <c r="F1525" t="s">
        <v>145</v>
      </c>
      <c r="H1525" t="s">
        <v>390</v>
      </c>
      <c r="L1525" s="1">
        <v>42551</v>
      </c>
    </row>
    <row r="1526" spans="2:13" x14ac:dyDescent="0.25">
      <c r="B1526" t="s">
        <v>1033</v>
      </c>
      <c r="C1526" t="s">
        <v>0</v>
      </c>
      <c r="D1526" t="s">
        <v>1</v>
      </c>
      <c r="E1526">
        <v>654139</v>
      </c>
      <c r="F1526" t="s">
        <v>44</v>
      </c>
      <c r="H1526" t="s">
        <v>382</v>
      </c>
      <c r="L1526" s="1">
        <v>42430</v>
      </c>
      <c r="M1526" s="1">
        <v>42563</v>
      </c>
    </row>
    <row r="1527" spans="2:13" x14ac:dyDescent="0.25">
      <c r="B1527" t="s">
        <v>1031</v>
      </c>
      <c r="C1527" t="s">
        <v>0</v>
      </c>
      <c r="D1527" t="s">
        <v>1</v>
      </c>
      <c r="E1527">
        <v>646903</v>
      </c>
      <c r="F1527" t="s">
        <v>44</v>
      </c>
      <c r="H1527" t="s">
        <v>1032</v>
      </c>
      <c r="L1527" s="1">
        <v>42179</v>
      </c>
      <c r="M1527" s="1">
        <v>42325</v>
      </c>
    </row>
    <row r="1528" spans="2:13" x14ac:dyDescent="0.25">
      <c r="B1528" t="s">
        <v>1029</v>
      </c>
      <c r="C1528" t="s">
        <v>0</v>
      </c>
      <c r="D1528" t="s">
        <v>1</v>
      </c>
      <c r="E1528">
        <v>647604</v>
      </c>
      <c r="F1528" t="s">
        <v>44</v>
      </c>
      <c r="H1528" t="s">
        <v>1030</v>
      </c>
      <c r="L1528" s="1">
        <v>42179</v>
      </c>
      <c r="M1528" s="1">
        <v>42348</v>
      </c>
    </row>
    <row r="1529" spans="2:13" x14ac:dyDescent="0.25">
      <c r="B1529" t="s">
        <v>1028</v>
      </c>
      <c r="C1529" t="s">
        <v>0</v>
      </c>
      <c r="D1529" t="s">
        <v>1</v>
      </c>
      <c r="E1529">
        <v>654138</v>
      </c>
      <c r="F1529" t="s">
        <v>44</v>
      </c>
      <c r="H1529" t="s">
        <v>357</v>
      </c>
      <c r="L1529" s="1">
        <v>42430</v>
      </c>
      <c r="M1529" s="1">
        <v>42563</v>
      </c>
    </row>
    <row r="1530" spans="2:13" x14ac:dyDescent="0.25">
      <c r="B1530" t="s">
        <v>1027</v>
      </c>
      <c r="C1530" t="s">
        <v>0</v>
      </c>
      <c r="D1530" t="s">
        <v>1</v>
      </c>
      <c r="E1530">
        <v>661378</v>
      </c>
      <c r="F1530" t="s">
        <v>44</v>
      </c>
      <c r="H1530" t="s">
        <v>348</v>
      </c>
      <c r="L1530" s="1">
        <v>42625</v>
      </c>
      <c r="M1530" s="1">
        <v>42793</v>
      </c>
    </row>
    <row r="1531" spans="2:13" x14ac:dyDescent="0.25">
      <c r="B1531" t="s">
        <v>1026</v>
      </c>
      <c r="C1531" t="s">
        <v>0</v>
      </c>
      <c r="D1531" t="s">
        <v>1</v>
      </c>
      <c r="E1531">
        <v>654161</v>
      </c>
      <c r="F1531" t="s">
        <v>177</v>
      </c>
      <c r="H1531" t="s">
        <v>308</v>
      </c>
      <c r="L1531" s="1">
        <v>42507</v>
      </c>
      <c r="M1531" s="1">
        <v>42563</v>
      </c>
    </row>
    <row r="1532" spans="2:13" x14ac:dyDescent="0.25">
      <c r="B1532" t="s">
        <v>1025</v>
      </c>
      <c r="C1532" t="s">
        <v>0</v>
      </c>
      <c r="D1532" t="s">
        <v>1</v>
      </c>
      <c r="E1532">
        <v>652062</v>
      </c>
      <c r="F1532" t="s">
        <v>177</v>
      </c>
      <c r="H1532" t="s">
        <v>308</v>
      </c>
      <c r="L1532" s="1">
        <v>42397</v>
      </c>
      <c r="M1532" s="1">
        <v>42485</v>
      </c>
    </row>
    <row r="1533" spans="2:13" x14ac:dyDescent="0.25">
      <c r="B1533" t="s">
        <v>1024</v>
      </c>
      <c r="C1533" t="s">
        <v>0</v>
      </c>
      <c r="D1533" t="s">
        <v>1</v>
      </c>
      <c r="E1533">
        <v>652766</v>
      </c>
      <c r="F1533" t="s">
        <v>177</v>
      </c>
      <c r="H1533" t="s">
        <v>293</v>
      </c>
      <c r="L1533" s="1">
        <v>42459</v>
      </c>
      <c r="M1533" s="1">
        <v>42508</v>
      </c>
    </row>
    <row r="1534" spans="2:13" x14ac:dyDescent="0.25">
      <c r="B1534" t="s">
        <v>1023</v>
      </c>
      <c r="C1534" t="s">
        <v>100</v>
      </c>
      <c r="D1534" t="s">
        <v>50</v>
      </c>
      <c r="E1534">
        <v>649788</v>
      </c>
      <c r="F1534" t="s">
        <v>147</v>
      </c>
      <c r="H1534" t="s">
        <v>293</v>
      </c>
      <c r="L1534" s="1">
        <v>42381</v>
      </c>
    </row>
    <row r="1535" spans="2:13" x14ac:dyDescent="0.25">
      <c r="B1535" t="s">
        <v>1022</v>
      </c>
      <c r="C1535" t="s">
        <v>0</v>
      </c>
      <c r="D1535" t="s">
        <v>1</v>
      </c>
      <c r="E1535">
        <v>650306</v>
      </c>
      <c r="F1535" t="s">
        <v>177</v>
      </c>
      <c r="H1535" t="s">
        <v>293</v>
      </c>
      <c r="L1535" s="1">
        <v>42292</v>
      </c>
      <c r="M1535" s="1">
        <v>42429</v>
      </c>
    </row>
    <row r="1536" spans="2:13" x14ac:dyDescent="0.25">
      <c r="B1536" t="s">
        <v>1021</v>
      </c>
      <c r="C1536" t="s">
        <v>0</v>
      </c>
      <c r="D1536" t="s">
        <v>1</v>
      </c>
      <c r="E1536">
        <v>652465</v>
      </c>
      <c r="F1536" t="s">
        <v>177</v>
      </c>
      <c r="H1536" t="s">
        <v>293</v>
      </c>
      <c r="L1536" s="1">
        <v>42290</v>
      </c>
      <c r="M1536" s="1">
        <v>42499</v>
      </c>
    </row>
    <row r="1537" spans="2:13" x14ac:dyDescent="0.25">
      <c r="B1537" t="s">
        <v>1020</v>
      </c>
      <c r="C1537" t="s">
        <v>76</v>
      </c>
      <c r="F1537" t="s">
        <v>177</v>
      </c>
      <c r="H1537" t="s">
        <v>1019</v>
      </c>
      <c r="L1537" s="1">
        <v>42608</v>
      </c>
      <c r="M1537" s="1">
        <v>42766</v>
      </c>
    </row>
    <row r="1538" spans="2:13" x14ac:dyDescent="0.25">
      <c r="B1538" t="s">
        <v>1018</v>
      </c>
      <c r="C1538" t="s">
        <v>0</v>
      </c>
      <c r="D1538" t="s">
        <v>1</v>
      </c>
      <c r="E1538">
        <v>649589</v>
      </c>
      <c r="F1538" t="s">
        <v>44</v>
      </c>
      <c r="H1538" t="s">
        <v>1019</v>
      </c>
      <c r="L1538" s="1">
        <v>42272</v>
      </c>
      <c r="M1538" s="1">
        <v>42408</v>
      </c>
    </row>
    <row r="1539" spans="2:13" x14ac:dyDescent="0.25">
      <c r="B1539" t="s">
        <v>1016</v>
      </c>
      <c r="C1539" t="s">
        <v>0</v>
      </c>
      <c r="D1539" t="s">
        <v>1</v>
      </c>
      <c r="E1539">
        <v>640268</v>
      </c>
      <c r="F1539" t="s">
        <v>44</v>
      </c>
      <c r="H1539" t="s">
        <v>1017</v>
      </c>
      <c r="L1539" s="1">
        <v>42052</v>
      </c>
      <c r="M1539" s="1">
        <v>42128</v>
      </c>
    </row>
    <row r="1540" spans="2:13" x14ac:dyDescent="0.25">
      <c r="B1540" t="s">
        <v>1014</v>
      </c>
      <c r="C1540" t="s">
        <v>0</v>
      </c>
      <c r="D1540" t="s">
        <v>1</v>
      </c>
      <c r="E1540">
        <v>640267</v>
      </c>
      <c r="F1540" t="s">
        <v>44</v>
      </c>
      <c r="H1540" t="s">
        <v>1015</v>
      </c>
      <c r="L1540" s="1">
        <v>42052</v>
      </c>
      <c r="M1540" s="1">
        <v>42128</v>
      </c>
    </row>
    <row r="1541" spans="2:13" x14ac:dyDescent="0.25">
      <c r="B1541" t="s">
        <v>204</v>
      </c>
      <c r="C1541" t="s">
        <v>139</v>
      </c>
      <c r="F1541" t="s">
        <v>177</v>
      </c>
      <c r="H1541" t="s">
        <v>203</v>
      </c>
      <c r="L1541" s="1">
        <v>42649</v>
      </c>
      <c r="M1541" s="1">
        <v>42898</v>
      </c>
    </row>
    <row r="1542" spans="2:13" x14ac:dyDescent="0.25">
      <c r="B1542" t="s">
        <v>1012</v>
      </c>
      <c r="C1542" t="s">
        <v>0</v>
      </c>
      <c r="D1542" t="s">
        <v>1</v>
      </c>
      <c r="E1542">
        <v>651396</v>
      </c>
      <c r="F1542" t="s">
        <v>44</v>
      </c>
      <c r="H1542" t="s">
        <v>1013</v>
      </c>
      <c r="L1542" s="1">
        <v>42310</v>
      </c>
      <c r="M1542" s="1">
        <v>42464</v>
      </c>
    </row>
    <row r="1547" spans="2:13" x14ac:dyDescent="0.25">
      <c r="B1547" t="s">
        <v>133</v>
      </c>
      <c r="C1547" t="s">
        <v>0</v>
      </c>
      <c r="D1547" t="s">
        <v>1</v>
      </c>
      <c r="E1547">
        <v>622409</v>
      </c>
      <c r="F1547" t="s">
        <v>44</v>
      </c>
      <c r="H1547" t="s">
        <v>132</v>
      </c>
      <c r="L1547" s="1">
        <v>41642</v>
      </c>
      <c r="M1547" s="1">
        <v>41708</v>
      </c>
    </row>
    <row r="1548" spans="2:13" x14ac:dyDescent="0.25">
      <c r="B1548" t="s">
        <v>131</v>
      </c>
      <c r="C1548" t="s">
        <v>0</v>
      </c>
      <c r="D1548" t="s">
        <v>1</v>
      </c>
      <c r="E1548">
        <v>649230</v>
      </c>
      <c r="F1548" t="s">
        <v>44</v>
      </c>
      <c r="H1548" t="s">
        <v>74</v>
      </c>
      <c r="L1548" s="1">
        <v>42348</v>
      </c>
      <c r="M1548" s="1">
        <v>42398</v>
      </c>
    </row>
    <row r="1549" spans="2:13" x14ac:dyDescent="0.25">
      <c r="B1549" t="s">
        <v>130</v>
      </c>
      <c r="C1549" t="s">
        <v>0</v>
      </c>
      <c r="D1549" t="s">
        <v>1</v>
      </c>
      <c r="E1549">
        <v>651976</v>
      </c>
      <c r="F1549" t="s">
        <v>44</v>
      </c>
      <c r="H1549" t="s">
        <v>73</v>
      </c>
      <c r="L1549" s="1">
        <v>42313</v>
      </c>
      <c r="M1549" s="1">
        <v>42481</v>
      </c>
    </row>
    <row r="1550" spans="2:13" x14ac:dyDescent="0.25">
      <c r="B1550" t="s">
        <v>129</v>
      </c>
      <c r="C1550" t="s">
        <v>0</v>
      </c>
      <c r="D1550" t="s">
        <v>1</v>
      </c>
      <c r="E1550">
        <v>653649</v>
      </c>
      <c r="F1550" t="s">
        <v>44</v>
      </c>
      <c r="H1550" t="s">
        <v>128</v>
      </c>
      <c r="L1550" s="1">
        <v>42222</v>
      </c>
      <c r="M1550" s="1">
        <v>42542</v>
      </c>
    </row>
    <row r="1551" spans="2:13" x14ac:dyDescent="0.25">
      <c r="B1551" t="s">
        <v>127</v>
      </c>
      <c r="C1551" t="s">
        <v>0</v>
      </c>
      <c r="D1551" t="s">
        <v>1</v>
      </c>
      <c r="E1551">
        <v>645107</v>
      </c>
      <c r="F1551" t="s">
        <v>44</v>
      </c>
      <c r="H1551" t="s">
        <v>126</v>
      </c>
      <c r="L1551" s="1">
        <v>42229</v>
      </c>
      <c r="M1551" s="1">
        <v>42261</v>
      </c>
    </row>
    <row r="1552" spans="2:13" x14ac:dyDescent="0.25">
      <c r="B1552" t="s">
        <v>125</v>
      </c>
      <c r="C1552" t="s">
        <v>0</v>
      </c>
      <c r="D1552" t="s">
        <v>1</v>
      </c>
      <c r="E1552">
        <v>647280</v>
      </c>
      <c r="F1552" t="s">
        <v>44</v>
      </c>
      <c r="H1552" t="s">
        <v>124</v>
      </c>
      <c r="L1552" s="1">
        <v>42286</v>
      </c>
      <c r="M1552" s="1">
        <v>42338</v>
      </c>
    </row>
    <row r="1553" spans="2:13" x14ac:dyDescent="0.25">
      <c r="B1553" t="s">
        <v>123</v>
      </c>
      <c r="C1553" t="s">
        <v>0</v>
      </c>
      <c r="D1553" t="s">
        <v>1</v>
      </c>
      <c r="E1553">
        <v>647279</v>
      </c>
      <c r="F1553" t="s">
        <v>44</v>
      </c>
      <c r="H1553" t="s">
        <v>122</v>
      </c>
      <c r="L1553" s="1">
        <v>42286</v>
      </c>
      <c r="M1553" s="1">
        <v>42338</v>
      </c>
    </row>
    <row r="1554" spans="2:13" x14ac:dyDescent="0.25">
      <c r="B1554" t="s">
        <v>121</v>
      </c>
      <c r="C1554" t="s">
        <v>0</v>
      </c>
      <c r="D1554" t="s">
        <v>1</v>
      </c>
      <c r="E1554">
        <v>652667</v>
      </c>
      <c r="F1554" t="s">
        <v>44</v>
      </c>
      <c r="H1554" t="s">
        <v>72</v>
      </c>
      <c r="L1554" s="1">
        <v>42368</v>
      </c>
      <c r="M1554" s="1">
        <v>42506</v>
      </c>
    </row>
    <row r="1555" spans="2:13" x14ac:dyDescent="0.25">
      <c r="B1555" t="s">
        <v>120</v>
      </c>
      <c r="C1555" t="s">
        <v>0</v>
      </c>
      <c r="D1555" t="s">
        <v>1</v>
      </c>
      <c r="E1555">
        <v>645196</v>
      </c>
      <c r="F1555" t="s">
        <v>44</v>
      </c>
      <c r="H1555" t="s">
        <v>72</v>
      </c>
      <c r="L1555" s="1">
        <v>42229</v>
      </c>
      <c r="M1555" s="1">
        <v>42401</v>
      </c>
    </row>
    <row r="1556" spans="2:13" x14ac:dyDescent="0.25">
      <c r="B1556" t="s">
        <v>119</v>
      </c>
      <c r="C1556" t="s">
        <v>0</v>
      </c>
      <c r="D1556" t="s">
        <v>1</v>
      </c>
      <c r="E1556">
        <v>650561</v>
      </c>
      <c r="F1556" t="s">
        <v>44</v>
      </c>
      <c r="H1556" t="s">
        <v>71</v>
      </c>
      <c r="L1556" s="1">
        <v>42222</v>
      </c>
      <c r="M1556" s="1">
        <v>42437</v>
      </c>
    </row>
    <row r="1557" spans="2:13" x14ac:dyDescent="0.25">
      <c r="B1557" t="s">
        <v>118</v>
      </c>
      <c r="C1557" t="s">
        <v>76</v>
      </c>
      <c r="D1557" t="s">
        <v>1</v>
      </c>
      <c r="E1557">
        <v>651975</v>
      </c>
      <c r="F1557" t="s">
        <v>44</v>
      </c>
      <c r="H1557" t="s">
        <v>70</v>
      </c>
      <c r="L1557" s="1">
        <v>42313</v>
      </c>
      <c r="M1557" s="1">
        <v>42440</v>
      </c>
    </row>
    <row r="1558" spans="2:13" x14ac:dyDescent="0.25">
      <c r="B1558" t="s">
        <v>117</v>
      </c>
      <c r="C1558" t="s">
        <v>0</v>
      </c>
      <c r="D1558" t="s">
        <v>1</v>
      </c>
      <c r="E1558">
        <v>648113</v>
      </c>
      <c r="F1558" t="s">
        <v>44</v>
      </c>
      <c r="H1558" t="s">
        <v>116</v>
      </c>
      <c r="L1558" s="1">
        <v>42303</v>
      </c>
      <c r="M1558" s="1">
        <v>42366</v>
      </c>
    </row>
    <row r="1559" spans="2:13" x14ac:dyDescent="0.25">
      <c r="B1559" t="s">
        <v>115</v>
      </c>
      <c r="C1559" t="s">
        <v>0</v>
      </c>
      <c r="D1559" t="s">
        <v>1</v>
      </c>
      <c r="E1559">
        <v>622408</v>
      </c>
      <c r="F1559" t="s">
        <v>44</v>
      </c>
      <c r="H1559" t="s">
        <v>114</v>
      </c>
      <c r="L1559" s="1">
        <v>41642</v>
      </c>
      <c r="M1559" s="1">
        <v>41708</v>
      </c>
    </row>
    <row r="1560" spans="2:13" x14ac:dyDescent="0.25">
      <c r="B1560" t="s">
        <v>113</v>
      </c>
      <c r="C1560" t="s">
        <v>100</v>
      </c>
      <c r="D1560" t="s">
        <v>50</v>
      </c>
      <c r="E1560">
        <v>658822</v>
      </c>
      <c r="F1560" t="s">
        <v>99</v>
      </c>
      <c r="H1560" t="s">
        <v>69</v>
      </c>
      <c r="L1560" s="1">
        <v>42472</v>
      </c>
    </row>
    <row r="1561" spans="2:13" x14ac:dyDescent="0.25">
      <c r="B1561" t="s">
        <v>112</v>
      </c>
      <c r="C1561" t="s">
        <v>0</v>
      </c>
      <c r="D1561" t="s">
        <v>1</v>
      </c>
      <c r="E1561">
        <v>648107</v>
      </c>
      <c r="F1561" t="s">
        <v>44</v>
      </c>
      <c r="H1561" t="s">
        <v>69</v>
      </c>
      <c r="L1561" s="1">
        <v>42282</v>
      </c>
      <c r="M1561" s="1">
        <v>42366</v>
      </c>
    </row>
    <row r="1562" spans="2:13" x14ac:dyDescent="0.25">
      <c r="B1562" t="s">
        <v>111</v>
      </c>
      <c r="C1562" t="s">
        <v>0</v>
      </c>
      <c r="D1562" t="s">
        <v>1</v>
      </c>
      <c r="E1562">
        <v>648097</v>
      </c>
      <c r="F1562" t="s">
        <v>44</v>
      </c>
      <c r="H1562" t="s">
        <v>69</v>
      </c>
      <c r="L1562" s="1">
        <v>42241</v>
      </c>
      <c r="M1562" s="1">
        <v>42366</v>
      </c>
    </row>
    <row r="1563" spans="2:13" x14ac:dyDescent="0.25">
      <c r="B1563" t="s">
        <v>110</v>
      </c>
      <c r="C1563" t="s">
        <v>0</v>
      </c>
      <c r="D1563" t="s">
        <v>1</v>
      </c>
      <c r="E1563">
        <v>654709</v>
      </c>
      <c r="F1563" t="s">
        <v>44</v>
      </c>
      <c r="H1563" t="s">
        <v>67</v>
      </c>
      <c r="L1563" s="1">
        <v>42430</v>
      </c>
      <c r="M1563" s="1">
        <v>42579</v>
      </c>
    </row>
    <row r="1564" spans="2:13" x14ac:dyDescent="0.25">
      <c r="B1564" t="s">
        <v>109</v>
      </c>
      <c r="C1564" t="s">
        <v>0</v>
      </c>
      <c r="D1564" t="s">
        <v>1</v>
      </c>
      <c r="E1564">
        <v>652664</v>
      </c>
      <c r="F1564" t="s">
        <v>44</v>
      </c>
      <c r="H1564" t="s">
        <v>66</v>
      </c>
      <c r="L1564" s="1">
        <v>42209</v>
      </c>
      <c r="M1564" s="1">
        <v>42506</v>
      </c>
    </row>
    <row r="1565" spans="2:13" x14ac:dyDescent="0.25">
      <c r="B1565" t="s">
        <v>108</v>
      </c>
      <c r="C1565" t="s">
        <v>0</v>
      </c>
      <c r="D1565" t="s">
        <v>1</v>
      </c>
      <c r="E1565">
        <v>656397</v>
      </c>
      <c r="F1565" t="s">
        <v>44</v>
      </c>
      <c r="H1565" t="s">
        <v>65</v>
      </c>
      <c r="L1565" s="1">
        <v>42605</v>
      </c>
      <c r="M1565" s="1">
        <v>42639</v>
      </c>
    </row>
    <row r="1566" spans="2:13" x14ac:dyDescent="0.25">
      <c r="B1566" t="s">
        <v>107</v>
      </c>
      <c r="C1566" t="s">
        <v>0</v>
      </c>
      <c r="D1566" t="s">
        <v>1</v>
      </c>
      <c r="E1566">
        <v>648885</v>
      </c>
      <c r="F1566" t="s">
        <v>44</v>
      </c>
      <c r="H1566" t="s">
        <v>65</v>
      </c>
      <c r="L1566" s="1">
        <v>42368</v>
      </c>
      <c r="M1566" s="1">
        <v>42390</v>
      </c>
    </row>
    <row r="1567" spans="2:13" x14ac:dyDescent="0.25">
      <c r="B1567" t="s">
        <v>106</v>
      </c>
      <c r="C1567" t="s">
        <v>0</v>
      </c>
      <c r="D1567" t="s">
        <v>1</v>
      </c>
      <c r="E1567">
        <v>646549</v>
      </c>
      <c r="F1567" t="s">
        <v>44</v>
      </c>
      <c r="H1567" t="s">
        <v>65</v>
      </c>
      <c r="L1567" s="1">
        <v>42243</v>
      </c>
      <c r="M1567" s="1">
        <v>42310</v>
      </c>
    </row>
    <row r="1568" spans="2:13" x14ac:dyDescent="0.25">
      <c r="B1568" t="s">
        <v>105</v>
      </c>
      <c r="C1568" t="s">
        <v>0</v>
      </c>
      <c r="D1568" t="s">
        <v>1</v>
      </c>
      <c r="E1568">
        <v>648976</v>
      </c>
      <c r="F1568" t="s">
        <v>44</v>
      </c>
      <c r="H1568" t="s">
        <v>64</v>
      </c>
      <c r="L1568" s="1">
        <v>42214</v>
      </c>
      <c r="M1568" s="1">
        <v>42394</v>
      </c>
    </row>
    <row r="1569" spans="2:13" x14ac:dyDescent="0.25">
      <c r="B1569" t="s">
        <v>104</v>
      </c>
      <c r="C1569" t="s">
        <v>0</v>
      </c>
      <c r="D1569" t="s">
        <v>1</v>
      </c>
      <c r="E1569">
        <v>641793</v>
      </c>
      <c r="F1569" t="s">
        <v>44</v>
      </c>
      <c r="H1569" t="s">
        <v>62</v>
      </c>
      <c r="L1569" s="1">
        <v>42135</v>
      </c>
      <c r="M1569" s="1">
        <v>42165</v>
      </c>
    </row>
    <row r="1570" spans="2:13" x14ac:dyDescent="0.25">
      <c r="B1570" t="s">
        <v>103</v>
      </c>
      <c r="C1570" t="s">
        <v>0</v>
      </c>
      <c r="D1570" t="s">
        <v>1</v>
      </c>
      <c r="E1570">
        <v>638285</v>
      </c>
      <c r="F1570" t="s">
        <v>44</v>
      </c>
      <c r="H1570" t="s">
        <v>62</v>
      </c>
      <c r="L1570" s="1">
        <v>41946</v>
      </c>
      <c r="M1570" s="1">
        <v>42089</v>
      </c>
    </row>
    <row r="1571" spans="2:13" x14ac:dyDescent="0.25">
      <c r="B1571" t="s">
        <v>102</v>
      </c>
      <c r="C1571" t="s">
        <v>0</v>
      </c>
      <c r="D1571" t="s">
        <v>1</v>
      </c>
      <c r="E1571">
        <v>638017</v>
      </c>
      <c r="F1571" t="s">
        <v>44</v>
      </c>
      <c r="H1571" t="s">
        <v>101</v>
      </c>
      <c r="L1571" s="1">
        <v>41946</v>
      </c>
      <c r="M1571" s="1">
        <v>42082</v>
      </c>
    </row>
    <row r="1572" spans="2:13" x14ac:dyDescent="0.25">
      <c r="B1572" t="s">
        <v>98</v>
      </c>
      <c r="C1572" t="s">
        <v>100</v>
      </c>
      <c r="D1572" t="s">
        <v>50</v>
      </c>
      <c r="E1572">
        <v>658824</v>
      </c>
      <c r="F1572" t="s">
        <v>99</v>
      </c>
      <c r="H1572" t="s">
        <v>61</v>
      </c>
      <c r="L1572" s="1">
        <v>42472</v>
      </c>
    </row>
    <row r="1573" spans="2:13" x14ac:dyDescent="0.25">
      <c r="B1573" t="s">
        <v>97</v>
      </c>
      <c r="C1573" t="s">
        <v>0</v>
      </c>
      <c r="D1573" t="s">
        <v>1</v>
      </c>
      <c r="E1573">
        <v>648296</v>
      </c>
      <c r="F1573" t="s">
        <v>44</v>
      </c>
      <c r="H1573" t="s">
        <v>61</v>
      </c>
      <c r="L1573" s="1">
        <v>42214</v>
      </c>
      <c r="M1573" s="1">
        <v>42374</v>
      </c>
    </row>
    <row r="1574" spans="2:13" x14ac:dyDescent="0.25">
      <c r="B1574" t="s">
        <v>96</v>
      </c>
      <c r="C1574" t="s">
        <v>0</v>
      </c>
      <c r="D1574" t="s">
        <v>1</v>
      </c>
      <c r="E1574">
        <v>646730</v>
      </c>
      <c r="F1574" t="s">
        <v>44</v>
      </c>
      <c r="H1574" t="s">
        <v>60</v>
      </c>
      <c r="L1574" s="1">
        <v>42243</v>
      </c>
      <c r="M1574" s="1">
        <v>42318</v>
      </c>
    </row>
    <row r="1575" spans="2:13" x14ac:dyDescent="0.25">
      <c r="B1575" t="s">
        <v>95</v>
      </c>
      <c r="C1575" t="s">
        <v>0</v>
      </c>
      <c r="D1575" t="s">
        <v>1</v>
      </c>
      <c r="E1575">
        <v>652662</v>
      </c>
      <c r="F1575" t="s">
        <v>44</v>
      </c>
      <c r="H1575" t="s">
        <v>59</v>
      </c>
      <c r="L1575" s="1">
        <v>42209</v>
      </c>
      <c r="M1575" s="1">
        <v>42506</v>
      </c>
    </row>
    <row r="1576" spans="2:13" x14ac:dyDescent="0.25">
      <c r="B1576" t="s">
        <v>94</v>
      </c>
      <c r="C1576" t="s">
        <v>0</v>
      </c>
      <c r="D1576" t="s">
        <v>1</v>
      </c>
      <c r="E1576">
        <v>654708</v>
      </c>
      <c r="F1576" t="s">
        <v>44</v>
      </c>
      <c r="H1576" t="s">
        <v>58</v>
      </c>
      <c r="L1576" s="1">
        <v>42430</v>
      </c>
      <c r="M1576" s="1">
        <v>42579</v>
      </c>
    </row>
    <row r="1577" spans="2:13" x14ac:dyDescent="0.25">
      <c r="B1577" t="s">
        <v>93</v>
      </c>
      <c r="C1577" t="s">
        <v>0</v>
      </c>
      <c r="D1577" t="s">
        <v>1</v>
      </c>
      <c r="E1577">
        <v>654533</v>
      </c>
      <c r="F1577" t="s">
        <v>44</v>
      </c>
      <c r="H1577" t="s">
        <v>57</v>
      </c>
      <c r="L1577" s="1">
        <v>42535</v>
      </c>
      <c r="M1577" s="1">
        <v>42572</v>
      </c>
    </row>
    <row r="1578" spans="2:13" x14ac:dyDescent="0.25">
      <c r="B1578" t="s">
        <v>92</v>
      </c>
      <c r="C1578" t="s">
        <v>0</v>
      </c>
      <c r="D1578" t="s">
        <v>1</v>
      </c>
      <c r="E1578">
        <v>648096</v>
      </c>
      <c r="F1578" t="s">
        <v>44</v>
      </c>
      <c r="H1578" t="s">
        <v>57</v>
      </c>
      <c r="L1578" s="1">
        <v>42241</v>
      </c>
      <c r="M1578" s="1">
        <v>42366</v>
      </c>
    </row>
    <row r="1579" spans="2:13" x14ac:dyDescent="0.25">
      <c r="B1579" t="s">
        <v>91</v>
      </c>
      <c r="C1579" t="s">
        <v>76</v>
      </c>
      <c r="F1579" t="s">
        <v>44</v>
      </c>
      <c r="H1579" t="s">
        <v>56</v>
      </c>
      <c r="L1579" s="1">
        <v>42678</v>
      </c>
    </row>
    <row r="1580" spans="2:13" x14ac:dyDescent="0.25">
      <c r="B1580" t="s">
        <v>90</v>
      </c>
      <c r="C1580" t="s">
        <v>0</v>
      </c>
      <c r="D1580" t="s">
        <v>1</v>
      </c>
      <c r="E1580">
        <v>645277</v>
      </c>
      <c r="F1580" t="s">
        <v>44</v>
      </c>
      <c r="H1580" t="s">
        <v>55</v>
      </c>
      <c r="L1580" s="1">
        <v>42214</v>
      </c>
      <c r="M1580" s="1">
        <v>42264</v>
      </c>
    </row>
    <row r="1581" spans="2:13" x14ac:dyDescent="0.25">
      <c r="B1581" t="s">
        <v>89</v>
      </c>
      <c r="C1581" t="s">
        <v>0</v>
      </c>
      <c r="D1581" t="s">
        <v>1</v>
      </c>
      <c r="E1581">
        <v>645285</v>
      </c>
      <c r="F1581" t="s">
        <v>44</v>
      </c>
      <c r="H1581" t="s">
        <v>54</v>
      </c>
      <c r="L1581" s="1">
        <v>42219</v>
      </c>
      <c r="M1581" s="1">
        <v>42264</v>
      </c>
    </row>
    <row r="1582" spans="2:13" x14ac:dyDescent="0.25">
      <c r="B1582" t="s">
        <v>88</v>
      </c>
      <c r="C1582" t="s">
        <v>0</v>
      </c>
      <c r="D1582" t="s">
        <v>1</v>
      </c>
      <c r="E1582">
        <v>645683</v>
      </c>
      <c r="F1582" t="s">
        <v>44</v>
      </c>
      <c r="H1582" t="s">
        <v>53</v>
      </c>
      <c r="L1582" s="1">
        <v>42200</v>
      </c>
      <c r="M1582" s="1">
        <v>42278</v>
      </c>
    </row>
    <row r="1583" spans="2:13" x14ac:dyDescent="0.25">
      <c r="B1583" t="s">
        <v>87</v>
      </c>
      <c r="C1583" t="s">
        <v>0</v>
      </c>
      <c r="D1583" t="s">
        <v>1</v>
      </c>
      <c r="E1583">
        <v>643556</v>
      </c>
      <c r="F1583" t="s">
        <v>44</v>
      </c>
      <c r="H1583" t="s">
        <v>86</v>
      </c>
      <c r="L1583" s="1">
        <v>42096</v>
      </c>
      <c r="M1583" s="1">
        <v>42214</v>
      </c>
    </row>
    <row r="1584" spans="2:13" x14ac:dyDescent="0.25">
      <c r="B1584" t="s">
        <v>85</v>
      </c>
      <c r="C1584" t="s">
        <v>0</v>
      </c>
      <c r="D1584" t="s">
        <v>1</v>
      </c>
      <c r="E1584">
        <v>646265</v>
      </c>
      <c r="F1584" t="s">
        <v>44</v>
      </c>
      <c r="H1584" t="s">
        <v>52</v>
      </c>
      <c r="L1584" s="1">
        <v>42151</v>
      </c>
      <c r="M1584" s="1">
        <v>42299</v>
      </c>
    </row>
    <row r="1585" spans="2:13" x14ac:dyDescent="0.25">
      <c r="B1585" t="s">
        <v>84</v>
      </c>
      <c r="C1585" t="s">
        <v>0</v>
      </c>
      <c r="D1585" t="s">
        <v>1</v>
      </c>
      <c r="E1585">
        <v>646637</v>
      </c>
      <c r="F1585" t="s">
        <v>44</v>
      </c>
      <c r="H1585" t="s">
        <v>83</v>
      </c>
      <c r="L1585" s="1">
        <v>42151</v>
      </c>
      <c r="M1585" s="1">
        <v>42313</v>
      </c>
    </row>
    <row r="1586" spans="2:13" x14ac:dyDescent="0.25">
      <c r="B1586" t="s">
        <v>82</v>
      </c>
      <c r="C1586" t="s">
        <v>0</v>
      </c>
      <c r="D1586" t="s">
        <v>1</v>
      </c>
      <c r="E1586">
        <v>643555</v>
      </c>
      <c r="F1586" t="s">
        <v>44</v>
      </c>
      <c r="H1586" t="s">
        <v>51</v>
      </c>
      <c r="L1586" s="1">
        <v>42096</v>
      </c>
      <c r="M1586" s="1">
        <v>42214</v>
      </c>
    </row>
    <row r="1587" spans="2:13" x14ac:dyDescent="0.25">
      <c r="B1587" t="s">
        <v>81</v>
      </c>
      <c r="C1587" t="s">
        <v>0</v>
      </c>
      <c r="D1587" t="s">
        <v>1</v>
      </c>
      <c r="E1587">
        <v>645838</v>
      </c>
      <c r="F1587" t="s">
        <v>44</v>
      </c>
      <c r="H1587" t="s">
        <v>49</v>
      </c>
      <c r="L1587" s="1">
        <v>42200</v>
      </c>
      <c r="M1587" s="1">
        <v>42284</v>
      </c>
    </row>
    <row r="1588" spans="2:13" x14ac:dyDescent="0.25">
      <c r="B1588" t="s">
        <v>80</v>
      </c>
      <c r="C1588" t="s">
        <v>0</v>
      </c>
      <c r="D1588" t="s">
        <v>1</v>
      </c>
      <c r="E1588">
        <v>645556</v>
      </c>
      <c r="F1588" t="s">
        <v>44</v>
      </c>
      <c r="H1588" t="s">
        <v>47</v>
      </c>
      <c r="L1588" s="1">
        <v>42219</v>
      </c>
      <c r="M1588" s="1">
        <v>42275</v>
      </c>
    </row>
    <row r="1589" spans="2:13" x14ac:dyDescent="0.25">
      <c r="B1589" t="s">
        <v>79</v>
      </c>
      <c r="C1589" t="s">
        <v>0</v>
      </c>
      <c r="F1589" t="s">
        <v>44</v>
      </c>
      <c r="H1589" t="s">
        <v>46</v>
      </c>
      <c r="L1589" s="1">
        <v>42425</v>
      </c>
      <c r="M1589" s="1">
        <v>42445</v>
      </c>
    </row>
    <row r="1590" spans="2:13" x14ac:dyDescent="0.25">
      <c r="B1590" t="s">
        <v>78</v>
      </c>
      <c r="C1590" t="s">
        <v>0</v>
      </c>
      <c r="D1590" t="s">
        <v>1</v>
      </c>
      <c r="E1590">
        <v>645276</v>
      </c>
      <c r="F1590" t="s">
        <v>44</v>
      </c>
      <c r="H1590" t="s">
        <v>46</v>
      </c>
      <c r="L1590" s="1">
        <v>42214</v>
      </c>
      <c r="M1590" s="1">
        <v>42264</v>
      </c>
    </row>
    <row r="1591" spans="2:13" x14ac:dyDescent="0.25">
      <c r="B1591" t="s">
        <v>77</v>
      </c>
      <c r="C1591" t="s">
        <v>0</v>
      </c>
      <c r="D1591" t="s">
        <v>1</v>
      </c>
      <c r="E1591">
        <v>660415</v>
      </c>
      <c r="F1591" t="s">
        <v>44</v>
      </c>
      <c r="H1591" t="s">
        <v>75</v>
      </c>
      <c r="L1591" s="1">
        <v>42678</v>
      </c>
      <c r="M1591" s="1">
        <v>42766</v>
      </c>
    </row>
    <row r="1596" spans="2:13" x14ac:dyDescent="0.25">
      <c r="B1596" t="s">
        <v>1010</v>
      </c>
      <c r="C1596" t="s">
        <v>0</v>
      </c>
      <c r="D1596" t="s">
        <v>1</v>
      </c>
      <c r="E1596">
        <v>651078</v>
      </c>
      <c r="F1596" t="s">
        <v>44</v>
      </c>
      <c r="H1596" t="s">
        <v>1011</v>
      </c>
      <c r="L1596" s="1">
        <v>42347</v>
      </c>
      <c r="M1596" s="1">
        <v>42452</v>
      </c>
    </row>
    <row r="1597" spans="2:13" x14ac:dyDescent="0.25">
      <c r="B1597" t="s">
        <v>1008</v>
      </c>
      <c r="C1597" t="s">
        <v>0</v>
      </c>
      <c r="D1597" t="s">
        <v>1</v>
      </c>
      <c r="E1597">
        <v>641786</v>
      </c>
      <c r="F1597" t="s">
        <v>44</v>
      </c>
      <c r="H1597" t="s">
        <v>1009</v>
      </c>
      <c r="L1597" s="1">
        <v>42118</v>
      </c>
      <c r="M1597" s="1">
        <v>42165</v>
      </c>
    </row>
    <row r="1598" spans="2:13" x14ac:dyDescent="0.25">
      <c r="B1598" t="s">
        <v>1007</v>
      </c>
      <c r="C1598" t="s">
        <v>0</v>
      </c>
      <c r="D1598" t="s">
        <v>1</v>
      </c>
      <c r="E1598">
        <v>645639</v>
      </c>
      <c r="F1598" t="s">
        <v>44</v>
      </c>
      <c r="H1598" t="s">
        <v>1006</v>
      </c>
      <c r="L1598" s="1">
        <v>42233</v>
      </c>
      <c r="M1598" s="1">
        <v>42277</v>
      </c>
    </row>
    <row r="1599" spans="2:13" x14ac:dyDescent="0.25">
      <c r="B1599" t="s">
        <v>1005</v>
      </c>
      <c r="C1599" t="s">
        <v>0</v>
      </c>
      <c r="D1599" t="s">
        <v>1</v>
      </c>
      <c r="E1599">
        <v>644437</v>
      </c>
      <c r="F1599" t="s">
        <v>44</v>
      </c>
      <c r="H1599" t="s">
        <v>1006</v>
      </c>
      <c r="L1599" s="1">
        <v>42135</v>
      </c>
      <c r="M1599" s="1">
        <v>42240</v>
      </c>
    </row>
    <row r="1600" spans="2:13" x14ac:dyDescent="0.25">
      <c r="B1600" t="s">
        <v>1004</v>
      </c>
      <c r="C1600" t="s">
        <v>0</v>
      </c>
      <c r="D1600" t="s">
        <v>1</v>
      </c>
      <c r="E1600">
        <v>645480</v>
      </c>
      <c r="F1600" t="s">
        <v>44</v>
      </c>
      <c r="H1600" t="s">
        <v>1003</v>
      </c>
      <c r="L1600" s="1">
        <v>42236</v>
      </c>
      <c r="M1600" s="1">
        <v>42271</v>
      </c>
    </row>
    <row r="1601" spans="2:13" x14ac:dyDescent="0.25">
      <c r="B1601" t="s">
        <v>1002</v>
      </c>
      <c r="C1601" t="s">
        <v>0</v>
      </c>
      <c r="D1601" t="s">
        <v>1</v>
      </c>
      <c r="E1601">
        <v>639977</v>
      </c>
      <c r="F1601" t="s">
        <v>44</v>
      </c>
      <c r="H1601" t="s">
        <v>1003</v>
      </c>
      <c r="L1601" s="1">
        <v>42072</v>
      </c>
      <c r="M1601" s="1">
        <v>42121</v>
      </c>
    </row>
    <row r="1602" spans="2:13" x14ac:dyDescent="0.25">
      <c r="B1602" t="s">
        <v>1001</v>
      </c>
      <c r="C1602" t="s">
        <v>0</v>
      </c>
      <c r="D1602" t="s">
        <v>1</v>
      </c>
      <c r="E1602">
        <v>660984</v>
      </c>
      <c r="F1602" t="s">
        <v>44</v>
      </c>
      <c r="H1602" t="s">
        <v>489</v>
      </c>
      <c r="L1602" s="1">
        <v>42720</v>
      </c>
      <c r="M1602" s="1">
        <v>42779</v>
      </c>
    </row>
    <row r="1603" spans="2:13" x14ac:dyDescent="0.25">
      <c r="B1603" t="s">
        <v>1000</v>
      </c>
      <c r="C1603" t="s">
        <v>0</v>
      </c>
      <c r="D1603" t="s">
        <v>1</v>
      </c>
      <c r="E1603">
        <v>658469</v>
      </c>
      <c r="F1603" t="s">
        <v>44</v>
      </c>
      <c r="H1603" t="s">
        <v>489</v>
      </c>
      <c r="L1603" s="1">
        <v>42662</v>
      </c>
      <c r="M1603" s="1">
        <v>42704</v>
      </c>
    </row>
    <row r="1604" spans="2:13" x14ac:dyDescent="0.25">
      <c r="B1604" t="s">
        <v>999</v>
      </c>
      <c r="C1604" t="s">
        <v>0</v>
      </c>
      <c r="D1604" t="s">
        <v>1</v>
      </c>
      <c r="E1604">
        <v>659617</v>
      </c>
      <c r="F1604" t="s">
        <v>44</v>
      </c>
      <c r="H1604" t="s">
        <v>478</v>
      </c>
      <c r="L1604" s="1">
        <v>42662</v>
      </c>
      <c r="M1604" s="1">
        <v>42740</v>
      </c>
    </row>
    <row r="1605" spans="2:13" x14ac:dyDescent="0.25">
      <c r="B1605" t="s">
        <v>998</v>
      </c>
      <c r="C1605" t="s">
        <v>0</v>
      </c>
      <c r="D1605" t="s">
        <v>1</v>
      </c>
      <c r="E1605">
        <v>644853</v>
      </c>
      <c r="F1605" t="s">
        <v>44</v>
      </c>
      <c r="H1605" t="s">
        <v>997</v>
      </c>
      <c r="L1605" s="1">
        <v>42222</v>
      </c>
      <c r="M1605" s="1">
        <v>42250</v>
      </c>
    </row>
    <row r="1606" spans="2:13" x14ac:dyDescent="0.25">
      <c r="B1606" t="s">
        <v>996</v>
      </c>
      <c r="C1606" t="s">
        <v>0</v>
      </c>
      <c r="D1606" t="s">
        <v>1</v>
      </c>
      <c r="E1606">
        <v>640027</v>
      </c>
      <c r="F1606" t="s">
        <v>44</v>
      </c>
      <c r="H1606" t="s">
        <v>997</v>
      </c>
      <c r="L1606" s="1">
        <v>42072</v>
      </c>
      <c r="M1606" s="1">
        <v>42122</v>
      </c>
    </row>
    <row r="1607" spans="2:13" x14ac:dyDescent="0.25">
      <c r="B1607" t="s">
        <v>994</v>
      </c>
      <c r="C1607" t="s">
        <v>0</v>
      </c>
      <c r="D1607" t="s">
        <v>1</v>
      </c>
      <c r="E1607">
        <v>644436</v>
      </c>
      <c r="F1607" t="s">
        <v>44</v>
      </c>
      <c r="H1607" t="s">
        <v>995</v>
      </c>
      <c r="L1607" s="1">
        <v>42135</v>
      </c>
      <c r="M1607" s="1">
        <v>42240</v>
      </c>
    </row>
    <row r="1608" spans="2:13" x14ac:dyDescent="0.25">
      <c r="B1608" t="s">
        <v>992</v>
      </c>
      <c r="C1608" t="s">
        <v>0</v>
      </c>
      <c r="D1608" t="s">
        <v>1</v>
      </c>
      <c r="E1608">
        <v>641785</v>
      </c>
      <c r="F1608" t="s">
        <v>44</v>
      </c>
      <c r="H1608" t="s">
        <v>993</v>
      </c>
      <c r="L1608" s="1">
        <v>42118</v>
      </c>
      <c r="M1608" s="1">
        <v>42165</v>
      </c>
    </row>
    <row r="1609" spans="2:13" x14ac:dyDescent="0.25">
      <c r="B1609" t="s">
        <v>990</v>
      </c>
      <c r="C1609" t="s">
        <v>0</v>
      </c>
      <c r="D1609" t="s">
        <v>1</v>
      </c>
      <c r="E1609">
        <v>642599</v>
      </c>
      <c r="F1609" t="s">
        <v>44</v>
      </c>
      <c r="H1609" t="s">
        <v>991</v>
      </c>
      <c r="L1609" s="1">
        <v>42102</v>
      </c>
      <c r="M1609" s="1">
        <v>42186</v>
      </c>
    </row>
    <row r="1610" spans="2:13" x14ac:dyDescent="0.25">
      <c r="B1610" t="s">
        <v>988</v>
      </c>
      <c r="C1610" t="s">
        <v>0</v>
      </c>
      <c r="D1610" t="s">
        <v>1</v>
      </c>
      <c r="E1610">
        <v>651077</v>
      </c>
      <c r="F1610" t="s">
        <v>44</v>
      </c>
      <c r="H1610" t="s">
        <v>989</v>
      </c>
      <c r="L1610" s="1">
        <v>42347</v>
      </c>
      <c r="M1610" s="1">
        <v>42452</v>
      </c>
    </row>
    <row r="1611" spans="2:13" x14ac:dyDescent="0.25">
      <c r="B1611" t="s">
        <v>987</v>
      </c>
      <c r="C1611" t="s">
        <v>0</v>
      </c>
      <c r="D1611" t="s">
        <v>1</v>
      </c>
      <c r="E1611">
        <v>646500</v>
      </c>
      <c r="F1611" t="s">
        <v>44</v>
      </c>
      <c r="H1611" t="s">
        <v>986</v>
      </c>
      <c r="L1611" s="1">
        <v>42268</v>
      </c>
      <c r="M1611" s="1">
        <v>42306</v>
      </c>
    </row>
    <row r="1612" spans="2:13" x14ac:dyDescent="0.25">
      <c r="B1612" t="s">
        <v>985</v>
      </c>
      <c r="C1612" t="s">
        <v>0</v>
      </c>
      <c r="D1612" t="s">
        <v>1</v>
      </c>
      <c r="E1612">
        <v>640332</v>
      </c>
      <c r="F1612" t="s">
        <v>44</v>
      </c>
      <c r="H1612" t="s">
        <v>986</v>
      </c>
      <c r="L1612" s="1">
        <v>42044</v>
      </c>
      <c r="M1612" s="1">
        <v>42129</v>
      </c>
    </row>
    <row r="1613" spans="2:13" x14ac:dyDescent="0.25">
      <c r="B1613" t="s">
        <v>983</v>
      </c>
      <c r="C1613" t="s">
        <v>0</v>
      </c>
      <c r="D1613" t="s">
        <v>1</v>
      </c>
      <c r="E1613">
        <v>645184</v>
      </c>
      <c r="F1613" t="s">
        <v>44</v>
      </c>
      <c r="H1613" t="s">
        <v>984</v>
      </c>
      <c r="L1613" s="1">
        <v>42209</v>
      </c>
      <c r="M1613" s="1">
        <v>42263</v>
      </c>
    </row>
    <row r="1614" spans="2:13" x14ac:dyDescent="0.25">
      <c r="B1614" t="s">
        <v>981</v>
      </c>
      <c r="C1614" t="s">
        <v>0</v>
      </c>
      <c r="D1614" t="s">
        <v>1</v>
      </c>
      <c r="E1614">
        <v>645557</v>
      </c>
      <c r="F1614" t="s">
        <v>44</v>
      </c>
      <c r="H1614" t="s">
        <v>982</v>
      </c>
      <c r="L1614" s="1">
        <v>42219</v>
      </c>
      <c r="M1614" s="1">
        <v>42275</v>
      </c>
    </row>
    <row r="1615" spans="2:13" x14ac:dyDescent="0.25">
      <c r="B1615" t="s">
        <v>392</v>
      </c>
      <c r="C1615" t="s">
        <v>139</v>
      </c>
      <c r="D1615" t="s">
        <v>1</v>
      </c>
      <c r="E1615">
        <v>651974</v>
      </c>
      <c r="F1615" t="s">
        <v>44</v>
      </c>
      <c r="H1615" t="s">
        <v>391</v>
      </c>
      <c r="L1615" s="1">
        <v>42310</v>
      </c>
      <c r="M1615" s="1">
        <v>42452</v>
      </c>
    </row>
    <row r="1616" spans="2:13" x14ac:dyDescent="0.25">
      <c r="B1616" t="s">
        <v>980</v>
      </c>
      <c r="C1616" t="s">
        <v>0</v>
      </c>
      <c r="D1616" t="s">
        <v>1</v>
      </c>
      <c r="E1616">
        <v>646285</v>
      </c>
      <c r="F1616" t="s">
        <v>44</v>
      </c>
      <c r="H1616" t="s">
        <v>979</v>
      </c>
      <c r="L1616" s="1">
        <v>42234</v>
      </c>
      <c r="M1616" s="1">
        <v>42299</v>
      </c>
    </row>
    <row r="1617" spans="2:13" x14ac:dyDescent="0.25">
      <c r="B1617" t="s">
        <v>978</v>
      </c>
      <c r="C1617" t="s">
        <v>0</v>
      </c>
      <c r="D1617" t="s">
        <v>1</v>
      </c>
      <c r="E1617">
        <v>643792</v>
      </c>
      <c r="F1617" t="s">
        <v>44</v>
      </c>
      <c r="H1617" t="s">
        <v>979</v>
      </c>
      <c r="L1617" s="1">
        <v>42160</v>
      </c>
      <c r="M1617" s="1">
        <v>42220</v>
      </c>
    </row>
    <row r="1618" spans="2:13" x14ac:dyDescent="0.25">
      <c r="B1618" t="s">
        <v>976</v>
      </c>
      <c r="C1618" t="s">
        <v>0</v>
      </c>
      <c r="D1618" t="s">
        <v>1</v>
      </c>
      <c r="E1618">
        <v>644553</v>
      </c>
      <c r="F1618" t="s">
        <v>44</v>
      </c>
      <c r="H1618" t="s">
        <v>977</v>
      </c>
      <c r="L1618" s="1">
        <v>42158</v>
      </c>
      <c r="M1618" s="1">
        <v>42242</v>
      </c>
    </row>
    <row r="1619" spans="2:13" x14ac:dyDescent="0.25">
      <c r="B1619" t="s">
        <v>975</v>
      </c>
      <c r="C1619" t="s">
        <v>0</v>
      </c>
      <c r="D1619" t="s">
        <v>1</v>
      </c>
      <c r="E1619">
        <v>645484</v>
      </c>
      <c r="F1619" t="s">
        <v>44</v>
      </c>
      <c r="H1619" t="s">
        <v>974</v>
      </c>
      <c r="L1619" s="1">
        <v>42243</v>
      </c>
      <c r="M1619" s="1">
        <v>42271</v>
      </c>
    </row>
    <row r="1620" spans="2:13" x14ac:dyDescent="0.25">
      <c r="B1620" t="s">
        <v>973</v>
      </c>
      <c r="C1620" t="s">
        <v>0</v>
      </c>
      <c r="D1620" t="s">
        <v>1</v>
      </c>
      <c r="E1620">
        <v>644552</v>
      </c>
      <c r="F1620" t="s">
        <v>44</v>
      </c>
      <c r="H1620" t="s">
        <v>974</v>
      </c>
      <c r="L1620" s="1">
        <v>42158</v>
      </c>
      <c r="M1620" s="1">
        <v>42242</v>
      </c>
    </row>
    <row r="1621" spans="2:13" x14ac:dyDescent="0.25">
      <c r="B1621" t="s">
        <v>972</v>
      </c>
      <c r="C1621" t="s">
        <v>0</v>
      </c>
      <c r="D1621" t="s">
        <v>1</v>
      </c>
      <c r="E1621">
        <v>646284</v>
      </c>
      <c r="F1621" t="s">
        <v>44</v>
      </c>
      <c r="H1621" t="s">
        <v>971</v>
      </c>
      <c r="L1621" s="1">
        <v>42234</v>
      </c>
      <c r="M1621" s="1">
        <v>42299</v>
      </c>
    </row>
    <row r="1622" spans="2:13" x14ac:dyDescent="0.25">
      <c r="B1622" t="s">
        <v>970</v>
      </c>
      <c r="C1622" t="s">
        <v>0</v>
      </c>
      <c r="D1622" t="s">
        <v>1</v>
      </c>
      <c r="E1622">
        <v>643791</v>
      </c>
      <c r="F1622" t="s">
        <v>44</v>
      </c>
      <c r="H1622" t="s">
        <v>971</v>
      </c>
      <c r="L1622" s="1">
        <v>42160</v>
      </c>
      <c r="M1622" s="1">
        <v>42220</v>
      </c>
    </row>
    <row r="1623" spans="2:13" x14ac:dyDescent="0.25">
      <c r="B1623" t="s">
        <v>969</v>
      </c>
      <c r="C1623" t="s">
        <v>0</v>
      </c>
      <c r="D1623" t="s">
        <v>1</v>
      </c>
      <c r="E1623">
        <v>652331</v>
      </c>
      <c r="F1623" t="s">
        <v>44</v>
      </c>
      <c r="H1623" t="s">
        <v>349</v>
      </c>
      <c r="L1623" s="1">
        <v>42310</v>
      </c>
      <c r="M1623" s="1">
        <v>42494</v>
      </c>
    </row>
    <row r="1624" spans="2:13" x14ac:dyDescent="0.25">
      <c r="B1624" t="s">
        <v>967</v>
      </c>
      <c r="C1624" t="s">
        <v>0</v>
      </c>
      <c r="D1624" t="s">
        <v>1</v>
      </c>
      <c r="E1624">
        <v>645579</v>
      </c>
      <c r="F1624" t="s">
        <v>44</v>
      </c>
      <c r="H1624" t="s">
        <v>968</v>
      </c>
      <c r="L1624" s="1">
        <v>42219</v>
      </c>
      <c r="M1624" s="1">
        <v>42276</v>
      </c>
    </row>
    <row r="1625" spans="2:13" x14ac:dyDescent="0.25">
      <c r="B1625" t="s">
        <v>965</v>
      </c>
      <c r="C1625" t="s">
        <v>0</v>
      </c>
      <c r="D1625" t="s">
        <v>1</v>
      </c>
      <c r="E1625">
        <v>645269</v>
      </c>
      <c r="F1625" t="s">
        <v>44</v>
      </c>
      <c r="H1625" t="s">
        <v>966</v>
      </c>
      <c r="L1625" s="1">
        <v>42209</v>
      </c>
      <c r="M1625" s="1">
        <v>42264</v>
      </c>
    </row>
    <row r="1626" spans="2:13" x14ac:dyDescent="0.25">
      <c r="B1626" t="s">
        <v>963</v>
      </c>
      <c r="C1626" t="s">
        <v>0</v>
      </c>
      <c r="D1626" t="s">
        <v>1</v>
      </c>
      <c r="E1626">
        <v>640331</v>
      </c>
      <c r="F1626" t="s">
        <v>44</v>
      </c>
      <c r="H1626" t="s">
        <v>964</v>
      </c>
      <c r="L1626" s="1">
        <v>42044</v>
      </c>
      <c r="M1626" s="1">
        <v>42129</v>
      </c>
    </row>
    <row r="1627" spans="2:13" x14ac:dyDescent="0.25">
      <c r="B1627" t="s">
        <v>961</v>
      </c>
      <c r="C1627" t="s">
        <v>0</v>
      </c>
      <c r="D1627" t="s">
        <v>1</v>
      </c>
      <c r="E1627">
        <v>644430</v>
      </c>
      <c r="F1627" t="s">
        <v>44</v>
      </c>
      <c r="H1627" t="s">
        <v>962</v>
      </c>
      <c r="L1627" s="1">
        <v>42102</v>
      </c>
      <c r="M1627" s="1">
        <v>42240</v>
      </c>
    </row>
    <row r="1628" spans="2:13" x14ac:dyDescent="0.25">
      <c r="B1628" t="s">
        <v>959</v>
      </c>
      <c r="C1628" t="s">
        <v>0</v>
      </c>
      <c r="D1628" t="s">
        <v>1</v>
      </c>
      <c r="E1628">
        <v>642261</v>
      </c>
      <c r="F1628" t="s">
        <v>44</v>
      </c>
      <c r="H1628" t="s">
        <v>960</v>
      </c>
      <c r="L1628" s="1">
        <v>42096</v>
      </c>
      <c r="M1628" s="1">
        <v>42177</v>
      </c>
    </row>
    <row r="1629" spans="2:13" x14ac:dyDescent="0.25">
      <c r="B1629" t="s">
        <v>957</v>
      </c>
      <c r="C1629" t="s">
        <v>0</v>
      </c>
      <c r="D1629" t="s">
        <v>1</v>
      </c>
      <c r="E1629">
        <v>641191</v>
      </c>
      <c r="F1629" t="s">
        <v>44</v>
      </c>
      <c r="H1629" t="s">
        <v>958</v>
      </c>
      <c r="L1629" s="1">
        <v>42102</v>
      </c>
      <c r="M1629" s="1">
        <v>42152</v>
      </c>
    </row>
    <row r="1630" spans="2:13" x14ac:dyDescent="0.25">
      <c r="B1630" t="s">
        <v>955</v>
      </c>
      <c r="C1630" t="s">
        <v>0</v>
      </c>
      <c r="D1630" t="s">
        <v>1</v>
      </c>
      <c r="E1630">
        <v>630695</v>
      </c>
      <c r="F1630" t="s">
        <v>44</v>
      </c>
      <c r="H1630" t="s">
        <v>956</v>
      </c>
      <c r="L1630" s="1">
        <v>41863</v>
      </c>
      <c r="M1630" s="1">
        <v>41898</v>
      </c>
    </row>
    <row r="1631" spans="2:13" x14ac:dyDescent="0.25">
      <c r="B1631" t="s">
        <v>954</v>
      </c>
      <c r="C1631" t="s">
        <v>0</v>
      </c>
      <c r="D1631" t="s">
        <v>1</v>
      </c>
      <c r="E1631">
        <v>646593</v>
      </c>
      <c r="F1631" t="s">
        <v>44</v>
      </c>
      <c r="H1631" t="s">
        <v>953</v>
      </c>
      <c r="L1631" s="1">
        <v>42219</v>
      </c>
      <c r="M1631" s="1">
        <v>42312</v>
      </c>
    </row>
    <row r="1632" spans="2:13" x14ac:dyDescent="0.25">
      <c r="B1632" t="s">
        <v>952</v>
      </c>
      <c r="C1632" t="s">
        <v>0</v>
      </c>
      <c r="D1632" t="s">
        <v>1</v>
      </c>
      <c r="E1632">
        <v>641782</v>
      </c>
      <c r="F1632" t="s">
        <v>44</v>
      </c>
      <c r="H1632" t="s">
        <v>953</v>
      </c>
      <c r="L1632" s="1">
        <v>42102</v>
      </c>
      <c r="M1632" s="1">
        <v>42165</v>
      </c>
    </row>
    <row r="1633" spans="2:13" x14ac:dyDescent="0.25">
      <c r="B1633" t="s">
        <v>951</v>
      </c>
      <c r="C1633" t="s">
        <v>0</v>
      </c>
      <c r="D1633" t="s">
        <v>1</v>
      </c>
      <c r="E1633">
        <v>646592</v>
      </c>
      <c r="F1633" t="s">
        <v>44</v>
      </c>
      <c r="H1633" t="s">
        <v>950</v>
      </c>
      <c r="L1633" s="1">
        <v>42219</v>
      </c>
      <c r="M1633" s="1">
        <v>42312</v>
      </c>
    </row>
    <row r="1634" spans="2:13" x14ac:dyDescent="0.25">
      <c r="B1634" t="s">
        <v>949</v>
      </c>
      <c r="C1634" t="s">
        <v>0</v>
      </c>
      <c r="D1634" t="s">
        <v>1</v>
      </c>
      <c r="E1634">
        <v>641781</v>
      </c>
      <c r="F1634" t="s">
        <v>44</v>
      </c>
      <c r="H1634" t="s">
        <v>950</v>
      </c>
      <c r="L1634" s="1">
        <v>42102</v>
      </c>
      <c r="M1634" s="1">
        <v>42165</v>
      </c>
    </row>
    <row r="1635" spans="2:13" x14ac:dyDescent="0.25">
      <c r="B1635" t="s">
        <v>947</v>
      </c>
      <c r="C1635" t="s">
        <v>0</v>
      </c>
      <c r="D1635" t="s">
        <v>1</v>
      </c>
      <c r="E1635">
        <v>630694</v>
      </c>
      <c r="F1635" t="s">
        <v>44</v>
      </c>
      <c r="H1635" t="s">
        <v>948</v>
      </c>
      <c r="L1635" s="1">
        <v>41863</v>
      </c>
      <c r="M1635" s="1">
        <v>41898</v>
      </c>
    </row>
    <row r="1636" spans="2:13" x14ac:dyDescent="0.25">
      <c r="B1636" t="s">
        <v>946</v>
      </c>
      <c r="C1636" t="s">
        <v>0</v>
      </c>
      <c r="D1636" t="s">
        <v>1</v>
      </c>
      <c r="E1636">
        <v>648552</v>
      </c>
      <c r="F1636" t="s">
        <v>44</v>
      </c>
      <c r="H1636" t="s">
        <v>943</v>
      </c>
      <c r="L1636" s="1">
        <v>42342</v>
      </c>
      <c r="M1636" s="1">
        <v>42381</v>
      </c>
    </row>
    <row r="1637" spans="2:13" x14ac:dyDescent="0.25">
      <c r="B1637" t="s">
        <v>945</v>
      </c>
      <c r="C1637" t="s">
        <v>0</v>
      </c>
      <c r="D1637" t="s">
        <v>1</v>
      </c>
      <c r="E1637">
        <v>646149</v>
      </c>
      <c r="F1637" t="s">
        <v>44</v>
      </c>
      <c r="H1637" t="s">
        <v>943</v>
      </c>
      <c r="L1637" s="1">
        <v>42222</v>
      </c>
      <c r="M1637" s="1">
        <v>42296</v>
      </c>
    </row>
    <row r="1638" spans="2:13" x14ac:dyDescent="0.25">
      <c r="B1638" t="s">
        <v>944</v>
      </c>
      <c r="C1638" t="s">
        <v>0</v>
      </c>
      <c r="D1638" t="s">
        <v>1</v>
      </c>
      <c r="E1638">
        <v>645368</v>
      </c>
      <c r="F1638" t="s">
        <v>44</v>
      </c>
      <c r="H1638" t="s">
        <v>943</v>
      </c>
      <c r="L1638" s="1">
        <v>42219</v>
      </c>
      <c r="M1638" s="1">
        <v>42268</v>
      </c>
    </row>
    <row r="1639" spans="2:13" x14ac:dyDescent="0.25">
      <c r="B1639" t="s">
        <v>942</v>
      </c>
      <c r="C1639" t="s">
        <v>0</v>
      </c>
      <c r="D1639" t="s">
        <v>1</v>
      </c>
      <c r="E1639">
        <v>640850</v>
      </c>
      <c r="F1639" t="s">
        <v>44</v>
      </c>
      <c r="H1639" t="s">
        <v>943</v>
      </c>
      <c r="L1639" s="1">
        <v>42102</v>
      </c>
      <c r="M1639" s="1">
        <v>42143</v>
      </c>
    </row>
    <row r="1640" spans="2:13" x14ac:dyDescent="0.25">
      <c r="B1640" t="s">
        <v>940</v>
      </c>
      <c r="C1640" t="s">
        <v>0</v>
      </c>
      <c r="D1640" t="s">
        <v>1</v>
      </c>
      <c r="E1640">
        <v>644451</v>
      </c>
      <c r="F1640" t="s">
        <v>44</v>
      </c>
      <c r="H1640" t="s">
        <v>941</v>
      </c>
      <c r="L1640" s="1">
        <v>42184</v>
      </c>
      <c r="M1640" s="1">
        <v>42240</v>
      </c>
    </row>
    <row r="1641" spans="2:13" x14ac:dyDescent="0.25">
      <c r="B1641" t="s">
        <v>938</v>
      </c>
      <c r="C1641" t="s">
        <v>0</v>
      </c>
      <c r="D1641" t="s">
        <v>1</v>
      </c>
      <c r="E1641">
        <v>642433</v>
      </c>
      <c r="F1641" t="s">
        <v>44</v>
      </c>
      <c r="H1641" t="s">
        <v>939</v>
      </c>
      <c r="L1641" s="1">
        <v>42096</v>
      </c>
      <c r="M1641" s="1">
        <v>42180</v>
      </c>
    </row>
    <row r="1642" spans="2:13" x14ac:dyDescent="0.25">
      <c r="B1642" t="s">
        <v>936</v>
      </c>
      <c r="C1642" t="s">
        <v>0</v>
      </c>
      <c r="D1642" t="s">
        <v>1</v>
      </c>
      <c r="E1642">
        <v>644322</v>
      </c>
      <c r="F1642" t="s">
        <v>44</v>
      </c>
      <c r="H1642" t="s">
        <v>937</v>
      </c>
      <c r="L1642" s="1">
        <v>42102</v>
      </c>
      <c r="M1642" s="1">
        <v>42236</v>
      </c>
    </row>
    <row r="1643" spans="2:13" x14ac:dyDescent="0.25">
      <c r="L1643" s="1"/>
      <c r="M1643" s="1"/>
    </row>
    <row r="1644" spans="2:13" x14ac:dyDescent="0.25">
      <c r="L1644" s="1"/>
      <c r="M1644" s="1"/>
    </row>
    <row r="1645" spans="2:13" x14ac:dyDescent="0.25">
      <c r="L1645" s="1"/>
      <c r="M1645" s="1"/>
    </row>
    <row r="1646" spans="2:13" x14ac:dyDescent="0.25">
      <c r="L1646" s="1"/>
      <c r="M1646" s="1"/>
    </row>
    <row r="1647" spans="2:13" x14ac:dyDescent="0.25">
      <c r="B1647" t="s">
        <v>934</v>
      </c>
      <c r="C1647" t="s">
        <v>0</v>
      </c>
      <c r="D1647" t="s">
        <v>1</v>
      </c>
      <c r="E1647">
        <v>639832</v>
      </c>
      <c r="F1647" t="s">
        <v>44</v>
      </c>
      <c r="H1647" t="s">
        <v>935</v>
      </c>
      <c r="L1647" s="1">
        <v>42068</v>
      </c>
      <c r="M1647" s="1">
        <v>42117</v>
      </c>
    </row>
    <row r="1648" spans="2:13" x14ac:dyDescent="0.25">
      <c r="B1648" t="s">
        <v>932</v>
      </c>
      <c r="C1648" t="s">
        <v>0</v>
      </c>
      <c r="D1648" t="s">
        <v>1</v>
      </c>
      <c r="E1648">
        <v>646144</v>
      </c>
      <c r="F1648" t="s">
        <v>44</v>
      </c>
      <c r="H1648" t="s">
        <v>933</v>
      </c>
      <c r="L1648" s="1">
        <v>42214</v>
      </c>
      <c r="M1648" s="1">
        <v>42296</v>
      </c>
    </row>
    <row r="1649" spans="2:13" x14ac:dyDescent="0.25">
      <c r="B1649" t="s">
        <v>931</v>
      </c>
      <c r="C1649" t="s">
        <v>0</v>
      </c>
      <c r="D1649" t="s">
        <v>1</v>
      </c>
      <c r="E1649">
        <v>653089</v>
      </c>
      <c r="F1649" t="s">
        <v>44</v>
      </c>
      <c r="H1649" t="s">
        <v>930</v>
      </c>
      <c r="L1649" s="1">
        <v>42489</v>
      </c>
      <c r="M1649" s="1">
        <v>42521</v>
      </c>
    </row>
    <row r="1650" spans="2:13" x14ac:dyDescent="0.25">
      <c r="B1650" t="s">
        <v>929</v>
      </c>
      <c r="C1650" t="s">
        <v>0</v>
      </c>
      <c r="D1650" t="s">
        <v>1</v>
      </c>
      <c r="E1650">
        <v>649604</v>
      </c>
      <c r="F1650" t="s">
        <v>44</v>
      </c>
      <c r="H1650" t="s">
        <v>930</v>
      </c>
      <c r="L1650" s="1">
        <v>42332</v>
      </c>
      <c r="M1650" s="1">
        <v>42408</v>
      </c>
    </row>
    <row r="1651" spans="2:13" x14ac:dyDescent="0.25">
      <c r="B1651" t="s">
        <v>927</v>
      </c>
      <c r="C1651" t="s">
        <v>0</v>
      </c>
      <c r="D1651" t="s">
        <v>1</v>
      </c>
      <c r="E1651">
        <v>654156</v>
      </c>
      <c r="F1651" t="s">
        <v>145</v>
      </c>
      <c r="H1651" t="s">
        <v>928</v>
      </c>
      <c r="L1651" s="1">
        <v>42509</v>
      </c>
      <c r="M1651" s="1">
        <v>42563</v>
      </c>
    </row>
    <row r="1652" spans="2:13" x14ac:dyDescent="0.25">
      <c r="B1652" t="s">
        <v>504</v>
      </c>
      <c r="C1652" t="s">
        <v>139</v>
      </c>
      <c r="F1652" t="s">
        <v>44</v>
      </c>
      <c r="H1652" t="s">
        <v>503</v>
      </c>
      <c r="L1652" s="1">
        <v>42839</v>
      </c>
    </row>
    <row r="1653" spans="2:13" x14ac:dyDescent="0.25">
      <c r="B1653" t="s">
        <v>925</v>
      </c>
      <c r="C1653" t="s">
        <v>100</v>
      </c>
      <c r="D1653" t="s">
        <v>50</v>
      </c>
      <c r="E1653">
        <v>648268</v>
      </c>
      <c r="F1653" t="s">
        <v>44</v>
      </c>
      <c r="H1653" t="s">
        <v>926</v>
      </c>
      <c r="L1653" s="1">
        <v>42332</v>
      </c>
    </row>
    <row r="1654" spans="2:13" x14ac:dyDescent="0.25">
      <c r="B1654" t="s">
        <v>923</v>
      </c>
      <c r="C1654" t="s">
        <v>0</v>
      </c>
      <c r="D1654" t="s">
        <v>1</v>
      </c>
      <c r="E1654">
        <v>646143</v>
      </c>
      <c r="F1654" t="s">
        <v>44</v>
      </c>
      <c r="H1654" t="s">
        <v>924</v>
      </c>
      <c r="L1654" s="1">
        <v>42214</v>
      </c>
      <c r="M1654" s="1">
        <v>42296</v>
      </c>
    </row>
    <row r="1655" spans="2:13" x14ac:dyDescent="0.25">
      <c r="B1655" t="s">
        <v>921</v>
      </c>
      <c r="C1655" t="s">
        <v>0</v>
      </c>
      <c r="D1655" t="s">
        <v>1</v>
      </c>
      <c r="E1655">
        <v>643851</v>
      </c>
      <c r="F1655" t="s">
        <v>44</v>
      </c>
      <c r="H1655" t="s">
        <v>922</v>
      </c>
      <c r="L1655" s="1">
        <v>42068</v>
      </c>
      <c r="M1655" s="1">
        <v>42221</v>
      </c>
    </row>
    <row r="1656" spans="2:13" x14ac:dyDescent="0.25">
      <c r="B1656" t="s">
        <v>920</v>
      </c>
      <c r="C1656" t="s">
        <v>100</v>
      </c>
      <c r="D1656" t="s">
        <v>50</v>
      </c>
      <c r="E1656">
        <v>653630</v>
      </c>
      <c r="F1656" t="s">
        <v>68</v>
      </c>
      <c r="H1656" t="s">
        <v>422</v>
      </c>
      <c r="L1656" s="1">
        <v>42438</v>
      </c>
    </row>
    <row r="1657" spans="2:13" x14ac:dyDescent="0.25">
      <c r="B1657" t="s">
        <v>919</v>
      </c>
      <c r="C1657" t="s">
        <v>100</v>
      </c>
      <c r="D1657" t="s">
        <v>50</v>
      </c>
      <c r="E1657">
        <v>653713</v>
      </c>
      <c r="F1657" t="s">
        <v>44</v>
      </c>
      <c r="H1657" t="s">
        <v>422</v>
      </c>
      <c r="L1657" s="1">
        <v>42440</v>
      </c>
    </row>
    <row r="1658" spans="2:13" x14ac:dyDescent="0.25">
      <c r="B1658" t="s">
        <v>918</v>
      </c>
      <c r="C1658" t="s">
        <v>0</v>
      </c>
      <c r="D1658" t="s">
        <v>1</v>
      </c>
      <c r="E1658">
        <v>648534</v>
      </c>
      <c r="F1658" t="s">
        <v>44</v>
      </c>
      <c r="H1658" t="s">
        <v>410</v>
      </c>
      <c r="L1658" s="1">
        <v>42263</v>
      </c>
      <c r="M1658" s="1">
        <v>42381</v>
      </c>
    </row>
    <row r="1659" spans="2:13" x14ac:dyDescent="0.25">
      <c r="B1659" t="s">
        <v>371</v>
      </c>
      <c r="C1659" t="s">
        <v>76</v>
      </c>
      <c r="D1659" t="s">
        <v>1</v>
      </c>
      <c r="E1659">
        <v>657004</v>
      </c>
      <c r="F1659" t="s">
        <v>44</v>
      </c>
      <c r="H1659" t="s">
        <v>372</v>
      </c>
      <c r="L1659" s="1">
        <v>42569</v>
      </c>
      <c r="M1659" s="1">
        <v>42625</v>
      </c>
    </row>
    <row r="1660" spans="2:13" x14ac:dyDescent="0.25">
      <c r="B1660" t="s">
        <v>917</v>
      </c>
      <c r="C1660" t="s">
        <v>0</v>
      </c>
      <c r="D1660" t="s">
        <v>1</v>
      </c>
      <c r="E1660">
        <v>652762</v>
      </c>
      <c r="F1660" t="s">
        <v>68</v>
      </c>
      <c r="H1660" t="s">
        <v>362</v>
      </c>
      <c r="L1660" s="1">
        <v>42444</v>
      </c>
      <c r="M1660" s="1">
        <v>42508</v>
      </c>
    </row>
    <row r="1661" spans="2:13" x14ac:dyDescent="0.25">
      <c r="B1661" t="s">
        <v>916</v>
      </c>
      <c r="C1661" t="s">
        <v>100</v>
      </c>
      <c r="D1661" t="s">
        <v>50</v>
      </c>
      <c r="E1661">
        <v>656485</v>
      </c>
      <c r="F1661" t="s">
        <v>68</v>
      </c>
      <c r="H1661" t="s">
        <v>328</v>
      </c>
      <c r="L1661" s="1">
        <v>42562</v>
      </c>
    </row>
    <row r="1662" spans="2:13" x14ac:dyDescent="0.25">
      <c r="B1662" t="s">
        <v>915</v>
      </c>
      <c r="C1662" t="s">
        <v>0</v>
      </c>
      <c r="D1662" t="s">
        <v>1</v>
      </c>
      <c r="E1662">
        <v>654063</v>
      </c>
      <c r="F1662" t="s">
        <v>68</v>
      </c>
      <c r="H1662" t="s">
        <v>310</v>
      </c>
      <c r="L1662" s="1">
        <v>42458</v>
      </c>
      <c r="M1662" s="1">
        <v>42558</v>
      </c>
    </row>
    <row r="1663" spans="2:13" x14ac:dyDescent="0.25">
      <c r="B1663" t="s">
        <v>914</v>
      </c>
      <c r="C1663" t="s">
        <v>100</v>
      </c>
      <c r="D1663" t="s">
        <v>50</v>
      </c>
      <c r="E1663">
        <v>653510</v>
      </c>
      <c r="F1663" t="s">
        <v>44</v>
      </c>
      <c r="H1663" t="s">
        <v>310</v>
      </c>
      <c r="L1663" s="1">
        <v>42440</v>
      </c>
    </row>
    <row r="1664" spans="2:13" x14ac:dyDescent="0.25">
      <c r="B1664" t="s">
        <v>913</v>
      </c>
      <c r="C1664" t="s">
        <v>0</v>
      </c>
      <c r="D1664" t="s">
        <v>1</v>
      </c>
      <c r="E1664">
        <v>661864</v>
      </c>
      <c r="F1664" t="s">
        <v>145</v>
      </c>
      <c r="H1664" t="s">
        <v>237</v>
      </c>
      <c r="L1664" s="1">
        <v>42787</v>
      </c>
      <c r="M1664" s="1">
        <v>42807</v>
      </c>
    </row>
    <row r="1665" spans="2:13" x14ac:dyDescent="0.25">
      <c r="L1665" s="1"/>
      <c r="M1665" s="1"/>
    </row>
    <row r="1666" spans="2:13" x14ac:dyDescent="0.25">
      <c r="L1666" s="1"/>
      <c r="M1666" s="1"/>
    </row>
    <row r="1667" spans="2:13" x14ac:dyDescent="0.25">
      <c r="L1667" s="1"/>
      <c r="M1667" s="1"/>
    </row>
    <row r="1668" spans="2:13" x14ac:dyDescent="0.25">
      <c r="L1668" s="1"/>
      <c r="M1668" s="1"/>
    </row>
    <row r="1669" spans="2:13" x14ac:dyDescent="0.25">
      <c r="B1669" t="s">
        <v>912</v>
      </c>
      <c r="C1669" t="s">
        <v>0</v>
      </c>
      <c r="D1669" t="s">
        <v>1</v>
      </c>
      <c r="E1669">
        <v>656183</v>
      </c>
      <c r="F1669" t="s">
        <v>159</v>
      </c>
      <c r="H1669" t="s">
        <v>524</v>
      </c>
      <c r="L1669" s="1">
        <v>42590</v>
      </c>
      <c r="M1669" s="1">
        <v>42632</v>
      </c>
    </row>
    <row r="1670" spans="2:13" x14ac:dyDescent="0.25">
      <c r="B1670" t="s">
        <v>911</v>
      </c>
      <c r="C1670" t="s">
        <v>0</v>
      </c>
      <c r="D1670" t="s">
        <v>1</v>
      </c>
      <c r="E1670">
        <v>663534</v>
      </c>
      <c r="F1670" t="s">
        <v>44</v>
      </c>
      <c r="H1670" t="s">
        <v>513</v>
      </c>
      <c r="L1670" s="1">
        <v>42741</v>
      </c>
      <c r="M1670" s="1">
        <v>42865</v>
      </c>
    </row>
    <row r="1671" spans="2:13" x14ac:dyDescent="0.25">
      <c r="B1671" t="s">
        <v>910</v>
      </c>
      <c r="C1671" t="s">
        <v>100</v>
      </c>
      <c r="D1671" t="s">
        <v>50</v>
      </c>
      <c r="E1671">
        <v>661780</v>
      </c>
      <c r="F1671" t="s">
        <v>145</v>
      </c>
      <c r="H1671" t="s">
        <v>513</v>
      </c>
      <c r="L1671" s="1">
        <v>42586</v>
      </c>
    </row>
    <row r="1672" spans="2:13" x14ac:dyDescent="0.25">
      <c r="B1672" t="s">
        <v>502</v>
      </c>
      <c r="C1672" t="s">
        <v>139</v>
      </c>
      <c r="F1672" t="s">
        <v>159</v>
      </c>
      <c r="H1672" t="s">
        <v>501</v>
      </c>
      <c r="L1672" s="1">
        <v>42849</v>
      </c>
      <c r="M1672" s="1">
        <v>42892</v>
      </c>
    </row>
    <row r="1673" spans="2:13" x14ac:dyDescent="0.25">
      <c r="B1673" t="s">
        <v>909</v>
      </c>
      <c r="C1673" t="s">
        <v>0</v>
      </c>
      <c r="D1673" t="s">
        <v>1</v>
      </c>
      <c r="E1673">
        <v>661436</v>
      </c>
      <c r="F1673" t="s">
        <v>159</v>
      </c>
      <c r="H1673" t="s">
        <v>501</v>
      </c>
      <c r="L1673" s="1">
        <v>42674</v>
      </c>
      <c r="M1673" s="1">
        <v>42794</v>
      </c>
    </row>
    <row r="1674" spans="2:13" x14ac:dyDescent="0.25">
      <c r="B1674" t="s">
        <v>908</v>
      </c>
      <c r="C1674" t="s">
        <v>0</v>
      </c>
      <c r="D1674" t="s">
        <v>1</v>
      </c>
      <c r="E1674">
        <v>656175</v>
      </c>
      <c r="F1674" t="s">
        <v>159</v>
      </c>
      <c r="H1674" t="s">
        <v>907</v>
      </c>
      <c r="L1674" s="1">
        <v>42565</v>
      </c>
      <c r="M1674" s="1">
        <v>42632</v>
      </c>
    </row>
    <row r="1675" spans="2:13" x14ac:dyDescent="0.25">
      <c r="B1675" t="s">
        <v>906</v>
      </c>
      <c r="C1675" t="s">
        <v>100</v>
      </c>
      <c r="D1675" t="s">
        <v>50</v>
      </c>
      <c r="E1675">
        <v>655881</v>
      </c>
      <c r="F1675" t="s">
        <v>145</v>
      </c>
      <c r="H1675" t="s">
        <v>907</v>
      </c>
      <c r="L1675" s="1">
        <v>42545</v>
      </c>
    </row>
    <row r="1676" spans="2:13" x14ac:dyDescent="0.25">
      <c r="B1676" t="s">
        <v>905</v>
      </c>
      <c r="C1676" t="s">
        <v>100</v>
      </c>
      <c r="D1676" t="s">
        <v>50</v>
      </c>
      <c r="E1676">
        <v>657098</v>
      </c>
      <c r="F1676" t="s">
        <v>159</v>
      </c>
      <c r="H1676" t="s">
        <v>479</v>
      </c>
      <c r="L1676" s="1">
        <v>42633</v>
      </c>
    </row>
    <row r="1677" spans="2:13" x14ac:dyDescent="0.25">
      <c r="B1677" t="s">
        <v>904</v>
      </c>
      <c r="C1677" t="s">
        <v>0</v>
      </c>
      <c r="D1677" t="s">
        <v>1</v>
      </c>
      <c r="E1677">
        <v>655677</v>
      </c>
      <c r="F1677" t="s">
        <v>159</v>
      </c>
      <c r="H1677" t="s">
        <v>479</v>
      </c>
      <c r="L1677" s="1">
        <v>42565</v>
      </c>
      <c r="M1677" s="1">
        <v>42611</v>
      </c>
    </row>
    <row r="1678" spans="2:13" x14ac:dyDescent="0.25">
      <c r="B1678" t="s">
        <v>903</v>
      </c>
      <c r="C1678" t="s">
        <v>100</v>
      </c>
      <c r="D1678" t="s">
        <v>50</v>
      </c>
      <c r="E1678">
        <v>661667</v>
      </c>
      <c r="F1678" t="s">
        <v>145</v>
      </c>
      <c r="H1678" t="s">
        <v>468</v>
      </c>
      <c r="L1678" s="1">
        <v>42573</v>
      </c>
    </row>
    <row r="1679" spans="2:13" x14ac:dyDescent="0.25">
      <c r="B1679" t="s">
        <v>902</v>
      </c>
      <c r="C1679" t="s">
        <v>0</v>
      </c>
      <c r="D1679" t="s">
        <v>1</v>
      </c>
      <c r="E1679">
        <v>657447</v>
      </c>
      <c r="F1679" t="s">
        <v>159</v>
      </c>
      <c r="H1679" t="s">
        <v>468</v>
      </c>
      <c r="L1679" s="1">
        <v>42557</v>
      </c>
      <c r="M1679" s="1">
        <v>42674</v>
      </c>
    </row>
    <row r="1680" spans="2:13" x14ac:dyDescent="0.25">
      <c r="B1680" t="s">
        <v>900</v>
      </c>
      <c r="C1680" t="s">
        <v>0</v>
      </c>
      <c r="D1680" t="s">
        <v>1</v>
      </c>
      <c r="E1680">
        <v>655453</v>
      </c>
      <c r="F1680" t="s">
        <v>159</v>
      </c>
      <c r="H1680" t="s">
        <v>901</v>
      </c>
      <c r="L1680" s="1">
        <v>42545</v>
      </c>
      <c r="M1680" s="1">
        <v>42604</v>
      </c>
    </row>
    <row r="1681" spans="2:13" x14ac:dyDescent="0.25">
      <c r="B1681" t="s">
        <v>898</v>
      </c>
      <c r="C1681" t="s">
        <v>0</v>
      </c>
      <c r="D1681" t="s">
        <v>1</v>
      </c>
      <c r="E1681">
        <v>655678</v>
      </c>
      <c r="F1681" t="s">
        <v>159</v>
      </c>
      <c r="H1681" t="s">
        <v>899</v>
      </c>
      <c r="L1681" s="1">
        <v>42565</v>
      </c>
      <c r="M1681" s="1">
        <v>42611</v>
      </c>
    </row>
    <row r="1682" spans="2:13" x14ac:dyDescent="0.25">
      <c r="B1682" t="s">
        <v>421</v>
      </c>
      <c r="C1682" t="s">
        <v>139</v>
      </c>
      <c r="F1682" t="s">
        <v>159</v>
      </c>
      <c r="H1682" t="s">
        <v>420</v>
      </c>
      <c r="L1682" s="1">
        <v>42863</v>
      </c>
      <c r="M1682" s="1">
        <v>42892</v>
      </c>
    </row>
    <row r="1683" spans="2:13" x14ac:dyDescent="0.25">
      <c r="B1683" t="s">
        <v>401</v>
      </c>
      <c r="C1683" t="s">
        <v>139</v>
      </c>
      <c r="F1683" t="s">
        <v>192</v>
      </c>
      <c r="H1683" t="s">
        <v>400</v>
      </c>
      <c r="L1683" s="1">
        <v>42856</v>
      </c>
    </row>
    <row r="1684" spans="2:13" x14ac:dyDescent="0.25">
      <c r="B1684" t="s">
        <v>350</v>
      </c>
      <c r="C1684" t="s">
        <v>162</v>
      </c>
      <c r="F1684" t="s">
        <v>159</v>
      </c>
      <c r="H1684" t="s">
        <v>351</v>
      </c>
      <c r="L1684" s="1">
        <v>42891</v>
      </c>
      <c r="M1684" s="1">
        <v>42913</v>
      </c>
    </row>
    <row r="1685" spans="2:13" x14ac:dyDescent="0.25">
      <c r="B1685" t="s">
        <v>342</v>
      </c>
      <c r="C1685" t="s">
        <v>139</v>
      </c>
      <c r="F1685" t="s">
        <v>159</v>
      </c>
      <c r="H1685" t="s">
        <v>341</v>
      </c>
      <c r="L1685" s="1">
        <v>42831</v>
      </c>
    </row>
    <row r="1686" spans="2:13" x14ac:dyDescent="0.25">
      <c r="B1686" t="s">
        <v>327</v>
      </c>
      <c r="C1686" t="s">
        <v>162</v>
      </c>
      <c r="F1686" t="s">
        <v>159</v>
      </c>
      <c r="H1686" t="s">
        <v>326</v>
      </c>
      <c r="L1686" s="1">
        <v>42891</v>
      </c>
      <c r="M1686" s="1">
        <v>42913</v>
      </c>
    </row>
    <row r="1687" spans="2:13" x14ac:dyDescent="0.25">
      <c r="B1687" t="s">
        <v>897</v>
      </c>
      <c r="C1687" t="s">
        <v>0</v>
      </c>
      <c r="D1687" t="s">
        <v>1</v>
      </c>
      <c r="E1687">
        <v>663661</v>
      </c>
      <c r="F1687" t="s">
        <v>159</v>
      </c>
      <c r="H1687" t="s">
        <v>295</v>
      </c>
      <c r="L1687" s="1">
        <v>42787</v>
      </c>
      <c r="M1687" s="1">
        <v>42870</v>
      </c>
    </row>
    <row r="1688" spans="2:13" x14ac:dyDescent="0.25">
      <c r="B1688" t="s">
        <v>896</v>
      </c>
      <c r="C1688" t="s">
        <v>0</v>
      </c>
      <c r="D1688" t="s">
        <v>1</v>
      </c>
      <c r="E1688">
        <v>636901</v>
      </c>
      <c r="F1688" t="s">
        <v>286</v>
      </c>
      <c r="H1688" t="s">
        <v>295</v>
      </c>
      <c r="L1688" s="1">
        <v>41941</v>
      </c>
      <c r="M1688" s="1">
        <v>42059</v>
      </c>
    </row>
    <row r="1689" spans="2:13" x14ac:dyDescent="0.25">
      <c r="B1689" t="s">
        <v>894</v>
      </c>
      <c r="C1689" t="s">
        <v>0</v>
      </c>
      <c r="D1689" t="s">
        <v>1</v>
      </c>
      <c r="E1689">
        <v>629764</v>
      </c>
      <c r="F1689" t="s">
        <v>286</v>
      </c>
      <c r="H1689" t="s">
        <v>895</v>
      </c>
      <c r="L1689" s="1">
        <v>41838</v>
      </c>
      <c r="M1689" s="1">
        <v>41878</v>
      </c>
    </row>
    <row r="1690" spans="2:13" x14ac:dyDescent="0.25">
      <c r="B1690" t="s">
        <v>269</v>
      </c>
      <c r="C1690" t="s">
        <v>140</v>
      </c>
      <c r="F1690" t="s">
        <v>159</v>
      </c>
      <c r="H1690" t="s">
        <v>267</v>
      </c>
      <c r="L1690" s="1">
        <v>42831</v>
      </c>
      <c r="M1690" s="1">
        <v>42913</v>
      </c>
    </row>
    <row r="1691" spans="2:13" x14ac:dyDescent="0.25">
      <c r="B1691" t="s">
        <v>268</v>
      </c>
      <c r="C1691" t="s">
        <v>139</v>
      </c>
      <c r="F1691" t="s">
        <v>192</v>
      </c>
      <c r="H1691" t="s">
        <v>267</v>
      </c>
      <c r="L1691" s="1">
        <v>42824</v>
      </c>
      <c r="M1691" s="1">
        <v>42891</v>
      </c>
    </row>
    <row r="1692" spans="2:13" x14ac:dyDescent="0.25">
      <c r="B1692" t="s">
        <v>254</v>
      </c>
      <c r="C1692" t="s">
        <v>139</v>
      </c>
      <c r="F1692" t="s">
        <v>192</v>
      </c>
      <c r="H1692" t="s">
        <v>252</v>
      </c>
      <c r="L1692" s="1">
        <v>42856</v>
      </c>
      <c r="M1692" s="1">
        <v>42893</v>
      </c>
    </row>
    <row r="1693" spans="2:13" x14ac:dyDescent="0.25">
      <c r="B1693" t="s">
        <v>253</v>
      </c>
      <c r="C1693" t="s">
        <v>139</v>
      </c>
      <c r="F1693" t="s">
        <v>159</v>
      </c>
      <c r="H1693" t="s">
        <v>252</v>
      </c>
      <c r="L1693" s="1">
        <v>42831</v>
      </c>
      <c r="M1693" s="1">
        <v>42892</v>
      </c>
    </row>
    <row r="1694" spans="2:13" x14ac:dyDescent="0.25">
      <c r="B1694" t="s">
        <v>236</v>
      </c>
      <c r="C1694" t="s">
        <v>139</v>
      </c>
      <c r="F1694" t="s">
        <v>159</v>
      </c>
      <c r="H1694" t="s">
        <v>235</v>
      </c>
      <c r="L1694" s="1">
        <v>42831</v>
      </c>
      <c r="M1694" s="1">
        <v>42892</v>
      </c>
    </row>
    <row r="1695" spans="2:13" x14ac:dyDescent="0.25">
      <c r="B1695" t="s">
        <v>220</v>
      </c>
      <c r="C1695" t="s">
        <v>139</v>
      </c>
      <c r="F1695" t="s">
        <v>192</v>
      </c>
      <c r="H1695" t="s">
        <v>219</v>
      </c>
      <c r="L1695" s="1">
        <v>42846</v>
      </c>
    </row>
    <row r="1696" spans="2:13" x14ac:dyDescent="0.25">
      <c r="B1696" t="s">
        <v>893</v>
      </c>
      <c r="C1696" t="s">
        <v>0</v>
      </c>
      <c r="D1696" t="s">
        <v>1</v>
      </c>
      <c r="E1696">
        <v>663429</v>
      </c>
      <c r="F1696" t="s">
        <v>192</v>
      </c>
      <c r="H1696" t="s">
        <v>219</v>
      </c>
      <c r="L1696" s="1">
        <v>42769</v>
      </c>
      <c r="M1696" s="1">
        <v>42859</v>
      </c>
    </row>
    <row r="1697" spans="2:13" x14ac:dyDescent="0.25">
      <c r="B1697" t="s">
        <v>194</v>
      </c>
      <c r="C1697" t="s">
        <v>139</v>
      </c>
      <c r="F1697" t="s">
        <v>192</v>
      </c>
      <c r="H1697" t="s">
        <v>193</v>
      </c>
      <c r="L1697" s="1">
        <v>42856</v>
      </c>
    </row>
    <row r="1698" spans="2:13" x14ac:dyDescent="0.25">
      <c r="B1698" t="s">
        <v>891</v>
      </c>
      <c r="C1698" t="s">
        <v>0</v>
      </c>
      <c r="D1698" t="s">
        <v>1</v>
      </c>
      <c r="E1698">
        <v>623239</v>
      </c>
      <c r="F1698" t="s">
        <v>286</v>
      </c>
      <c r="H1698" t="s">
        <v>892</v>
      </c>
      <c r="L1698" s="1">
        <v>41677</v>
      </c>
      <c r="M1698" s="1">
        <v>41725</v>
      </c>
    </row>
    <row r="1699" spans="2:13" x14ac:dyDescent="0.25">
      <c r="B1699" t="s">
        <v>889</v>
      </c>
      <c r="C1699" t="s">
        <v>0</v>
      </c>
      <c r="D1699" t="s">
        <v>1</v>
      </c>
      <c r="E1699">
        <v>628360</v>
      </c>
      <c r="F1699" t="s">
        <v>286</v>
      </c>
      <c r="H1699" t="s">
        <v>890</v>
      </c>
      <c r="L1699" s="1">
        <v>41774</v>
      </c>
      <c r="M1699" s="1">
        <v>41848</v>
      </c>
    </row>
    <row r="1700" spans="2:13" x14ac:dyDescent="0.25">
      <c r="B1700" t="s">
        <v>887</v>
      </c>
      <c r="C1700" t="s">
        <v>0</v>
      </c>
      <c r="D1700" t="s">
        <v>1</v>
      </c>
      <c r="E1700">
        <v>634984</v>
      </c>
      <c r="F1700" t="s">
        <v>286</v>
      </c>
      <c r="H1700" t="s">
        <v>888</v>
      </c>
      <c r="L1700" s="1">
        <v>41949</v>
      </c>
      <c r="M1700" s="1">
        <v>42012</v>
      </c>
    </row>
    <row r="1704" spans="2:13" x14ac:dyDescent="0.25">
      <c r="B1704" t="s">
        <v>886</v>
      </c>
      <c r="C1704" t="s">
        <v>0</v>
      </c>
      <c r="D1704" t="s">
        <v>1</v>
      </c>
      <c r="E1704">
        <v>662301</v>
      </c>
      <c r="F1704" t="s">
        <v>177</v>
      </c>
      <c r="H1704" t="s">
        <v>549</v>
      </c>
      <c r="L1704" s="1">
        <v>42639</v>
      </c>
      <c r="M1704" s="1">
        <v>42824</v>
      </c>
    </row>
    <row r="1705" spans="2:13" x14ac:dyDescent="0.25">
      <c r="B1705" t="s">
        <v>885</v>
      </c>
      <c r="C1705" t="s">
        <v>100</v>
      </c>
      <c r="D1705" t="s">
        <v>50</v>
      </c>
      <c r="E1705">
        <v>661876</v>
      </c>
      <c r="F1705" t="s">
        <v>145</v>
      </c>
      <c r="H1705" t="s">
        <v>549</v>
      </c>
      <c r="L1705" s="1">
        <v>42559</v>
      </c>
    </row>
    <row r="1706" spans="2:13" x14ac:dyDescent="0.25">
      <c r="B1706" t="s">
        <v>538</v>
      </c>
      <c r="C1706" t="s">
        <v>139</v>
      </c>
      <c r="F1706" t="s">
        <v>159</v>
      </c>
      <c r="H1706" t="s">
        <v>537</v>
      </c>
      <c r="L1706" s="1">
        <v>42831</v>
      </c>
      <c r="M1706" s="1">
        <v>42892</v>
      </c>
    </row>
    <row r="1707" spans="2:13" x14ac:dyDescent="0.25">
      <c r="B1707" t="s">
        <v>884</v>
      </c>
      <c r="C1707" t="s">
        <v>0</v>
      </c>
      <c r="D1707" t="s">
        <v>1</v>
      </c>
      <c r="E1707">
        <v>659780</v>
      </c>
      <c r="F1707" t="s">
        <v>159</v>
      </c>
      <c r="H1707" t="s">
        <v>512</v>
      </c>
      <c r="L1707" s="1">
        <v>42674</v>
      </c>
      <c r="M1707" s="1">
        <v>42746</v>
      </c>
    </row>
    <row r="1708" spans="2:13" x14ac:dyDescent="0.25">
      <c r="B1708" t="s">
        <v>883</v>
      </c>
      <c r="C1708" t="s">
        <v>0</v>
      </c>
      <c r="D1708" t="s">
        <v>1</v>
      </c>
      <c r="E1708">
        <v>633970</v>
      </c>
      <c r="F1708" t="s">
        <v>147</v>
      </c>
      <c r="H1708" t="s">
        <v>512</v>
      </c>
      <c r="L1708" s="1">
        <v>41953</v>
      </c>
      <c r="M1708" s="1">
        <v>41982</v>
      </c>
    </row>
    <row r="1709" spans="2:13" x14ac:dyDescent="0.25">
      <c r="B1709" t="s">
        <v>882</v>
      </c>
      <c r="C1709" t="s">
        <v>0</v>
      </c>
      <c r="D1709" t="s">
        <v>1</v>
      </c>
      <c r="E1709">
        <v>662946</v>
      </c>
      <c r="F1709" t="s">
        <v>159</v>
      </c>
      <c r="H1709" t="s">
        <v>500</v>
      </c>
      <c r="L1709" s="1">
        <v>42681</v>
      </c>
      <c r="M1709" s="1">
        <v>42845</v>
      </c>
    </row>
    <row r="1710" spans="2:13" x14ac:dyDescent="0.25">
      <c r="B1710" t="s">
        <v>881</v>
      </c>
      <c r="C1710" t="s">
        <v>0</v>
      </c>
      <c r="D1710" t="s">
        <v>1</v>
      </c>
      <c r="E1710">
        <v>658624</v>
      </c>
      <c r="F1710" t="s">
        <v>147</v>
      </c>
      <c r="H1710" t="s">
        <v>500</v>
      </c>
      <c r="L1710" s="1">
        <v>42681</v>
      </c>
      <c r="M1710" s="1">
        <v>42710</v>
      </c>
    </row>
    <row r="1711" spans="2:13" x14ac:dyDescent="0.25">
      <c r="B1711" t="s">
        <v>880</v>
      </c>
      <c r="C1711" t="s">
        <v>0</v>
      </c>
      <c r="D1711" t="s">
        <v>1</v>
      </c>
      <c r="E1711">
        <v>655426</v>
      </c>
      <c r="F1711" t="s">
        <v>147</v>
      </c>
      <c r="H1711" t="s">
        <v>500</v>
      </c>
      <c r="L1711" s="1">
        <v>42458</v>
      </c>
      <c r="M1711" s="1">
        <v>42604</v>
      </c>
    </row>
    <row r="1712" spans="2:13" x14ac:dyDescent="0.25">
      <c r="B1712" t="s">
        <v>878</v>
      </c>
      <c r="C1712" t="s">
        <v>0</v>
      </c>
      <c r="D1712" t="s">
        <v>1</v>
      </c>
      <c r="E1712">
        <v>646243</v>
      </c>
      <c r="F1712" t="s">
        <v>177</v>
      </c>
      <c r="H1712" t="s">
        <v>879</v>
      </c>
      <c r="L1712" s="1">
        <v>42187</v>
      </c>
      <c r="M1712" s="1">
        <v>42298</v>
      </c>
    </row>
    <row r="1713" spans="2:13" x14ac:dyDescent="0.25">
      <c r="B1713" t="s">
        <v>873</v>
      </c>
      <c r="C1713" t="s">
        <v>0</v>
      </c>
      <c r="D1713" t="s">
        <v>1</v>
      </c>
      <c r="E1713">
        <v>659786</v>
      </c>
      <c r="F1713" t="s">
        <v>159</v>
      </c>
      <c r="H1713" t="s">
        <v>455</v>
      </c>
      <c r="L1713" s="1">
        <v>42688</v>
      </c>
      <c r="M1713" s="1">
        <v>42746</v>
      </c>
    </row>
    <row r="1714" spans="2:13" x14ac:dyDescent="0.25">
      <c r="B1714" t="s">
        <v>877</v>
      </c>
      <c r="C1714" t="s">
        <v>0</v>
      </c>
      <c r="D1714" t="s">
        <v>1</v>
      </c>
      <c r="E1714">
        <v>646960</v>
      </c>
      <c r="F1714" t="s">
        <v>147</v>
      </c>
      <c r="H1714" t="s">
        <v>455</v>
      </c>
      <c r="L1714" s="1">
        <v>42228</v>
      </c>
      <c r="M1714" s="1">
        <v>42326</v>
      </c>
    </row>
    <row r="1715" spans="2:13" x14ac:dyDescent="0.25">
      <c r="B1715" t="s">
        <v>876</v>
      </c>
      <c r="C1715" t="s">
        <v>0</v>
      </c>
      <c r="D1715" t="s">
        <v>1</v>
      </c>
      <c r="E1715">
        <v>661010</v>
      </c>
      <c r="F1715" t="s">
        <v>159</v>
      </c>
      <c r="H1715" t="s">
        <v>430</v>
      </c>
      <c r="L1715" s="1">
        <v>42639</v>
      </c>
      <c r="M1715" s="1">
        <v>42780</v>
      </c>
    </row>
    <row r="1716" spans="2:13" x14ac:dyDescent="0.25">
      <c r="B1716" t="s">
        <v>875</v>
      </c>
      <c r="C1716" t="s">
        <v>0</v>
      </c>
      <c r="D1716" t="s">
        <v>1</v>
      </c>
      <c r="E1716">
        <v>655580</v>
      </c>
      <c r="F1716" t="s">
        <v>147</v>
      </c>
      <c r="H1716" t="s">
        <v>430</v>
      </c>
      <c r="L1716" s="1">
        <v>42541</v>
      </c>
      <c r="M1716" s="1">
        <v>42607</v>
      </c>
    </row>
    <row r="1717" spans="2:13" x14ac:dyDescent="0.25">
      <c r="B1717" t="s">
        <v>874</v>
      </c>
      <c r="C1717" t="s">
        <v>0</v>
      </c>
      <c r="D1717" t="s">
        <v>1</v>
      </c>
      <c r="E1717">
        <v>650075</v>
      </c>
      <c r="F1717" t="s">
        <v>147</v>
      </c>
      <c r="H1717" t="s">
        <v>430</v>
      </c>
      <c r="L1717" s="1">
        <v>42355</v>
      </c>
      <c r="M1717" s="1">
        <v>42422</v>
      </c>
    </row>
    <row r="1718" spans="2:13" x14ac:dyDescent="0.25">
      <c r="B1718" t="s">
        <v>873</v>
      </c>
      <c r="C1718" t="s">
        <v>0</v>
      </c>
      <c r="D1718" t="s">
        <v>1</v>
      </c>
      <c r="E1718">
        <v>659786</v>
      </c>
      <c r="F1718" t="s">
        <v>159</v>
      </c>
      <c r="H1718" t="s">
        <v>393</v>
      </c>
      <c r="L1718" s="1">
        <v>42688</v>
      </c>
      <c r="M1718" s="1">
        <v>42746</v>
      </c>
    </row>
    <row r="1719" spans="2:13" x14ac:dyDescent="0.25">
      <c r="B1719" t="s">
        <v>872</v>
      </c>
      <c r="C1719" t="s">
        <v>0</v>
      </c>
      <c r="D1719" t="s">
        <v>1</v>
      </c>
      <c r="E1719">
        <v>661856</v>
      </c>
      <c r="F1719" t="s">
        <v>159</v>
      </c>
      <c r="H1719" t="s">
        <v>383</v>
      </c>
      <c r="L1719" s="1">
        <v>42674</v>
      </c>
      <c r="M1719" s="1">
        <v>42807</v>
      </c>
    </row>
    <row r="1720" spans="2:13" x14ac:dyDescent="0.25">
      <c r="B1720" t="s">
        <v>871</v>
      </c>
      <c r="C1720" t="s">
        <v>100</v>
      </c>
      <c r="D1720" t="s">
        <v>50</v>
      </c>
      <c r="E1720">
        <v>651382</v>
      </c>
      <c r="F1720" t="s">
        <v>286</v>
      </c>
      <c r="H1720" t="s">
        <v>383</v>
      </c>
      <c r="L1720" s="1">
        <v>41890</v>
      </c>
    </row>
    <row r="1721" spans="2:13" x14ac:dyDescent="0.25">
      <c r="B1721" t="s">
        <v>869</v>
      </c>
      <c r="C1721" t="s">
        <v>0</v>
      </c>
      <c r="D1721" t="s">
        <v>1</v>
      </c>
      <c r="E1721">
        <v>631085</v>
      </c>
      <c r="F1721" t="s">
        <v>286</v>
      </c>
      <c r="H1721" t="s">
        <v>870</v>
      </c>
      <c r="L1721" s="1">
        <v>41732</v>
      </c>
      <c r="M1721" s="1">
        <v>41907</v>
      </c>
    </row>
    <row r="1722" spans="2:13" x14ac:dyDescent="0.25">
      <c r="B1722" t="s">
        <v>868</v>
      </c>
      <c r="C1722" t="s">
        <v>100</v>
      </c>
      <c r="D1722" t="s">
        <v>50</v>
      </c>
      <c r="E1722">
        <v>630704</v>
      </c>
      <c r="F1722" t="s">
        <v>286</v>
      </c>
      <c r="H1722" t="s">
        <v>867</v>
      </c>
      <c r="L1722" s="1">
        <v>41871</v>
      </c>
    </row>
    <row r="1723" spans="2:13" x14ac:dyDescent="0.25">
      <c r="B1723" t="s">
        <v>866</v>
      </c>
      <c r="C1723" t="s">
        <v>0</v>
      </c>
      <c r="D1723" t="s">
        <v>1</v>
      </c>
      <c r="E1723">
        <v>628941</v>
      </c>
      <c r="F1723" t="s">
        <v>286</v>
      </c>
      <c r="H1723" t="s">
        <v>867</v>
      </c>
      <c r="L1723" s="1">
        <v>41829</v>
      </c>
      <c r="M1723" s="1">
        <v>41858</v>
      </c>
    </row>
    <row r="1724" spans="2:13" x14ac:dyDescent="0.25">
      <c r="B1724" t="s">
        <v>361</v>
      </c>
      <c r="C1724" t="s">
        <v>0</v>
      </c>
      <c r="D1724" t="s">
        <v>1</v>
      </c>
      <c r="E1724">
        <v>664418</v>
      </c>
      <c r="F1724" t="s">
        <v>159</v>
      </c>
      <c r="H1724" t="s">
        <v>360</v>
      </c>
      <c r="L1724" s="1">
        <v>42831</v>
      </c>
      <c r="M1724" s="1">
        <v>42891</v>
      </c>
    </row>
    <row r="1725" spans="2:13" x14ac:dyDescent="0.25">
      <c r="B1725" t="s">
        <v>863</v>
      </c>
      <c r="C1725" t="s">
        <v>100</v>
      </c>
      <c r="D1725" t="s">
        <v>50</v>
      </c>
      <c r="E1725">
        <v>653897</v>
      </c>
      <c r="F1725" t="s">
        <v>864</v>
      </c>
      <c r="H1725" t="s">
        <v>865</v>
      </c>
      <c r="L1725" s="1">
        <v>42478</v>
      </c>
    </row>
    <row r="1726" spans="2:13" x14ac:dyDescent="0.25">
      <c r="B1726" t="s">
        <v>862</v>
      </c>
      <c r="C1726" t="s">
        <v>0</v>
      </c>
      <c r="D1726" t="s">
        <v>1</v>
      </c>
      <c r="E1726">
        <v>657716</v>
      </c>
      <c r="F1726" t="s">
        <v>159</v>
      </c>
      <c r="H1726" t="s">
        <v>234</v>
      </c>
      <c r="L1726" s="1">
        <v>42646</v>
      </c>
      <c r="M1726" s="1">
        <v>42682</v>
      </c>
    </row>
    <row r="1727" spans="2:13" x14ac:dyDescent="0.25">
      <c r="B1727" t="s">
        <v>861</v>
      </c>
      <c r="C1727" t="s">
        <v>0</v>
      </c>
      <c r="D1727" t="s">
        <v>1</v>
      </c>
      <c r="E1727">
        <v>655772</v>
      </c>
      <c r="F1727" t="s">
        <v>159</v>
      </c>
      <c r="H1727" t="s">
        <v>234</v>
      </c>
      <c r="L1727" s="1">
        <v>42517</v>
      </c>
      <c r="M1727" s="1">
        <v>42613</v>
      </c>
    </row>
    <row r="1728" spans="2:13" x14ac:dyDescent="0.25">
      <c r="B1728" t="s">
        <v>217</v>
      </c>
      <c r="C1728" t="s">
        <v>140</v>
      </c>
      <c r="F1728" t="s">
        <v>159</v>
      </c>
      <c r="H1728" t="s">
        <v>218</v>
      </c>
      <c r="L1728" s="1">
        <v>42863</v>
      </c>
      <c r="M1728" s="1">
        <v>42906</v>
      </c>
    </row>
    <row r="1729" spans="2:13" x14ac:dyDescent="0.25">
      <c r="B1729" t="s">
        <v>860</v>
      </c>
      <c r="C1729" t="s">
        <v>0</v>
      </c>
      <c r="D1729" t="s">
        <v>1</v>
      </c>
      <c r="E1729">
        <v>630736</v>
      </c>
      <c r="F1729" t="s">
        <v>286</v>
      </c>
      <c r="H1729" t="s">
        <v>218</v>
      </c>
      <c r="L1729" s="1">
        <v>41835</v>
      </c>
      <c r="M1729" s="1">
        <v>41899</v>
      </c>
    </row>
    <row r="1730" spans="2:13" x14ac:dyDescent="0.25">
      <c r="B1730" t="s">
        <v>857</v>
      </c>
      <c r="C1730" t="s">
        <v>0</v>
      </c>
      <c r="D1730" t="s">
        <v>1</v>
      </c>
      <c r="E1730">
        <v>604001</v>
      </c>
      <c r="F1730" t="s">
        <v>858</v>
      </c>
      <c r="H1730" t="s">
        <v>859</v>
      </c>
      <c r="L1730" s="1">
        <v>41177</v>
      </c>
      <c r="M1730" s="1">
        <v>41221</v>
      </c>
    </row>
    <row r="1735" spans="2:13" x14ac:dyDescent="0.25">
      <c r="B1735" t="s">
        <v>856</v>
      </c>
      <c r="C1735" t="s">
        <v>0</v>
      </c>
      <c r="D1735" t="s">
        <v>1</v>
      </c>
      <c r="E1735">
        <v>643315</v>
      </c>
      <c r="F1735" t="s">
        <v>134</v>
      </c>
      <c r="H1735" t="s">
        <v>855</v>
      </c>
      <c r="L1735" s="1">
        <v>42172</v>
      </c>
      <c r="M1735" s="1">
        <v>42206</v>
      </c>
    </row>
    <row r="1736" spans="2:13" x14ac:dyDescent="0.25">
      <c r="B1736" t="s">
        <v>854</v>
      </c>
      <c r="C1736" t="s">
        <v>100</v>
      </c>
      <c r="D1736" t="s">
        <v>50</v>
      </c>
      <c r="E1736">
        <v>605612</v>
      </c>
      <c r="F1736" t="s">
        <v>229</v>
      </c>
      <c r="H1736" t="s">
        <v>855</v>
      </c>
      <c r="L1736" s="1">
        <v>41102</v>
      </c>
    </row>
    <row r="1737" spans="2:13" x14ac:dyDescent="0.25">
      <c r="B1737" t="s">
        <v>852</v>
      </c>
      <c r="C1737" t="s">
        <v>0</v>
      </c>
      <c r="D1737" t="s">
        <v>1</v>
      </c>
      <c r="E1737">
        <v>601628</v>
      </c>
      <c r="F1737" t="s">
        <v>229</v>
      </c>
      <c r="H1737" t="s">
        <v>853</v>
      </c>
      <c r="L1737" s="1">
        <v>41102</v>
      </c>
      <c r="M1737" s="1">
        <v>41156</v>
      </c>
    </row>
    <row r="1738" spans="2:13" x14ac:dyDescent="0.25">
      <c r="B1738" t="s">
        <v>851</v>
      </c>
      <c r="C1738" t="s">
        <v>0</v>
      </c>
      <c r="D1738" t="s">
        <v>1</v>
      </c>
      <c r="E1738">
        <v>654961</v>
      </c>
      <c r="F1738" t="s">
        <v>134</v>
      </c>
      <c r="H1738" t="s">
        <v>523</v>
      </c>
      <c r="L1738" s="1">
        <v>42423</v>
      </c>
      <c r="M1738" s="1">
        <v>42586</v>
      </c>
    </row>
    <row r="1739" spans="2:13" x14ac:dyDescent="0.25">
      <c r="B1739" t="s">
        <v>850</v>
      </c>
      <c r="C1739" t="s">
        <v>0</v>
      </c>
      <c r="D1739" t="s">
        <v>1</v>
      </c>
      <c r="E1739">
        <v>662100</v>
      </c>
      <c r="F1739" t="s">
        <v>134</v>
      </c>
      <c r="H1739" t="s">
        <v>511</v>
      </c>
      <c r="L1739" s="1">
        <v>42544</v>
      </c>
      <c r="M1739" s="1">
        <v>42817</v>
      </c>
    </row>
    <row r="1740" spans="2:13" x14ac:dyDescent="0.25">
      <c r="B1740" t="s">
        <v>499</v>
      </c>
      <c r="C1740" t="s">
        <v>162</v>
      </c>
      <c r="F1740" t="s">
        <v>134</v>
      </c>
      <c r="H1740" t="s">
        <v>498</v>
      </c>
      <c r="L1740" s="1">
        <v>42891</v>
      </c>
      <c r="M1740" s="1">
        <v>42912</v>
      </c>
    </row>
    <row r="1741" spans="2:13" x14ac:dyDescent="0.25">
      <c r="B1741" t="s">
        <v>849</v>
      </c>
      <c r="C1741" t="s">
        <v>0</v>
      </c>
      <c r="D1741" t="s">
        <v>1</v>
      </c>
      <c r="E1741">
        <v>662104</v>
      </c>
      <c r="F1741" t="s">
        <v>134</v>
      </c>
      <c r="H1741" t="s">
        <v>498</v>
      </c>
      <c r="L1741" s="1">
        <v>42682</v>
      </c>
      <c r="M1741" s="1">
        <v>42817</v>
      </c>
    </row>
    <row r="1742" spans="2:13" x14ac:dyDescent="0.25">
      <c r="B1742" t="s">
        <v>848</v>
      </c>
      <c r="C1742" t="s">
        <v>100</v>
      </c>
      <c r="D1742" t="s">
        <v>50</v>
      </c>
      <c r="E1742">
        <v>661884</v>
      </c>
      <c r="F1742" t="s">
        <v>159</v>
      </c>
      <c r="H1742" t="s">
        <v>498</v>
      </c>
      <c r="L1742" s="1">
        <v>42674</v>
      </c>
    </row>
    <row r="1743" spans="2:13" x14ac:dyDescent="0.25">
      <c r="B1743" t="s">
        <v>847</v>
      </c>
      <c r="C1743" t="s">
        <v>0</v>
      </c>
      <c r="D1743" t="s">
        <v>1</v>
      </c>
      <c r="E1743">
        <v>651104</v>
      </c>
      <c r="F1743" t="s">
        <v>147</v>
      </c>
      <c r="H1743" t="s">
        <v>498</v>
      </c>
      <c r="L1743" s="1">
        <v>42410</v>
      </c>
      <c r="M1743" s="1">
        <v>42452</v>
      </c>
    </row>
    <row r="1744" spans="2:13" x14ac:dyDescent="0.25">
      <c r="B1744" t="s">
        <v>491</v>
      </c>
      <c r="C1744" t="s">
        <v>76</v>
      </c>
      <c r="F1744" t="s">
        <v>134</v>
      </c>
      <c r="H1744" t="s">
        <v>490</v>
      </c>
      <c r="L1744" s="1">
        <v>42825</v>
      </c>
    </row>
    <row r="1745" spans="2:13" x14ac:dyDescent="0.25">
      <c r="B1745" t="s">
        <v>846</v>
      </c>
      <c r="C1745" t="s">
        <v>100</v>
      </c>
      <c r="D1745" t="s">
        <v>50</v>
      </c>
      <c r="E1745">
        <v>657863</v>
      </c>
      <c r="F1745" t="s">
        <v>147</v>
      </c>
      <c r="H1745" t="s">
        <v>490</v>
      </c>
      <c r="L1745" s="1">
        <v>42663</v>
      </c>
    </row>
    <row r="1746" spans="2:13" x14ac:dyDescent="0.25">
      <c r="B1746" t="s">
        <v>845</v>
      </c>
      <c r="C1746" t="s">
        <v>0</v>
      </c>
      <c r="D1746" t="s">
        <v>1</v>
      </c>
      <c r="E1746">
        <v>656170</v>
      </c>
      <c r="F1746" t="s">
        <v>147</v>
      </c>
      <c r="H1746" t="s">
        <v>490</v>
      </c>
      <c r="L1746" s="1">
        <v>42541</v>
      </c>
      <c r="M1746" s="1">
        <v>42632</v>
      </c>
    </row>
    <row r="1747" spans="2:13" x14ac:dyDescent="0.25">
      <c r="B1747" t="s">
        <v>844</v>
      </c>
      <c r="C1747" t="s">
        <v>0</v>
      </c>
      <c r="D1747" t="s">
        <v>1</v>
      </c>
      <c r="E1747">
        <v>645258</v>
      </c>
      <c r="F1747" t="s">
        <v>159</v>
      </c>
      <c r="H1747" t="s">
        <v>843</v>
      </c>
      <c r="L1747" s="1">
        <v>42165</v>
      </c>
      <c r="M1747" s="1">
        <v>42264</v>
      </c>
    </row>
    <row r="1748" spans="2:13" x14ac:dyDescent="0.25">
      <c r="B1748" t="s">
        <v>842</v>
      </c>
      <c r="C1748" t="s">
        <v>0</v>
      </c>
      <c r="D1748" t="s">
        <v>1</v>
      </c>
      <c r="E1748">
        <v>632249</v>
      </c>
      <c r="F1748" t="s">
        <v>147</v>
      </c>
      <c r="H1748" t="s">
        <v>843</v>
      </c>
      <c r="L1748" s="1">
        <v>41906</v>
      </c>
      <c r="M1748" s="1">
        <v>41939</v>
      </c>
    </row>
    <row r="1749" spans="2:13" x14ac:dyDescent="0.25">
      <c r="B1749" t="s">
        <v>841</v>
      </c>
      <c r="C1749" t="s">
        <v>0</v>
      </c>
      <c r="D1749" t="s">
        <v>1</v>
      </c>
      <c r="E1749">
        <v>650129</v>
      </c>
      <c r="F1749" t="s">
        <v>147</v>
      </c>
      <c r="H1749" t="s">
        <v>467</v>
      </c>
      <c r="L1749" s="1">
        <v>42383</v>
      </c>
      <c r="M1749" s="1">
        <v>42423</v>
      </c>
    </row>
    <row r="1750" spans="2:13" x14ac:dyDescent="0.25">
      <c r="B1750" t="s">
        <v>840</v>
      </c>
      <c r="C1750" t="s">
        <v>0</v>
      </c>
      <c r="D1750" t="s">
        <v>1</v>
      </c>
      <c r="E1750">
        <v>647886</v>
      </c>
      <c r="F1750" t="s">
        <v>159</v>
      </c>
      <c r="H1750" t="s">
        <v>467</v>
      </c>
      <c r="L1750" s="1">
        <v>42165</v>
      </c>
      <c r="M1750" s="1">
        <v>42360</v>
      </c>
    </row>
    <row r="1751" spans="2:13" x14ac:dyDescent="0.25">
      <c r="B1751" t="s">
        <v>839</v>
      </c>
      <c r="C1751" t="s">
        <v>0</v>
      </c>
      <c r="D1751" t="s">
        <v>1</v>
      </c>
      <c r="E1751">
        <v>662947</v>
      </c>
      <c r="F1751" t="s">
        <v>159</v>
      </c>
      <c r="H1751" t="s">
        <v>454</v>
      </c>
      <c r="L1751" s="1">
        <v>42703</v>
      </c>
      <c r="M1751" s="1">
        <v>42845</v>
      </c>
    </row>
    <row r="1752" spans="2:13" x14ac:dyDescent="0.25">
      <c r="B1752" t="s">
        <v>838</v>
      </c>
      <c r="C1752" t="s">
        <v>0</v>
      </c>
      <c r="D1752" t="s">
        <v>1</v>
      </c>
      <c r="E1752">
        <v>655876</v>
      </c>
      <c r="F1752" t="s">
        <v>147</v>
      </c>
      <c r="H1752" t="s">
        <v>454</v>
      </c>
      <c r="L1752" s="1">
        <v>42478</v>
      </c>
      <c r="M1752" s="1">
        <v>42619</v>
      </c>
    </row>
    <row r="1753" spans="2:13" x14ac:dyDescent="0.25">
      <c r="B1753" t="s">
        <v>837</v>
      </c>
      <c r="C1753" t="s">
        <v>100</v>
      </c>
      <c r="D1753" t="s">
        <v>50</v>
      </c>
      <c r="E1753">
        <v>654171</v>
      </c>
      <c r="F1753" t="s">
        <v>134</v>
      </c>
      <c r="H1753" t="s">
        <v>836</v>
      </c>
      <c r="L1753" s="1">
        <v>42530</v>
      </c>
    </row>
    <row r="1754" spans="2:13" x14ac:dyDescent="0.25">
      <c r="B1754" t="s">
        <v>835</v>
      </c>
      <c r="C1754" t="s">
        <v>0</v>
      </c>
      <c r="D1754" t="s">
        <v>1</v>
      </c>
      <c r="E1754">
        <v>652076</v>
      </c>
      <c r="F1754" t="s">
        <v>134</v>
      </c>
      <c r="H1754" t="s">
        <v>836</v>
      </c>
      <c r="L1754" s="1">
        <v>42291</v>
      </c>
      <c r="M1754" s="1">
        <v>42486</v>
      </c>
    </row>
    <row r="1755" spans="2:13" x14ac:dyDescent="0.25">
      <c r="B1755" t="s">
        <v>438</v>
      </c>
      <c r="C1755" t="s">
        <v>139</v>
      </c>
      <c r="F1755" t="s">
        <v>134</v>
      </c>
      <c r="H1755" t="s">
        <v>437</v>
      </c>
      <c r="L1755" s="1">
        <v>42642</v>
      </c>
      <c r="M1755" s="1">
        <v>42898</v>
      </c>
    </row>
    <row r="1756" spans="2:13" x14ac:dyDescent="0.25">
      <c r="B1756" t="s">
        <v>419</v>
      </c>
      <c r="C1756" t="s">
        <v>139</v>
      </c>
      <c r="F1756" t="s">
        <v>134</v>
      </c>
      <c r="H1756" t="s">
        <v>418</v>
      </c>
      <c r="L1756" s="1">
        <v>42667</v>
      </c>
      <c r="M1756" s="1">
        <v>42898</v>
      </c>
    </row>
    <row r="1757" spans="2:13" x14ac:dyDescent="0.25">
      <c r="B1757" t="s">
        <v>834</v>
      </c>
      <c r="C1757" t="s">
        <v>0</v>
      </c>
      <c r="D1757" t="s">
        <v>1</v>
      </c>
      <c r="E1757">
        <v>656012</v>
      </c>
      <c r="F1757" t="s">
        <v>147</v>
      </c>
      <c r="H1757" t="s">
        <v>399</v>
      </c>
      <c r="L1757" s="1">
        <v>42530</v>
      </c>
      <c r="M1757" s="1">
        <v>42625</v>
      </c>
    </row>
    <row r="1758" spans="2:13" x14ac:dyDescent="0.25">
      <c r="B1758" t="s">
        <v>833</v>
      </c>
      <c r="C1758" t="s">
        <v>0</v>
      </c>
      <c r="D1758" t="s">
        <v>1</v>
      </c>
      <c r="E1758">
        <v>653144</v>
      </c>
      <c r="F1758" t="s">
        <v>134</v>
      </c>
      <c r="H1758" t="s">
        <v>399</v>
      </c>
      <c r="L1758" s="1">
        <v>42278</v>
      </c>
      <c r="M1758" s="1">
        <v>42523</v>
      </c>
    </row>
    <row r="1759" spans="2:13" x14ac:dyDescent="0.25">
      <c r="B1759" t="s">
        <v>832</v>
      </c>
      <c r="C1759" t="s">
        <v>0</v>
      </c>
      <c r="D1759" t="s">
        <v>1</v>
      </c>
      <c r="E1759">
        <v>658036</v>
      </c>
      <c r="F1759" t="s">
        <v>159</v>
      </c>
      <c r="H1759" t="s">
        <v>830</v>
      </c>
      <c r="L1759" s="1">
        <v>42619</v>
      </c>
      <c r="M1759" s="1">
        <v>42691</v>
      </c>
    </row>
    <row r="1760" spans="2:13" x14ac:dyDescent="0.25">
      <c r="B1760" t="s">
        <v>831</v>
      </c>
      <c r="C1760" t="s">
        <v>0</v>
      </c>
      <c r="D1760" t="s">
        <v>1</v>
      </c>
      <c r="E1760">
        <v>632743</v>
      </c>
      <c r="F1760" t="s">
        <v>147</v>
      </c>
      <c r="H1760" t="s">
        <v>830</v>
      </c>
      <c r="L1760" s="1">
        <v>41905</v>
      </c>
      <c r="M1760" s="1">
        <v>41949</v>
      </c>
    </row>
    <row r="1761" spans="2:13" x14ac:dyDescent="0.25">
      <c r="B1761" t="s">
        <v>829</v>
      </c>
      <c r="C1761" t="s">
        <v>0</v>
      </c>
      <c r="D1761" t="s">
        <v>1</v>
      </c>
      <c r="E1761">
        <v>617129</v>
      </c>
      <c r="F1761" t="s">
        <v>210</v>
      </c>
      <c r="H1761" t="s">
        <v>830</v>
      </c>
      <c r="L1761" s="1">
        <v>41528</v>
      </c>
      <c r="M1761" s="1">
        <v>41564</v>
      </c>
    </row>
    <row r="1762" spans="2:13" x14ac:dyDescent="0.25">
      <c r="B1762" t="s">
        <v>828</v>
      </c>
      <c r="C1762" t="s">
        <v>0</v>
      </c>
      <c r="D1762" t="s">
        <v>1</v>
      </c>
      <c r="E1762">
        <v>658038</v>
      </c>
      <c r="F1762" t="s">
        <v>159</v>
      </c>
      <c r="H1762" t="s">
        <v>827</v>
      </c>
      <c r="L1762" s="1">
        <v>42629</v>
      </c>
      <c r="M1762" s="1">
        <v>42691</v>
      </c>
    </row>
    <row r="1763" spans="2:13" x14ac:dyDescent="0.25">
      <c r="B1763" t="s">
        <v>826</v>
      </c>
      <c r="C1763" t="s">
        <v>100</v>
      </c>
      <c r="F1763" t="s">
        <v>134</v>
      </c>
      <c r="H1763" t="s">
        <v>827</v>
      </c>
      <c r="L1763" s="1">
        <v>42592</v>
      </c>
    </row>
    <row r="1764" spans="2:13" x14ac:dyDescent="0.25">
      <c r="B1764" t="s">
        <v>825</v>
      </c>
      <c r="C1764" t="s">
        <v>0</v>
      </c>
      <c r="D1764" t="s">
        <v>1</v>
      </c>
      <c r="E1764">
        <v>657904</v>
      </c>
      <c r="F1764" t="s">
        <v>159</v>
      </c>
      <c r="H1764" t="s">
        <v>824</v>
      </c>
      <c r="L1764" s="1">
        <v>42619</v>
      </c>
      <c r="M1764" s="1">
        <v>42688</v>
      </c>
    </row>
    <row r="1765" spans="2:13" x14ac:dyDescent="0.25">
      <c r="B1765" t="s">
        <v>823</v>
      </c>
      <c r="C1765" t="s">
        <v>100</v>
      </c>
      <c r="D1765" t="s">
        <v>50</v>
      </c>
      <c r="E1765">
        <v>654440</v>
      </c>
      <c r="F1765" t="s">
        <v>134</v>
      </c>
      <c r="H1765" t="s">
        <v>824</v>
      </c>
      <c r="L1765" s="1">
        <v>42530</v>
      </c>
    </row>
    <row r="1766" spans="2:13" x14ac:dyDescent="0.25">
      <c r="B1766" t="s">
        <v>822</v>
      </c>
      <c r="C1766" t="s">
        <v>0</v>
      </c>
      <c r="D1766" t="s">
        <v>1</v>
      </c>
      <c r="E1766">
        <v>655106</v>
      </c>
      <c r="F1766" t="s">
        <v>134</v>
      </c>
      <c r="H1766" t="s">
        <v>820</v>
      </c>
      <c r="L1766" s="1">
        <v>42530</v>
      </c>
      <c r="M1766" s="1">
        <v>42592</v>
      </c>
    </row>
    <row r="1767" spans="2:13" x14ac:dyDescent="0.25">
      <c r="B1767" t="s">
        <v>821</v>
      </c>
      <c r="C1767" t="s">
        <v>100</v>
      </c>
      <c r="D1767" t="s">
        <v>50</v>
      </c>
      <c r="E1767">
        <v>631993</v>
      </c>
      <c r="F1767" t="s">
        <v>286</v>
      </c>
      <c r="H1767" t="s">
        <v>820</v>
      </c>
      <c r="L1767" s="1">
        <v>41597</v>
      </c>
    </row>
    <row r="1768" spans="2:13" x14ac:dyDescent="0.25">
      <c r="B1768" t="s">
        <v>819</v>
      </c>
      <c r="C1768" t="s">
        <v>100</v>
      </c>
      <c r="D1768" t="s">
        <v>50</v>
      </c>
      <c r="E1768">
        <v>622385</v>
      </c>
      <c r="F1768" t="s">
        <v>210</v>
      </c>
      <c r="H1768" t="s">
        <v>820</v>
      </c>
      <c r="L1768" s="1">
        <v>41592</v>
      </c>
    </row>
    <row r="1769" spans="2:13" x14ac:dyDescent="0.25">
      <c r="B1769" t="s">
        <v>817</v>
      </c>
      <c r="C1769" t="s">
        <v>0</v>
      </c>
      <c r="D1769" t="s">
        <v>1</v>
      </c>
      <c r="E1769">
        <v>615679</v>
      </c>
      <c r="F1769" t="s">
        <v>210</v>
      </c>
      <c r="H1769" t="s">
        <v>818</v>
      </c>
      <c r="L1769" s="1">
        <v>41492</v>
      </c>
      <c r="M1769" s="1">
        <v>41527</v>
      </c>
    </row>
    <row r="1770" spans="2:13" x14ac:dyDescent="0.25">
      <c r="B1770" t="s">
        <v>339</v>
      </c>
      <c r="C1770" t="s">
        <v>139</v>
      </c>
      <c r="F1770" t="s">
        <v>159</v>
      </c>
      <c r="H1770" t="s">
        <v>340</v>
      </c>
      <c r="L1770" s="1">
        <v>42773</v>
      </c>
      <c r="M1770" s="1">
        <v>42850</v>
      </c>
    </row>
    <row r="1771" spans="2:13" x14ac:dyDescent="0.25">
      <c r="B1771" t="s">
        <v>325</v>
      </c>
      <c r="C1771" t="s">
        <v>0</v>
      </c>
      <c r="D1771" t="s">
        <v>1</v>
      </c>
      <c r="E1771">
        <v>664211</v>
      </c>
      <c r="F1771" t="s">
        <v>147</v>
      </c>
      <c r="H1771" t="s">
        <v>324</v>
      </c>
      <c r="L1771" s="1">
        <v>42844</v>
      </c>
      <c r="M1771" s="1">
        <v>42886</v>
      </c>
    </row>
    <row r="1772" spans="2:13" x14ac:dyDescent="0.25">
      <c r="B1772" t="s">
        <v>816</v>
      </c>
      <c r="C1772" t="s">
        <v>0</v>
      </c>
      <c r="D1772" t="s">
        <v>1</v>
      </c>
      <c r="E1772">
        <v>656751</v>
      </c>
      <c r="F1772" t="s">
        <v>147</v>
      </c>
      <c r="H1772" t="s">
        <v>309</v>
      </c>
      <c r="L1772" s="1">
        <v>42494</v>
      </c>
      <c r="M1772" s="1">
        <v>42653</v>
      </c>
    </row>
    <row r="1773" spans="2:13" x14ac:dyDescent="0.25">
      <c r="B1773" t="s">
        <v>815</v>
      </c>
      <c r="C1773" t="s">
        <v>100</v>
      </c>
      <c r="D1773" t="s">
        <v>50</v>
      </c>
      <c r="E1773">
        <v>655877</v>
      </c>
      <c r="F1773" t="s">
        <v>272</v>
      </c>
      <c r="H1773" t="s">
        <v>309</v>
      </c>
      <c r="L1773" s="1">
        <v>42492</v>
      </c>
    </row>
    <row r="1774" spans="2:13" x14ac:dyDescent="0.25">
      <c r="B1774" t="s">
        <v>814</v>
      </c>
      <c r="C1774" t="s">
        <v>0</v>
      </c>
      <c r="D1774" t="s">
        <v>1</v>
      </c>
      <c r="E1774">
        <v>633806</v>
      </c>
      <c r="F1774" t="s">
        <v>143</v>
      </c>
      <c r="H1774" t="s">
        <v>309</v>
      </c>
      <c r="L1774" s="1">
        <v>41940</v>
      </c>
      <c r="M1774" s="1">
        <v>41977</v>
      </c>
    </row>
    <row r="1775" spans="2:13" x14ac:dyDescent="0.25">
      <c r="B1775" t="s">
        <v>813</v>
      </c>
      <c r="C1775" t="s">
        <v>100</v>
      </c>
      <c r="D1775" t="s">
        <v>50</v>
      </c>
      <c r="E1775">
        <v>629341</v>
      </c>
      <c r="F1775" t="s">
        <v>143</v>
      </c>
      <c r="H1775" t="s">
        <v>309</v>
      </c>
      <c r="L1775" s="1">
        <v>41837</v>
      </c>
    </row>
    <row r="1776" spans="2:13" x14ac:dyDescent="0.25">
      <c r="B1776" t="s">
        <v>812</v>
      </c>
      <c r="C1776" t="s">
        <v>0</v>
      </c>
      <c r="D1776" t="s">
        <v>1</v>
      </c>
      <c r="E1776">
        <v>627799</v>
      </c>
      <c r="F1776" t="s">
        <v>143</v>
      </c>
      <c r="H1776" t="s">
        <v>309</v>
      </c>
      <c r="L1776" s="1">
        <v>41771</v>
      </c>
      <c r="M1776" s="1">
        <v>41834</v>
      </c>
    </row>
    <row r="1777" spans="2:13" x14ac:dyDescent="0.25">
      <c r="B1777" t="s">
        <v>811</v>
      </c>
      <c r="C1777" t="s">
        <v>0</v>
      </c>
      <c r="D1777" t="s">
        <v>1</v>
      </c>
      <c r="E1777">
        <v>662581</v>
      </c>
      <c r="F1777" t="s">
        <v>159</v>
      </c>
      <c r="H1777" t="s">
        <v>294</v>
      </c>
      <c r="L1777" s="1">
        <v>42754</v>
      </c>
      <c r="M1777" s="1">
        <v>42831</v>
      </c>
    </row>
    <row r="1778" spans="2:13" x14ac:dyDescent="0.25">
      <c r="B1778" t="s">
        <v>810</v>
      </c>
      <c r="C1778" t="s">
        <v>0</v>
      </c>
      <c r="D1778" t="s">
        <v>1</v>
      </c>
      <c r="E1778">
        <v>635946</v>
      </c>
      <c r="F1778" t="s">
        <v>147</v>
      </c>
      <c r="H1778" t="s">
        <v>294</v>
      </c>
      <c r="L1778" s="1">
        <v>41907</v>
      </c>
      <c r="M1778" s="1">
        <v>42037</v>
      </c>
    </row>
    <row r="1779" spans="2:13" x14ac:dyDescent="0.25">
      <c r="B1779" t="s">
        <v>809</v>
      </c>
      <c r="C1779" t="s">
        <v>0</v>
      </c>
      <c r="D1779" t="s">
        <v>1</v>
      </c>
      <c r="E1779">
        <v>656871</v>
      </c>
      <c r="F1779" t="s">
        <v>145</v>
      </c>
      <c r="H1779" t="s">
        <v>285</v>
      </c>
      <c r="L1779" s="1">
        <v>42590</v>
      </c>
      <c r="M1779" s="1">
        <v>42655</v>
      </c>
    </row>
    <row r="1780" spans="2:13" x14ac:dyDescent="0.25">
      <c r="B1780" t="s">
        <v>808</v>
      </c>
      <c r="C1780" t="s">
        <v>0</v>
      </c>
      <c r="D1780" t="s">
        <v>1</v>
      </c>
      <c r="E1780">
        <v>650127</v>
      </c>
      <c r="F1780" t="s">
        <v>147</v>
      </c>
      <c r="H1780" t="s">
        <v>285</v>
      </c>
      <c r="L1780" s="1">
        <v>42359</v>
      </c>
      <c r="M1780" s="1">
        <v>42423</v>
      </c>
    </row>
    <row r="1781" spans="2:13" x14ac:dyDescent="0.25">
      <c r="B1781" t="s">
        <v>807</v>
      </c>
      <c r="C1781" t="s">
        <v>0</v>
      </c>
      <c r="D1781" t="s">
        <v>1</v>
      </c>
      <c r="E1781">
        <v>660023</v>
      </c>
      <c r="F1781" t="s">
        <v>145</v>
      </c>
      <c r="H1781" t="s">
        <v>279</v>
      </c>
      <c r="L1781" s="1">
        <v>42702</v>
      </c>
      <c r="M1781" s="1">
        <v>42754</v>
      </c>
    </row>
    <row r="1782" spans="2:13" x14ac:dyDescent="0.25">
      <c r="B1782" t="s">
        <v>806</v>
      </c>
      <c r="C1782" t="s">
        <v>0</v>
      </c>
      <c r="D1782" t="s">
        <v>1</v>
      </c>
      <c r="E1782">
        <v>660523</v>
      </c>
      <c r="F1782" t="s">
        <v>163</v>
      </c>
      <c r="H1782" t="s">
        <v>279</v>
      </c>
      <c r="L1782" s="1">
        <v>42671</v>
      </c>
      <c r="M1782" s="1">
        <v>42768</v>
      </c>
    </row>
    <row r="1783" spans="2:13" x14ac:dyDescent="0.25">
      <c r="B1783" t="s">
        <v>266</v>
      </c>
      <c r="C1783" t="s">
        <v>139</v>
      </c>
      <c r="F1783" t="s">
        <v>134</v>
      </c>
      <c r="H1783" t="s">
        <v>265</v>
      </c>
      <c r="L1783" s="1">
        <v>42654</v>
      </c>
      <c r="M1783" s="1">
        <v>42891</v>
      </c>
    </row>
    <row r="1784" spans="2:13" x14ac:dyDescent="0.25">
      <c r="B1784" t="s">
        <v>251</v>
      </c>
      <c r="C1784" t="s">
        <v>139</v>
      </c>
      <c r="F1784" t="s">
        <v>134</v>
      </c>
      <c r="H1784" t="s">
        <v>250</v>
      </c>
      <c r="L1784" s="1">
        <v>42830</v>
      </c>
      <c r="M1784" s="1">
        <v>42863</v>
      </c>
    </row>
    <row r="1785" spans="2:13" x14ac:dyDescent="0.25">
      <c r="B1785" t="s">
        <v>805</v>
      </c>
      <c r="C1785" t="s">
        <v>0</v>
      </c>
      <c r="D1785" t="s">
        <v>1</v>
      </c>
      <c r="E1785">
        <v>662577</v>
      </c>
      <c r="F1785" t="s">
        <v>134</v>
      </c>
      <c r="H1785" t="s">
        <v>250</v>
      </c>
      <c r="L1785" s="1">
        <v>42682</v>
      </c>
      <c r="M1785" s="1">
        <v>42831</v>
      </c>
    </row>
    <row r="1786" spans="2:13" x14ac:dyDescent="0.25">
      <c r="B1786" t="s">
        <v>804</v>
      </c>
      <c r="C1786" t="s">
        <v>100</v>
      </c>
      <c r="D1786" t="s">
        <v>50</v>
      </c>
      <c r="E1786">
        <v>662213</v>
      </c>
      <c r="F1786" t="s">
        <v>163</v>
      </c>
      <c r="H1786" t="s">
        <v>191</v>
      </c>
      <c r="L1786" s="1">
        <v>42643</v>
      </c>
    </row>
    <row r="1787" spans="2:13" x14ac:dyDescent="0.25">
      <c r="B1787" t="s">
        <v>803</v>
      </c>
      <c r="C1787" t="s">
        <v>0</v>
      </c>
      <c r="D1787" t="s">
        <v>1</v>
      </c>
      <c r="E1787">
        <v>649080</v>
      </c>
      <c r="F1787" t="s">
        <v>147</v>
      </c>
      <c r="H1787" t="s">
        <v>191</v>
      </c>
      <c r="L1787" s="1">
        <v>42342</v>
      </c>
      <c r="M1787" s="1">
        <v>42395</v>
      </c>
    </row>
    <row r="1788" spans="2:13" x14ac:dyDescent="0.25">
      <c r="B1788" t="s">
        <v>182</v>
      </c>
      <c r="C1788" t="s">
        <v>139</v>
      </c>
      <c r="F1788" t="s">
        <v>159</v>
      </c>
      <c r="H1788" t="s">
        <v>181</v>
      </c>
      <c r="L1788" s="1">
        <v>42762</v>
      </c>
      <c r="M1788" s="1">
        <v>42892</v>
      </c>
    </row>
    <row r="1789" spans="2:13" x14ac:dyDescent="0.25">
      <c r="B1789" t="s">
        <v>802</v>
      </c>
      <c r="C1789" t="s">
        <v>0</v>
      </c>
      <c r="D1789" t="s">
        <v>1</v>
      </c>
      <c r="E1789">
        <v>652714</v>
      </c>
      <c r="F1789" t="s">
        <v>147</v>
      </c>
      <c r="H1789" t="s">
        <v>181</v>
      </c>
      <c r="L1789" s="1">
        <v>42394</v>
      </c>
      <c r="M1789" s="1">
        <v>42507</v>
      </c>
    </row>
    <row r="1790" spans="2:13" x14ac:dyDescent="0.25">
      <c r="B1790" t="s">
        <v>801</v>
      </c>
      <c r="C1790" t="s">
        <v>0</v>
      </c>
      <c r="D1790" t="s">
        <v>1</v>
      </c>
      <c r="E1790">
        <v>653992</v>
      </c>
      <c r="F1790" t="s">
        <v>147</v>
      </c>
      <c r="H1790" t="s">
        <v>799</v>
      </c>
      <c r="L1790" s="1">
        <v>42527</v>
      </c>
      <c r="M1790" s="1">
        <v>42556</v>
      </c>
    </row>
    <row r="1791" spans="2:13" x14ac:dyDescent="0.25">
      <c r="B1791" t="s">
        <v>800</v>
      </c>
      <c r="C1791" t="s">
        <v>0</v>
      </c>
      <c r="D1791" t="s">
        <v>1</v>
      </c>
      <c r="E1791">
        <v>651411</v>
      </c>
      <c r="F1791" t="s">
        <v>147</v>
      </c>
      <c r="H1791" t="s">
        <v>799</v>
      </c>
      <c r="L1791" s="1">
        <v>42410</v>
      </c>
      <c r="M1791" s="1">
        <v>42464</v>
      </c>
    </row>
    <row r="1792" spans="2:13" x14ac:dyDescent="0.25">
      <c r="B1792" t="s">
        <v>798</v>
      </c>
      <c r="C1792" t="s">
        <v>0</v>
      </c>
      <c r="D1792" t="s">
        <v>1</v>
      </c>
      <c r="E1792">
        <v>650322</v>
      </c>
      <c r="F1792" t="s">
        <v>159</v>
      </c>
      <c r="H1792" t="s">
        <v>799</v>
      </c>
      <c r="L1792" s="1">
        <v>42389</v>
      </c>
      <c r="M1792" s="1">
        <v>42429</v>
      </c>
    </row>
    <row r="1793" spans="2:13" x14ac:dyDescent="0.25">
      <c r="B1793" t="s">
        <v>797</v>
      </c>
      <c r="C1793" t="s">
        <v>0</v>
      </c>
      <c r="D1793" t="s">
        <v>1</v>
      </c>
      <c r="E1793">
        <v>654838</v>
      </c>
      <c r="F1793" t="s">
        <v>145</v>
      </c>
      <c r="H1793" t="s">
        <v>146</v>
      </c>
      <c r="L1793" s="1">
        <v>42480</v>
      </c>
      <c r="M1793" s="1">
        <v>42583</v>
      </c>
    </row>
    <row r="1794" spans="2:13" x14ac:dyDescent="0.25">
      <c r="B1794" t="s">
        <v>796</v>
      </c>
      <c r="C1794" t="s">
        <v>0</v>
      </c>
      <c r="D1794" t="s">
        <v>1</v>
      </c>
      <c r="E1794">
        <v>640529</v>
      </c>
      <c r="F1794" t="s">
        <v>143</v>
      </c>
      <c r="H1794" t="s">
        <v>146</v>
      </c>
      <c r="L1794" s="1">
        <v>42032</v>
      </c>
      <c r="M1794" s="1">
        <v>42135</v>
      </c>
    </row>
    <row r="1795" spans="2:13" x14ac:dyDescent="0.25">
      <c r="B1795" t="s">
        <v>795</v>
      </c>
      <c r="C1795" t="s">
        <v>0</v>
      </c>
      <c r="D1795" t="s">
        <v>1</v>
      </c>
      <c r="E1795">
        <v>634549</v>
      </c>
      <c r="F1795" t="s">
        <v>143</v>
      </c>
      <c r="H1795" t="s">
        <v>146</v>
      </c>
      <c r="L1795" s="1">
        <v>41757</v>
      </c>
      <c r="M1795" s="1">
        <v>42002</v>
      </c>
    </row>
    <row r="1800" spans="2:13" x14ac:dyDescent="0.25">
      <c r="B1800" t="s">
        <v>794</v>
      </c>
      <c r="C1800" t="s">
        <v>0</v>
      </c>
      <c r="D1800" t="s">
        <v>1</v>
      </c>
      <c r="E1800">
        <v>629849</v>
      </c>
      <c r="F1800" t="s">
        <v>143</v>
      </c>
      <c r="H1800" t="s">
        <v>548</v>
      </c>
      <c r="L1800" s="1">
        <v>41835</v>
      </c>
      <c r="M1800" s="1">
        <v>41879</v>
      </c>
    </row>
    <row r="1801" spans="2:13" x14ac:dyDescent="0.25">
      <c r="B1801" t="s">
        <v>793</v>
      </c>
      <c r="C1801" t="s">
        <v>0</v>
      </c>
      <c r="D1801" t="s">
        <v>1</v>
      </c>
      <c r="E1801">
        <v>627690</v>
      </c>
      <c r="F1801" t="s">
        <v>143</v>
      </c>
      <c r="H1801" t="s">
        <v>548</v>
      </c>
      <c r="L1801" s="1">
        <v>41787</v>
      </c>
      <c r="M1801" s="1">
        <v>41830</v>
      </c>
    </row>
    <row r="1802" spans="2:13" x14ac:dyDescent="0.25">
      <c r="B1802" t="s">
        <v>536</v>
      </c>
      <c r="C1802" t="s">
        <v>139</v>
      </c>
      <c r="F1802" t="s">
        <v>232</v>
      </c>
      <c r="H1802" t="s">
        <v>535</v>
      </c>
      <c r="L1802" s="1">
        <v>42874</v>
      </c>
    </row>
    <row r="1803" spans="2:13" x14ac:dyDescent="0.25">
      <c r="B1803" t="s">
        <v>792</v>
      </c>
      <c r="C1803" t="s">
        <v>0</v>
      </c>
      <c r="D1803" t="s">
        <v>1</v>
      </c>
      <c r="E1803">
        <v>663799</v>
      </c>
      <c r="F1803" t="s">
        <v>145</v>
      </c>
      <c r="H1803" t="s">
        <v>535</v>
      </c>
      <c r="L1803" s="1">
        <v>42787</v>
      </c>
      <c r="M1803" s="1">
        <v>42872</v>
      </c>
    </row>
    <row r="1804" spans="2:13" x14ac:dyDescent="0.25">
      <c r="B1804" t="s">
        <v>791</v>
      </c>
      <c r="C1804" t="s">
        <v>0</v>
      </c>
      <c r="D1804" t="s">
        <v>1</v>
      </c>
      <c r="E1804">
        <v>632521</v>
      </c>
      <c r="F1804" t="s">
        <v>143</v>
      </c>
      <c r="H1804" t="s">
        <v>535</v>
      </c>
      <c r="L1804" s="1">
        <v>41871</v>
      </c>
      <c r="M1804" s="1">
        <v>41946</v>
      </c>
    </row>
    <row r="1805" spans="2:13" x14ac:dyDescent="0.25">
      <c r="B1805" t="s">
        <v>789</v>
      </c>
      <c r="C1805" t="s">
        <v>0</v>
      </c>
      <c r="D1805" t="s">
        <v>1</v>
      </c>
      <c r="E1805">
        <v>647690</v>
      </c>
      <c r="F1805" t="s">
        <v>134</v>
      </c>
      <c r="H1805" t="s">
        <v>790</v>
      </c>
      <c r="L1805" s="1">
        <v>42285</v>
      </c>
      <c r="M1805" s="1">
        <v>42352</v>
      </c>
    </row>
    <row r="1806" spans="2:13" x14ac:dyDescent="0.25">
      <c r="B1806" t="s">
        <v>788</v>
      </c>
      <c r="C1806" t="s">
        <v>0</v>
      </c>
      <c r="D1806" t="s">
        <v>1</v>
      </c>
      <c r="E1806">
        <v>653870</v>
      </c>
      <c r="F1806" t="s">
        <v>145</v>
      </c>
      <c r="H1806" t="s">
        <v>787</v>
      </c>
      <c r="L1806" s="1">
        <v>42459</v>
      </c>
      <c r="M1806" s="1">
        <v>42550</v>
      </c>
    </row>
    <row r="1807" spans="2:13" x14ac:dyDescent="0.25">
      <c r="B1807" t="s">
        <v>786</v>
      </c>
      <c r="C1807" t="s">
        <v>0</v>
      </c>
      <c r="D1807" t="s">
        <v>1</v>
      </c>
      <c r="E1807">
        <v>633766</v>
      </c>
      <c r="F1807" t="s">
        <v>143</v>
      </c>
      <c r="H1807" t="s">
        <v>787</v>
      </c>
      <c r="L1807" s="1">
        <v>41878</v>
      </c>
      <c r="M1807" s="1">
        <v>41977</v>
      </c>
    </row>
    <row r="1808" spans="2:13" x14ac:dyDescent="0.25">
      <c r="B1808" t="s">
        <v>784</v>
      </c>
      <c r="C1808" t="s">
        <v>0</v>
      </c>
      <c r="D1808" t="s">
        <v>1</v>
      </c>
      <c r="E1808">
        <v>653345</v>
      </c>
      <c r="F1808" t="s">
        <v>134</v>
      </c>
      <c r="H1808" t="s">
        <v>785</v>
      </c>
      <c r="L1808" s="1">
        <v>42473</v>
      </c>
      <c r="M1808" s="1">
        <v>42530</v>
      </c>
    </row>
    <row r="1809" spans="2:13" x14ac:dyDescent="0.25">
      <c r="B1809" t="s">
        <v>782</v>
      </c>
      <c r="C1809" t="s">
        <v>0</v>
      </c>
      <c r="D1809" t="s">
        <v>1</v>
      </c>
      <c r="E1809">
        <v>634157</v>
      </c>
      <c r="F1809" t="s">
        <v>143</v>
      </c>
      <c r="H1809" t="s">
        <v>783</v>
      </c>
      <c r="L1809" s="1">
        <v>41859</v>
      </c>
      <c r="M1809" s="1">
        <v>41988</v>
      </c>
    </row>
    <row r="1810" spans="2:13" x14ac:dyDescent="0.25">
      <c r="B1810" t="s">
        <v>780</v>
      </c>
      <c r="C1810" t="s">
        <v>0</v>
      </c>
      <c r="D1810" t="s">
        <v>1</v>
      </c>
      <c r="E1810">
        <v>658610</v>
      </c>
      <c r="F1810" t="s">
        <v>134</v>
      </c>
      <c r="H1810" t="s">
        <v>781</v>
      </c>
      <c r="L1810" s="1">
        <v>42640</v>
      </c>
      <c r="M1810" s="1">
        <v>42710</v>
      </c>
    </row>
    <row r="1811" spans="2:13" x14ac:dyDescent="0.25">
      <c r="B1811" t="s">
        <v>779</v>
      </c>
      <c r="C1811" t="s">
        <v>0</v>
      </c>
      <c r="D1811" t="s">
        <v>1</v>
      </c>
      <c r="E1811">
        <v>655133</v>
      </c>
      <c r="F1811" t="s">
        <v>134</v>
      </c>
      <c r="H1811" t="s">
        <v>370</v>
      </c>
      <c r="L1811" s="1">
        <v>42541</v>
      </c>
      <c r="M1811" s="1">
        <v>42593</v>
      </c>
    </row>
    <row r="1812" spans="2:13" x14ac:dyDescent="0.25">
      <c r="B1812" t="s">
        <v>369</v>
      </c>
      <c r="C1812" t="s">
        <v>76</v>
      </c>
      <c r="F1812" t="s">
        <v>272</v>
      </c>
      <c r="H1812" t="s">
        <v>370</v>
      </c>
      <c r="L1812" s="1">
        <v>42425</v>
      </c>
      <c r="M1812" s="1">
        <v>42954</v>
      </c>
    </row>
    <row r="1813" spans="2:13" x14ac:dyDescent="0.25">
      <c r="B1813" t="s">
        <v>778</v>
      </c>
      <c r="C1813" t="s">
        <v>0</v>
      </c>
      <c r="D1813" t="s">
        <v>1</v>
      </c>
      <c r="E1813">
        <v>651952</v>
      </c>
      <c r="F1813" t="s">
        <v>134</v>
      </c>
      <c r="H1813" t="s">
        <v>370</v>
      </c>
      <c r="L1813" s="1">
        <v>42390</v>
      </c>
      <c r="M1813" s="1">
        <v>42480</v>
      </c>
    </row>
    <row r="1814" spans="2:13" x14ac:dyDescent="0.25">
      <c r="B1814" t="s">
        <v>358</v>
      </c>
      <c r="C1814" t="s">
        <v>140</v>
      </c>
      <c r="F1814" t="s">
        <v>145</v>
      </c>
      <c r="H1814" t="s">
        <v>359</v>
      </c>
      <c r="L1814" s="1">
        <v>42726</v>
      </c>
      <c r="M1814" s="1">
        <v>42912</v>
      </c>
    </row>
    <row r="1815" spans="2:13" x14ac:dyDescent="0.25">
      <c r="B1815" t="s">
        <v>777</v>
      </c>
      <c r="C1815" t="s">
        <v>100</v>
      </c>
      <c r="D1815" t="s">
        <v>50</v>
      </c>
      <c r="E1815">
        <v>659582</v>
      </c>
      <c r="F1815" t="s">
        <v>145</v>
      </c>
      <c r="H1815" t="s">
        <v>359</v>
      </c>
      <c r="L1815" s="1">
        <v>42662</v>
      </c>
    </row>
    <row r="1816" spans="2:13" x14ac:dyDescent="0.25">
      <c r="B1816" t="s">
        <v>776</v>
      </c>
      <c r="C1816" t="s">
        <v>0</v>
      </c>
      <c r="D1816" t="s">
        <v>1</v>
      </c>
      <c r="E1816">
        <v>631736</v>
      </c>
      <c r="F1816" t="s">
        <v>143</v>
      </c>
      <c r="H1816" t="s">
        <v>338</v>
      </c>
      <c r="L1816" s="1">
        <v>41823</v>
      </c>
      <c r="M1816" s="1">
        <v>41925</v>
      </c>
    </row>
    <row r="1817" spans="2:13" x14ac:dyDescent="0.25">
      <c r="B1817" t="s">
        <v>322</v>
      </c>
      <c r="C1817" t="s">
        <v>139</v>
      </c>
      <c r="F1817" t="s">
        <v>134</v>
      </c>
      <c r="H1817" t="s">
        <v>323</v>
      </c>
      <c r="L1817" s="1">
        <v>42870</v>
      </c>
      <c r="M1817" s="1">
        <v>42898</v>
      </c>
    </row>
    <row r="1818" spans="2:13" x14ac:dyDescent="0.25">
      <c r="B1818" t="s">
        <v>775</v>
      </c>
      <c r="C1818" t="s">
        <v>0</v>
      </c>
      <c r="D1818" t="s">
        <v>1</v>
      </c>
      <c r="E1818">
        <v>659804</v>
      </c>
      <c r="F1818" t="s">
        <v>134</v>
      </c>
      <c r="H1818" t="s">
        <v>323</v>
      </c>
      <c r="L1818" s="1">
        <v>42704</v>
      </c>
      <c r="M1818" s="1">
        <v>42746</v>
      </c>
    </row>
    <row r="1819" spans="2:13" x14ac:dyDescent="0.25">
      <c r="B1819" t="s">
        <v>774</v>
      </c>
      <c r="C1819" t="s">
        <v>0</v>
      </c>
      <c r="D1819" t="s">
        <v>1</v>
      </c>
      <c r="E1819">
        <v>657026</v>
      </c>
      <c r="F1819" t="s">
        <v>134</v>
      </c>
      <c r="H1819" t="s">
        <v>323</v>
      </c>
      <c r="L1819" s="1">
        <v>42409</v>
      </c>
      <c r="M1819" s="1">
        <v>42661</v>
      </c>
    </row>
    <row r="1820" spans="2:13" x14ac:dyDescent="0.25">
      <c r="B1820" t="s">
        <v>773</v>
      </c>
      <c r="C1820" t="s">
        <v>0</v>
      </c>
      <c r="D1820" t="s">
        <v>1</v>
      </c>
      <c r="E1820">
        <v>657026</v>
      </c>
      <c r="F1820" t="s">
        <v>134</v>
      </c>
      <c r="H1820" t="s">
        <v>323</v>
      </c>
      <c r="L1820" s="1">
        <v>42368</v>
      </c>
      <c r="M1820" s="1">
        <v>42661</v>
      </c>
    </row>
    <row r="1821" spans="2:13" x14ac:dyDescent="0.25">
      <c r="B1821" t="s">
        <v>771</v>
      </c>
      <c r="C1821" t="s">
        <v>0</v>
      </c>
      <c r="D1821" t="s">
        <v>1</v>
      </c>
      <c r="E1821">
        <v>606460</v>
      </c>
      <c r="F1821" t="s">
        <v>772</v>
      </c>
      <c r="H1821" t="s">
        <v>323</v>
      </c>
      <c r="L1821" s="1">
        <v>41249</v>
      </c>
      <c r="M1821" s="1">
        <v>41284</v>
      </c>
    </row>
    <row r="1822" spans="2:13" x14ac:dyDescent="0.25">
      <c r="B1822" t="s">
        <v>770</v>
      </c>
      <c r="C1822" t="s">
        <v>0</v>
      </c>
      <c r="D1822" t="s">
        <v>1</v>
      </c>
      <c r="E1822">
        <v>656283</v>
      </c>
      <c r="F1822" t="s">
        <v>134</v>
      </c>
      <c r="H1822" t="s">
        <v>768</v>
      </c>
      <c r="L1822" s="1">
        <v>42536</v>
      </c>
      <c r="M1822" s="1">
        <v>42635</v>
      </c>
    </row>
    <row r="1823" spans="2:13" x14ac:dyDescent="0.25">
      <c r="B1823" t="s">
        <v>769</v>
      </c>
      <c r="C1823" t="s">
        <v>0</v>
      </c>
      <c r="D1823" t="s">
        <v>1</v>
      </c>
      <c r="E1823">
        <v>652584</v>
      </c>
      <c r="F1823" t="s">
        <v>134</v>
      </c>
      <c r="H1823" t="s">
        <v>768</v>
      </c>
      <c r="L1823" s="1">
        <v>42425</v>
      </c>
      <c r="M1823" s="1">
        <v>42502</v>
      </c>
    </row>
    <row r="1824" spans="2:13" x14ac:dyDescent="0.25">
      <c r="B1824" t="s">
        <v>767</v>
      </c>
      <c r="C1824" t="s">
        <v>100</v>
      </c>
      <c r="D1824" t="s">
        <v>50</v>
      </c>
      <c r="E1824">
        <v>650227</v>
      </c>
      <c r="F1824" t="s">
        <v>746</v>
      </c>
      <c r="H1824" t="s">
        <v>768</v>
      </c>
      <c r="L1824" s="1">
        <v>42331</v>
      </c>
    </row>
    <row r="1825" spans="2:13" x14ac:dyDescent="0.25">
      <c r="B1825" t="s">
        <v>765</v>
      </c>
      <c r="C1825" t="s">
        <v>0</v>
      </c>
      <c r="D1825" t="s">
        <v>1</v>
      </c>
      <c r="E1825">
        <v>631412</v>
      </c>
      <c r="F1825" t="s">
        <v>143</v>
      </c>
      <c r="H1825" t="s">
        <v>766</v>
      </c>
      <c r="L1825" s="1">
        <v>41795</v>
      </c>
      <c r="M1825" s="1">
        <v>41914</v>
      </c>
    </row>
    <row r="1826" spans="2:13" x14ac:dyDescent="0.25">
      <c r="B1826" t="s">
        <v>764</v>
      </c>
      <c r="C1826" t="s">
        <v>0</v>
      </c>
      <c r="D1826" t="s">
        <v>1</v>
      </c>
      <c r="E1826">
        <v>659853</v>
      </c>
      <c r="F1826" t="s">
        <v>134</v>
      </c>
      <c r="H1826" t="s">
        <v>278</v>
      </c>
      <c r="L1826" s="1">
        <v>42704</v>
      </c>
      <c r="M1826" s="1">
        <v>42747</v>
      </c>
    </row>
    <row r="1827" spans="2:13" x14ac:dyDescent="0.25">
      <c r="B1827" t="s">
        <v>763</v>
      </c>
      <c r="C1827" t="s">
        <v>0</v>
      </c>
      <c r="D1827" t="s">
        <v>1</v>
      </c>
      <c r="E1827">
        <v>658948</v>
      </c>
      <c r="F1827" t="s">
        <v>134</v>
      </c>
      <c r="H1827" t="s">
        <v>278</v>
      </c>
      <c r="L1827" s="1">
        <v>42579</v>
      </c>
      <c r="M1827" s="1">
        <v>42719</v>
      </c>
    </row>
    <row r="1828" spans="2:13" x14ac:dyDescent="0.25">
      <c r="B1828" t="s">
        <v>762</v>
      </c>
      <c r="C1828" t="s">
        <v>0</v>
      </c>
      <c r="D1828" t="s">
        <v>1</v>
      </c>
      <c r="E1828">
        <v>657353</v>
      </c>
      <c r="F1828" t="s">
        <v>145</v>
      </c>
      <c r="H1828" t="s">
        <v>264</v>
      </c>
      <c r="L1828" s="1">
        <v>42643</v>
      </c>
      <c r="M1828" s="1">
        <v>42670</v>
      </c>
    </row>
    <row r="1829" spans="2:13" x14ac:dyDescent="0.25">
      <c r="B1829" t="s">
        <v>761</v>
      </c>
      <c r="C1829" t="s">
        <v>100</v>
      </c>
      <c r="D1829" t="s">
        <v>50</v>
      </c>
      <c r="E1829">
        <v>636396</v>
      </c>
      <c r="F1829" t="s">
        <v>143</v>
      </c>
      <c r="H1829" t="s">
        <v>264</v>
      </c>
      <c r="L1829" s="1">
        <v>41878</v>
      </c>
    </row>
    <row r="1830" spans="2:13" x14ac:dyDescent="0.25">
      <c r="B1830" t="s">
        <v>249</v>
      </c>
      <c r="C1830" t="s">
        <v>162</v>
      </c>
      <c r="F1830" t="s">
        <v>134</v>
      </c>
      <c r="H1830" t="s">
        <v>248</v>
      </c>
      <c r="L1830" s="1">
        <v>42892</v>
      </c>
      <c r="M1830" s="1">
        <v>42912</v>
      </c>
    </row>
    <row r="1831" spans="2:13" x14ac:dyDescent="0.25">
      <c r="B1831" t="s">
        <v>760</v>
      </c>
      <c r="C1831" t="s">
        <v>0</v>
      </c>
      <c r="D1831" t="s">
        <v>1</v>
      </c>
      <c r="E1831">
        <v>662678</v>
      </c>
      <c r="F1831" t="s">
        <v>147</v>
      </c>
      <c r="H1831" t="s">
        <v>248</v>
      </c>
      <c r="L1831" s="1">
        <v>42794</v>
      </c>
      <c r="M1831" s="1">
        <v>42836</v>
      </c>
    </row>
    <row r="1832" spans="2:13" x14ac:dyDescent="0.25">
      <c r="B1832" t="s">
        <v>233</v>
      </c>
      <c r="C1832" t="s">
        <v>139</v>
      </c>
      <c r="F1832" t="s">
        <v>232</v>
      </c>
      <c r="H1832" t="s">
        <v>231</v>
      </c>
      <c r="L1832" s="1">
        <v>42874</v>
      </c>
    </row>
    <row r="1833" spans="2:13" x14ac:dyDescent="0.25">
      <c r="B1833" t="s">
        <v>759</v>
      </c>
      <c r="C1833" t="s">
        <v>0</v>
      </c>
      <c r="D1833" t="s">
        <v>1</v>
      </c>
      <c r="E1833">
        <v>663992</v>
      </c>
      <c r="F1833" t="s">
        <v>147</v>
      </c>
      <c r="H1833" t="s">
        <v>231</v>
      </c>
      <c r="L1833" s="1">
        <v>42825</v>
      </c>
      <c r="M1833" s="1">
        <v>42880</v>
      </c>
    </row>
    <row r="1834" spans="2:13" x14ac:dyDescent="0.25">
      <c r="B1834" t="s">
        <v>757</v>
      </c>
      <c r="C1834" t="s">
        <v>0</v>
      </c>
      <c r="D1834" t="s">
        <v>1</v>
      </c>
      <c r="E1834">
        <v>654826</v>
      </c>
      <c r="F1834" t="s">
        <v>134</v>
      </c>
      <c r="H1834" t="s">
        <v>758</v>
      </c>
      <c r="L1834" s="1">
        <v>42375</v>
      </c>
      <c r="M1834" s="1">
        <v>42583</v>
      </c>
    </row>
    <row r="1835" spans="2:13" x14ac:dyDescent="0.25">
      <c r="B1835" t="s">
        <v>756</v>
      </c>
      <c r="C1835" t="s">
        <v>0</v>
      </c>
      <c r="D1835" t="s">
        <v>1</v>
      </c>
      <c r="E1835">
        <v>661537</v>
      </c>
      <c r="F1835" t="s">
        <v>147</v>
      </c>
      <c r="H1835" t="s">
        <v>205</v>
      </c>
      <c r="L1835" s="1">
        <v>42753</v>
      </c>
      <c r="M1835" s="1">
        <v>42795</v>
      </c>
    </row>
    <row r="1836" spans="2:13" x14ac:dyDescent="0.25">
      <c r="B1836" t="s">
        <v>755</v>
      </c>
      <c r="C1836" t="s">
        <v>0</v>
      </c>
      <c r="D1836" t="s">
        <v>1</v>
      </c>
      <c r="E1836">
        <v>657908</v>
      </c>
      <c r="F1836" t="s">
        <v>145</v>
      </c>
      <c r="H1836" t="s">
        <v>205</v>
      </c>
      <c r="L1836" s="1">
        <v>42649</v>
      </c>
      <c r="M1836" s="1">
        <v>42688</v>
      </c>
    </row>
    <row r="1837" spans="2:13" x14ac:dyDescent="0.25">
      <c r="B1837" t="s">
        <v>754</v>
      </c>
      <c r="C1837" t="s">
        <v>0</v>
      </c>
      <c r="D1837" t="s">
        <v>1</v>
      </c>
      <c r="E1837">
        <v>632973</v>
      </c>
      <c r="F1837" t="s">
        <v>143</v>
      </c>
      <c r="H1837" t="s">
        <v>205</v>
      </c>
      <c r="L1837" s="1">
        <v>41841</v>
      </c>
      <c r="M1837" s="1">
        <v>41956</v>
      </c>
    </row>
    <row r="1838" spans="2:13" x14ac:dyDescent="0.25">
      <c r="B1838" t="s">
        <v>753</v>
      </c>
      <c r="C1838" t="s">
        <v>0</v>
      </c>
      <c r="D1838" t="s">
        <v>1</v>
      </c>
      <c r="E1838">
        <v>657032</v>
      </c>
      <c r="F1838" t="s">
        <v>134</v>
      </c>
      <c r="H1838" t="s">
        <v>752</v>
      </c>
      <c r="L1838" s="1">
        <v>42541</v>
      </c>
      <c r="M1838" s="1">
        <v>42661</v>
      </c>
    </row>
    <row r="1839" spans="2:13" x14ac:dyDescent="0.25">
      <c r="B1839" t="s">
        <v>751</v>
      </c>
      <c r="C1839" t="s">
        <v>100</v>
      </c>
      <c r="D1839" t="s">
        <v>50</v>
      </c>
      <c r="E1839">
        <v>656386</v>
      </c>
      <c r="F1839" t="s">
        <v>41</v>
      </c>
      <c r="H1839" t="s">
        <v>752</v>
      </c>
      <c r="L1839" s="1">
        <v>42538</v>
      </c>
    </row>
    <row r="1840" spans="2:13" x14ac:dyDescent="0.25">
      <c r="B1840" t="s">
        <v>750</v>
      </c>
      <c r="C1840" t="s">
        <v>100</v>
      </c>
      <c r="D1840" t="s">
        <v>50</v>
      </c>
      <c r="E1840">
        <v>636523</v>
      </c>
      <c r="F1840" t="s">
        <v>143</v>
      </c>
      <c r="H1840" t="s">
        <v>180</v>
      </c>
      <c r="L1840" s="1">
        <v>41831</v>
      </c>
    </row>
    <row r="1841" spans="2:13" x14ac:dyDescent="0.25">
      <c r="B1841" t="s">
        <v>749</v>
      </c>
      <c r="C1841" t="s">
        <v>0</v>
      </c>
      <c r="D1841" t="s">
        <v>1</v>
      </c>
      <c r="E1841">
        <v>652876</v>
      </c>
      <c r="F1841" t="s">
        <v>134</v>
      </c>
      <c r="H1841" t="s">
        <v>747</v>
      </c>
      <c r="L1841" s="1">
        <v>42473</v>
      </c>
      <c r="M1841" s="1">
        <v>42513</v>
      </c>
    </row>
    <row r="1842" spans="2:13" x14ac:dyDescent="0.25">
      <c r="B1842" t="s">
        <v>748</v>
      </c>
      <c r="C1842" t="s">
        <v>0</v>
      </c>
      <c r="D1842" t="s">
        <v>1</v>
      </c>
      <c r="E1842">
        <v>650775</v>
      </c>
      <c r="F1842" t="s">
        <v>134</v>
      </c>
      <c r="H1842" t="s">
        <v>747</v>
      </c>
      <c r="L1842" s="1">
        <v>42369</v>
      </c>
      <c r="M1842" s="1">
        <v>42443</v>
      </c>
    </row>
    <row r="1843" spans="2:13" x14ac:dyDescent="0.25">
      <c r="B1843" t="s">
        <v>745</v>
      </c>
      <c r="C1843" t="s">
        <v>100</v>
      </c>
      <c r="D1843" t="s">
        <v>50</v>
      </c>
      <c r="E1843">
        <v>650221</v>
      </c>
      <c r="F1843" t="s">
        <v>746</v>
      </c>
      <c r="H1843" t="s">
        <v>747</v>
      </c>
      <c r="L1843" s="1">
        <v>42311</v>
      </c>
    </row>
    <row r="1844" spans="2:13" x14ac:dyDescent="0.25">
      <c r="B1844" t="s">
        <v>744</v>
      </c>
      <c r="C1844" t="s">
        <v>0</v>
      </c>
      <c r="D1844" t="s">
        <v>1</v>
      </c>
      <c r="E1844">
        <v>638671</v>
      </c>
      <c r="F1844" t="s">
        <v>143</v>
      </c>
      <c r="H1844" t="s">
        <v>144</v>
      </c>
      <c r="L1844" s="1">
        <v>42048</v>
      </c>
      <c r="M1844" s="1">
        <v>42100</v>
      </c>
    </row>
    <row r="1845" spans="2:13" x14ac:dyDescent="0.25">
      <c r="B1845" t="s">
        <v>743</v>
      </c>
      <c r="C1845" t="s">
        <v>0</v>
      </c>
      <c r="D1845" t="s">
        <v>1</v>
      </c>
      <c r="E1845">
        <v>634633</v>
      </c>
      <c r="F1845" t="s">
        <v>143</v>
      </c>
      <c r="H1845" t="s">
        <v>144</v>
      </c>
      <c r="L1845" s="1">
        <v>41900</v>
      </c>
      <c r="M1845" s="1">
        <v>42003</v>
      </c>
    </row>
    <row r="1849" spans="2:13" x14ac:dyDescent="0.25">
      <c r="B1849" t="s">
        <v>606</v>
      </c>
      <c r="C1849" t="s">
        <v>0</v>
      </c>
      <c r="D1849" t="s">
        <v>1</v>
      </c>
      <c r="E1849">
        <v>645265</v>
      </c>
      <c r="F1849" t="s">
        <v>41</v>
      </c>
      <c r="H1849" t="s">
        <v>556</v>
      </c>
      <c r="L1849" s="1">
        <v>42194</v>
      </c>
      <c r="M1849" s="1">
        <v>42264</v>
      </c>
    </row>
    <row r="1850" spans="2:13" x14ac:dyDescent="0.25">
      <c r="B1850" t="s">
        <v>605</v>
      </c>
      <c r="C1850" t="s">
        <v>0</v>
      </c>
      <c r="D1850" t="s">
        <v>1</v>
      </c>
      <c r="E1850">
        <v>613811</v>
      </c>
      <c r="F1850" t="s">
        <v>41</v>
      </c>
      <c r="H1850" t="s">
        <v>604</v>
      </c>
      <c r="L1850" s="1">
        <v>41436</v>
      </c>
      <c r="M1850" s="1">
        <v>41470</v>
      </c>
    </row>
    <row r="1851" spans="2:13" x14ac:dyDescent="0.25">
      <c r="B1851" t="s">
        <v>603</v>
      </c>
      <c r="C1851" t="s">
        <v>0</v>
      </c>
      <c r="D1851" t="s">
        <v>1</v>
      </c>
      <c r="E1851">
        <v>659404</v>
      </c>
      <c r="F1851" t="s">
        <v>41</v>
      </c>
      <c r="H1851" t="s">
        <v>525</v>
      </c>
      <c r="L1851" s="1">
        <v>42675</v>
      </c>
      <c r="M1851" s="1">
        <v>42733</v>
      </c>
    </row>
    <row r="1852" spans="2:13" x14ac:dyDescent="0.25">
      <c r="B1852" t="s">
        <v>602</v>
      </c>
      <c r="C1852" t="s">
        <v>0</v>
      </c>
      <c r="D1852" t="s">
        <v>1</v>
      </c>
      <c r="E1852">
        <v>643069</v>
      </c>
      <c r="F1852" t="s">
        <v>41</v>
      </c>
      <c r="H1852" t="s">
        <v>600</v>
      </c>
      <c r="L1852" s="1">
        <v>42128</v>
      </c>
      <c r="M1852" s="1">
        <v>42199</v>
      </c>
    </row>
    <row r="1853" spans="2:13" x14ac:dyDescent="0.25">
      <c r="B1853" t="s">
        <v>601</v>
      </c>
      <c r="C1853" t="s">
        <v>100</v>
      </c>
      <c r="D1853" t="s">
        <v>50</v>
      </c>
      <c r="E1853">
        <v>642558</v>
      </c>
      <c r="F1853" t="s">
        <v>599</v>
      </c>
      <c r="H1853" t="s">
        <v>600</v>
      </c>
      <c r="L1853" s="1">
        <v>41900</v>
      </c>
    </row>
    <row r="1854" spans="2:13" x14ac:dyDescent="0.25">
      <c r="B1854" t="s">
        <v>506</v>
      </c>
      <c r="C1854" t="s">
        <v>139</v>
      </c>
      <c r="F1854" t="s">
        <v>41</v>
      </c>
      <c r="H1854" t="s">
        <v>505</v>
      </c>
      <c r="L1854" s="1">
        <v>42838</v>
      </c>
    </row>
    <row r="1855" spans="2:13" x14ac:dyDescent="0.25">
      <c r="B1855" t="s">
        <v>598</v>
      </c>
      <c r="C1855" t="s">
        <v>0</v>
      </c>
      <c r="D1855" t="s">
        <v>1</v>
      </c>
      <c r="E1855">
        <v>659854</v>
      </c>
      <c r="F1855" t="s">
        <v>147</v>
      </c>
      <c r="H1855" t="s">
        <v>492</v>
      </c>
      <c r="L1855" s="1">
        <v>42713</v>
      </c>
      <c r="M1855" s="1">
        <v>42747</v>
      </c>
    </row>
    <row r="1856" spans="2:13" x14ac:dyDescent="0.25">
      <c r="B1856" t="s">
        <v>597</v>
      </c>
      <c r="C1856" t="s">
        <v>0</v>
      </c>
      <c r="D1856" t="s">
        <v>1</v>
      </c>
      <c r="E1856">
        <v>656592</v>
      </c>
      <c r="F1856" t="s">
        <v>147</v>
      </c>
      <c r="H1856" t="s">
        <v>492</v>
      </c>
      <c r="L1856" s="1">
        <v>42612</v>
      </c>
      <c r="M1856" s="1">
        <v>42646</v>
      </c>
    </row>
    <row r="1857" spans="2:13" x14ac:dyDescent="0.25">
      <c r="B1857" t="s">
        <v>596</v>
      </c>
      <c r="C1857" t="s">
        <v>100</v>
      </c>
      <c r="D1857" t="s">
        <v>50</v>
      </c>
      <c r="E1857">
        <v>654626</v>
      </c>
      <c r="F1857" t="s">
        <v>41</v>
      </c>
      <c r="H1857" t="s">
        <v>492</v>
      </c>
      <c r="L1857" s="1">
        <v>42499</v>
      </c>
    </row>
    <row r="1858" spans="2:13" x14ac:dyDescent="0.25">
      <c r="B1858" t="s">
        <v>595</v>
      </c>
      <c r="C1858" t="s">
        <v>0</v>
      </c>
      <c r="D1858" t="s">
        <v>1</v>
      </c>
      <c r="E1858">
        <v>656566</v>
      </c>
      <c r="F1858" t="s">
        <v>145</v>
      </c>
      <c r="H1858" t="s">
        <v>492</v>
      </c>
      <c r="L1858" s="1">
        <v>42496</v>
      </c>
      <c r="M1858" s="1">
        <v>42646</v>
      </c>
    </row>
    <row r="1859" spans="2:13" x14ac:dyDescent="0.25">
      <c r="B1859" t="s">
        <v>594</v>
      </c>
      <c r="C1859" t="s">
        <v>0</v>
      </c>
      <c r="D1859" t="s">
        <v>1</v>
      </c>
      <c r="E1859">
        <v>645446</v>
      </c>
      <c r="F1859" t="s">
        <v>41</v>
      </c>
      <c r="H1859" t="s">
        <v>492</v>
      </c>
      <c r="L1859" s="1">
        <v>42222</v>
      </c>
      <c r="M1859" s="1">
        <v>42270</v>
      </c>
    </row>
    <row r="1860" spans="2:13" x14ac:dyDescent="0.25">
      <c r="B1860" t="s">
        <v>593</v>
      </c>
      <c r="C1860" t="s">
        <v>100</v>
      </c>
      <c r="D1860" t="s">
        <v>1</v>
      </c>
      <c r="E1860">
        <v>643131</v>
      </c>
      <c r="F1860" t="s">
        <v>41</v>
      </c>
      <c r="H1860" t="s">
        <v>555</v>
      </c>
      <c r="L1860" s="1">
        <v>42172</v>
      </c>
    </row>
    <row r="1861" spans="2:13" x14ac:dyDescent="0.25">
      <c r="B1861" t="s">
        <v>592</v>
      </c>
      <c r="C1861" t="s">
        <v>0</v>
      </c>
      <c r="D1861" t="s">
        <v>1</v>
      </c>
      <c r="E1861">
        <v>642851</v>
      </c>
      <c r="F1861" t="s">
        <v>41</v>
      </c>
      <c r="H1861" t="s">
        <v>555</v>
      </c>
      <c r="L1861" s="1">
        <v>42135</v>
      </c>
      <c r="M1861" s="1">
        <v>42193</v>
      </c>
    </row>
    <row r="1862" spans="2:13" x14ac:dyDescent="0.25">
      <c r="B1862" t="s">
        <v>470</v>
      </c>
      <c r="C1862" t="s">
        <v>139</v>
      </c>
      <c r="F1862" t="s">
        <v>41</v>
      </c>
      <c r="H1862" t="s">
        <v>469</v>
      </c>
      <c r="L1862" s="1">
        <v>42838</v>
      </c>
    </row>
    <row r="1863" spans="2:13" x14ac:dyDescent="0.25">
      <c r="B1863" t="s">
        <v>457</v>
      </c>
      <c r="C1863" t="s">
        <v>139</v>
      </c>
      <c r="F1863" t="s">
        <v>41</v>
      </c>
      <c r="H1863" t="s">
        <v>456</v>
      </c>
      <c r="L1863" s="1">
        <v>42838</v>
      </c>
    </row>
    <row r="1864" spans="2:13" x14ac:dyDescent="0.25">
      <c r="B1864" t="s">
        <v>590</v>
      </c>
      <c r="C1864" t="s">
        <v>0</v>
      </c>
      <c r="D1864" t="s">
        <v>1</v>
      </c>
      <c r="E1864">
        <v>601948</v>
      </c>
      <c r="F1864" t="s">
        <v>591</v>
      </c>
      <c r="H1864" t="s">
        <v>456</v>
      </c>
      <c r="L1864" s="1">
        <v>41128</v>
      </c>
      <c r="M1864" s="1">
        <v>41163</v>
      </c>
    </row>
    <row r="1865" spans="2:13" x14ac:dyDescent="0.25">
      <c r="B1865" t="s">
        <v>589</v>
      </c>
      <c r="C1865" t="s">
        <v>0</v>
      </c>
      <c r="D1865" t="s">
        <v>1</v>
      </c>
      <c r="E1865">
        <v>643132</v>
      </c>
      <c r="F1865" t="s">
        <v>41</v>
      </c>
      <c r="H1865" t="s">
        <v>588</v>
      </c>
      <c r="L1865" s="1">
        <v>42172</v>
      </c>
      <c r="M1865" s="1">
        <v>42200</v>
      </c>
    </row>
    <row r="1866" spans="2:13" x14ac:dyDescent="0.25">
      <c r="B1866" t="s">
        <v>587</v>
      </c>
      <c r="C1866" t="s">
        <v>0</v>
      </c>
      <c r="D1866" t="s">
        <v>1</v>
      </c>
      <c r="E1866">
        <v>613810</v>
      </c>
      <c r="F1866" t="s">
        <v>41</v>
      </c>
      <c r="H1866" t="s">
        <v>554</v>
      </c>
      <c r="L1866" s="1">
        <v>41436</v>
      </c>
      <c r="M1866" s="1">
        <v>41470</v>
      </c>
    </row>
    <row r="1867" spans="2:13" x14ac:dyDescent="0.25">
      <c r="B1867" t="s">
        <v>586</v>
      </c>
      <c r="C1867" t="s">
        <v>0</v>
      </c>
      <c r="D1867" t="s">
        <v>1</v>
      </c>
      <c r="E1867">
        <v>661948</v>
      </c>
      <c r="F1867" t="s">
        <v>41</v>
      </c>
      <c r="H1867" t="s">
        <v>431</v>
      </c>
      <c r="L1867" s="1">
        <v>42767</v>
      </c>
      <c r="M1867" s="1">
        <v>42809</v>
      </c>
    </row>
    <row r="1868" spans="2:13" x14ac:dyDescent="0.25">
      <c r="B1868" t="s">
        <v>585</v>
      </c>
      <c r="C1868" t="s">
        <v>0</v>
      </c>
      <c r="D1868" t="s">
        <v>1</v>
      </c>
      <c r="E1868">
        <v>613809</v>
      </c>
      <c r="F1868" t="s">
        <v>41</v>
      </c>
      <c r="H1868" t="s">
        <v>584</v>
      </c>
      <c r="L1868" s="1">
        <v>41436</v>
      </c>
      <c r="M1868" s="1">
        <v>41470</v>
      </c>
    </row>
    <row r="1869" spans="2:13" x14ac:dyDescent="0.25">
      <c r="B1869" t="s">
        <v>583</v>
      </c>
      <c r="C1869" t="s">
        <v>0</v>
      </c>
      <c r="D1869" t="s">
        <v>1</v>
      </c>
      <c r="E1869">
        <v>609261</v>
      </c>
      <c r="F1869" t="s">
        <v>41</v>
      </c>
      <c r="H1869" t="s">
        <v>582</v>
      </c>
      <c r="L1869" s="1">
        <v>41317</v>
      </c>
      <c r="M1869" s="1">
        <v>41352</v>
      </c>
    </row>
    <row r="1870" spans="2:13" x14ac:dyDescent="0.25">
      <c r="B1870" t="s">
        <v>581</v>
      </c>
      <c r="C1870" t="s">
        <v>0</v>
      </c>
      <c r="D1870" t="s">
        <v>1</v>
      </c>
      <c r="E1870">
        <v>662911</v>
      </c>
      <c r="F1870" t="s">
        <v>41</v>
      </c>
      <c r="H1870" t="s">
        <v>578</v>
      </c>
      <c r="L1870" s="1">
        <v>42776</v>
      </c>
      <c r="M1870" s="1">
        <v>42844</v>
      </c>
    </row>
    <row r="1871" spans="2:13" x14ac:dyDescent="0.25">
      <c r="B1871" t="s">
        <v>580</v>
      </c>
      <c r="C1871" t="s">
        <v>0</v>
      </c>
      <c r="D1871" t="s">
        <v>1</v>
      </c>
      <c r="E1871">
        <v>618732</v>
      </c>
      <c r="F1871" t="s">
        <v>41</v>
      </c>
      <c r="H1871" t="s">
        <v>578</v>
      </c>
      <c r="L1871" s="1">
        <v>41577</v>
      </c>
      <c r="M1871" s="1">
        <v>41611</v>
      </c>
    </row>
    <row r="1872" spans="2:13" x14ac:dyDescent="0.25">
      <c r="B1872" t="s">
        <v>579</v>
      </c>
      <c r="C1872" t="s">
        <v>0</v>
      </c>
      <c r="D1872" t="s">
        <v>1</v>
      </c>
      <c r="E1872">
        <v>617390</v>
      </c>
      <c r="F1872" t="s">
        <v>41</v>
      </c>
      <c r="H1872" t="s">
        <v>578</v>
      </c>
      <c r="L1872" s="1">
        <v>41389</v>
      </c>
      <c r="M1872" s="1">
        <v>41575</v>
      </c>
    </row>
    <row r="1873" spans="2:13" x14ac:dyDescent="0.25">
      <c r="B1873" t="s">
        <v>577</v>
      </c>
      <c r="C1873" t="s">
        <v>0</v>
      </c>
      <c r="D1873" t="s">
        <v>1</v>
      </c>
      <c r="E1873">
        <v>618892</v>
      </c>
      <c r="F1873" t="s">
        <v>41</v>
      </c>
      <c r="H1873" t="s">
        <v>576</v>
      </c>
      <c r="L1873" s="1">
        <v>41555</v>
      </c>
      <c r="M1873" s="1">
        <v>41613</v>
      </c>
    </row>
    <row r="1874" spans="2:13" x14ac:dyDescent="0.25">
      <c r="B1874" t="s">
        <v>575</v>
      </c>
      <c r="C1874" t="s">
        <v>0</v>
      </c>
      <c r="D1874" t="s">
        <v>1</v>
      </c>
      <c r="E1874">
        <v>632579</v>
      </c>
      <c r="F1874" t="s">
        <v>41</v>
      </c>
      <c r="H1874" t="s">
        <v>553</v>
      </c>
      <c r="L1874" s="1">
        <v>41914</v>
      </c>
      <c r="M1874" s="1">
        <v>41947</v>
      </c>
    </row>
    <row r="1875" spans="2:13" x14ac:dyDescent="0.25">
      <c r="B1875" t="s">
        <v>574</v>
      </c>
      <c r="C1875" t="s">
        <v>0</v>
      </c>
      <c r="D1875" t="s">
        <v>1</v>
      </c>
      <c r="E1875">
        <v>625714</v>
      </c>
      <c r="F1875" t="s">
        <v>41</v>
      </c>
      <c r="H1875" t="s">
        <v>553</v>
      </c>
      <c r="L1875" s="1">
        <v>41751</v>
      </c>
      <c r="M1875" s="1">
        <v>41779</v>
      </c>
    </row>
    <row r="1876" spans="2:13" x14ac:dyDescent="0.25">
      <c r="B1876" t="s">
        <v>573</v>
      </c>
      <c r="C1876" t="s">
        <v>0</v>
      </c>
      <c r="D1876" t="s">
        <v>1</v>
      </c>
      <c r="E1876">
        <v>633895</v>
      </c>
      <c r="F1876" t="s">
        <v>41</v>
      </c>
      <c r="H1876" t="s">
        <v>552</v>
      </c>
      <c r="L1876" s="1">
        <v>41906</v>
      </c>
      <c r="M1876" s="1">
        <v>41981</v>
      </c>
    </row>
    <row r="1877" spans="2:13" x14ac:dyDescent="0.25">
      <c r="B1877" t="s">
        <v>572</v>
      </c>
      <c r="C1877" t="s">
        <v>100</v>
      </c>
      <c r="D1877" t="s">
        <v>50</v>
      </c>
      <c r="E1877">
        <v>601437</v>
      </c>
      <c r="F1877" t="s">
        <v>41</v>
      </c>
      <c r="H1877" t="s">
        <v>571</v>
      </c>
      <c r="L1877" s="1">
        <v>41099</v>
      </c>
    </row>
    <row r="1878" spans="2:13" x14ac:dyDescent="0.25">
      <c r="B1878" t="s">
        <v>570</v>
      </c>
      <c r="C1878" t="s">
        <v>0</v>
      </c>
      <c r="D1878" t="s">
        <v>1</v>
      </c>
      <c r="E1878">
        <v>614761</v>
      </c>
      <c r="F1878" t="s">
        <v>41</v>
      </c>
      <c r="H1878" t="s">
        <v>569</v>
      </c>
      <c r="L1878" s="1">
        <v>41464</v>
      </c>
      <c r="M1878" s="1">
        <v>41498</v>
      </c>
    </row>
    <row r="1879" spans="2:13" x14ac:dyDescent="0.25">
      <c r="B1879" t="s">
        <v>256</v>
      </c>
      <c r="C1879" t="s">
        <v>140</v>
      </c>
      <c r="F1879" t="s">
        <v>134</v>
      </c>
      <c r="H1879" t="s">
        <v>255</v>
      </c>
      <c r="L1879" s="1">
        <v>42741</v>
      </c>
      <c r="M1879" s="1">
        <v>42912</v>
      </c>
    </row>
    <row r="1880" spans="2:13" x14ac:dyDescent="0.25">
      <c r="B1880" t="s">
        <v>568</v>
      </c>
      <c r="C1880" t="s">
        <v>0</v>
      </c>
      <c r="D1880" t="s">
        <v>1</v>
      </c>
      <c r="E1880">
        <v>660260</v>
      </c>
      <c r="F1880" t="s">
        <v>134</v>
      </c>
      <c r="H1880" t="s">
        <v>238</v>
      </c>
      <c r="L1880" s="1">
        <v>42719</v>
      </c>
      <c r="M1880" s="1">
        <v>42761</v>
      </c>
    </row>
    <row r="1881" spans="2:13" x14ac:dyDescent="0.25">
      <c r="B1881" t="s">
        <v>567</v>
      </c>
      <c r="C1881" t="s">
        <v>100</v>
      </c>
      <c r="D1881" t="s">
        <v>50</v>
      </c>
      <c r="E1881">
        <v>656382</v>
      </c>
      <c r="F1881" t="s">
        <v>41</v>
      </c>
      <c r="H1881" t="s">
        <v>221</v>
      </c>
      <c r="L1881" s="1">
        <v>42524</v>
      </c>
    </row>
    <row r="1882" spans="2:13" x14ac:dyDescent="0.25">
      <c r="B1882" t="s">
        <v>566</v>
      </c>
      <c r="C1882" t="s">
        <v>0</v>
      </c>
      <c r="D1882" t="s">
        <v>1</v>
      </c>
      <c r="E1882">
        <v>656752</v>
      </c>
      <c r="F1882" t="s">
        <v>134</v>
      </c>
      <c r="H1882" t="s">
        <v>221</v>
      </c>
      <c r="L1882" s="1">
        <v>42493</v>
      </c>
      <c r="M1882" s="1">
        <v>42653</v>
      </c>
    </row>
    <row r="1883" spans="2:13" x14ac:dyDescent="0.25">
      <c r="B1883" t="s">
        <v>565</v>
      </c>
      <c r="C1883" t="s">
        <v>0</v>
      </c>
      <c r="D1883" t="s">
        <v>1</v>
      </c>
      <c r="E1883">
        <v>645544</v>
      </c>
      <c r="F1883" t="s">
        <v>41</v>
      </c>
      <c r="H1883" t="s">
        <v>221</v>
      </c>
      <c r="L1883" s="1">
        <v>41940</v>
      </c>
      <c r="M1883" s="1">
        <v>42275</v>
      </c>
    </row>
    <row r="1884" spans="2:13" x14ac:dyDescent="0.25">
      <c r="B1884" t="s">
        <v>564</v>
      </c>
      <c r="C1884" t="s">
        <v>100</v>
      </c>
      <c r="D1884" t="s">
        <v>50</v>
      </c>
      <c r="E1884">
        <v>645391</v>
      </c>
      <c r="F1884" t="s">
        <v>440</v>
      </c>
      <c r="H1884" t="s">
        <v>221</v>
      </c>
      <c r="L1884" s="1">
        <v>41919</v>
      </c>
    </row>
    <row r="1885" spans="2:13" x14ac:dyDescent="0.25">
      <c r="B1885" t="s">
        <v>563</v>
      </c>
      <c r="C1885" t="s">
        <v>0</v>
      </c>
      <c r="D1885" t="s">
        <v>1</v>
      </c>
      <c r="E1885">
        <v>660178</v>
      </c>
      <c r="F1885" t="s">
        <v>134</v>
      </c>
      <c r="H1885" t="s">
        <v>206</v>
      </c>
      <c r="L1885" s="1">
        <v>42711</v>
      </c>
      <c r="M1885" s="1">
        <v>42759</v>
      </c>
    </row>
    <row r="1886" spans="2:13" x14ac:dyDescent="0.25">
      <c r="B1886" t="s">
        <v>562</v>
      </c>
      <c r="C1886" t="s">
        <v>0</v>
      </c>
      <c r="D1886" t="s">
        <v>1</v>
      </c>
      <c r="E1886">
        <v>633209</v>
      </c>
      <c r="F1886" t="s">
        <v>41</v>
      </c>
      <c r="H1886" t="s">
        <v>561</v>
      </c>
      <c r="L1886" s="1">
        <v>41906</v>
      </c>
      <c r="M1886" s="1">
        <v>41962</v>
      </c>
    </row>
    <row r="1887" spans="2:13" x14ac:dyDescent="0.25">
      <c r="B1887" t="s">
        <v>560</v>
      </c>
      <c r="C1887" t="s">
        <v>0</v>
      </c>
      <c r="D1887" t="s">
        <v>1</v>
      </c>
      <c r="E1887">
        <v>612119</v>
      </c>
      <c r="F1887" t="s">
        <v>41</v>
      </c>
      <c r="H1887" t="s">
        <v>559</v>
      </c>
      <c r="L1887" s="1">
        <v>41389</v>
      </c>
      <c r="M1887" s="1">
        <v>41423</v>
      </c>
    </row>
    <row r="1888" spans="2:13" x14ac:dyDescent="0.25">
      <c r="B1888" t="s">
        <v>558</v>
      </c>
      <c r="C1888" t="s">
        <v>0</v>
      </c>
      <c r="D1888" t="s">
        <v>1</v>
      </c>
      <c r="E1888">
        <v>614760</v>
      </c>
      <c r="F1888" t="s">
        <v>41</v>
      </c>
      <c r="H1888" t="s">
        <v>557</v>
      </c>
      <c r="L1888" s="1">
        <v>41464</v>
      </c>
      <c r="M1888" s="1">
        <v>41498</v>
      </c>
    </row>
    <row r="1893" spans="2:13" x14ac:dyDescent="0.25">
      <c r="B1893" t="s">
        <v>42</v>
      </c>
      <c r="C1893" t="s">
        <v>0</v>
      </c>
      <c r="D1893" t="s">
        <v>1</v>
      </c>
      <c r="E1893">
        <v>663885</v>
      </c>
      <c r="F1893" t="s">
        <v>41</v>
      </c>
      <c r="H1893" t="s">
        <v>43</v>
      </c>
      <c r="L1893" s="1">
        <v>42776</v>
      </c>
      <c r="M1893" s="1">
        <v>42877</v>
      </c>
    </row>
    <row r="1894" spans="2:13" x14ac:dyDescent="0.25">
      <c r="B1894" t="s">
        <v>659</v>
      </c>
      <c r="C1894" t="s">
        <v>0</v>
      </c>
      <c r="D1894" t="s">
        <v>1</v>
      </c>
      <c r="E1894">
        <v>660519</v>
      </c>
      <c r="F1894" t="s">
        <v>41</v>
      </c>
      <c r="H1894" t="s">
        <v>43</v>
      </c>
      <c r="L1894" s="1">
        <v>42655</v>
      </c>
      <c r="M1894" s="1">
        <v>42768</v>
      </c>
    </row>
    <row r="1895" spans="2:13" x14ac:dyDescent="0.25">
      <c r="B1895" t="s">
        <v>657</v>
      </c>
      <c r="C1895" t="s">
        <v>0</v>
      </c>
      <c r="D1895" t="s">
        <v>1</v>
      </c>
      <c r="E1895">
        <v>662187</v>
      </c>
      <c r="F1895" t="s">
        <v>41</v>
      </c>
      <c r="H1895" t="s">
        <v>540</v>
      </c>
      <c r="L1895" s="1">
        <v>42705</v>
      </c>
      <c r="M1895" s="1">
        <v>42821</v>
      </c>
    </row>
    <row r="1896" spans="2:13" x14ac:dyDescent="0.25">
      <c r="B1896" t="s">
        <v>529</v>
      </c>
      <c r="C1896" t="s">
        <v>139</v>
      </c>
      <c r="F1896" t="s">
        <v>134</v>
      </c>
      <c r="H1896" t="s">
        <v>527</v>
      </c>
      <c r="L1896" s="1">
        <v>42782</v>
      </c>
      <c r="M1896" s="1">
        <v>42898</v>
      </c>
    </row>
    <row r="1897" spans="2:13" x14ac:dyDescent="0.25">
      <c r="B1897" t="s">
        <v>655</v>
      </c>
      <c r="C1897" t="s">
        <v>100</v>
      </c>
      <c r="D1897" t="s">
        <v>50</v>
      </c>
      <c r="E1897">
        <v>662535</v>
      </c>
      <c r="F1897" t="s">
        <v>163</v>
      </c>
      <c r="H1897" t="s">
        <v>527</v>
      </c>
      <c r="L1897" s="1">
        <v>42723</v>
      </c>
    </row>
    <row r="1898" spans="2:13" x14ac:dyDescent="0.25">
      <c r="B1898" t="s">
        <v>654</v>
      </c>
      <c r="C1898" t="s">
        <v>100</v>
      </c>
      <c r="D1898" t="s">
        <v>50</v>
      </c>
      <c r="E1898">
        <v>662534</v>
      </c>
      <c r="F1898" t="s">
        <v>163</v>
      </c>
      <c r="H1898" t="s">
        <v>527</v>
      </c>
      <c r="L1898" s="1">
        <v>42723</v>
      </c>
    </row>
    <row r="1899" spans="2:13" x14ac:dyDescent="0.25">
      <c r="B1899" t="s">
        <v>649</v>
      </c>
      <c r="C1899" t="s">
        <v>100</v>
      </c>
      <c r="D1899" t="s">
        <v>1</v>
      </c>
      <c r="E1899">
        <v>652807</v>
      </c>
      <c r="F1899" t="s">
        <v>147</v>
      </c>
      <c r="H1899" t="s">
        <v>611</v>
      </c>
      <c r="L1899" s="1">
        <v>42419</v>
      </c>
    </row>
    <row r="1900" spans="2:13" x14ac:dyDescent="0.25">
      <c r="B1900" t="s">
        <v>645</v>
      </c>
      <c r="C1900" t="s">
        <v>100</v>
      </c>
      <c r="D1900" t="s">
        <v>50</v>
      </c>
      <c r="E1900">
        <v>661987</v>
      </c>
      <c r="F1900" t="s">
        <v>145</v>
      </c>
      <c r="H1900" t="s">
        <v>433</v>
      </c>
      <c r="L1900" s="1">
        <v>42783</v>
      </c>
    </row>
    <row r="1901" spans="2:13" x14ac:dyDescent="0.25">
      <c r="B1901" t="s">
        <v>644</v>
      </c>
      <c r="C1901" t="s">
        <v>0</v>
      </c>
      <c r="D1901" t="s">
        <v>1</v>
      </c>
      <c r="E1901">
        <v>663065</v>
      </c>
      <c r="F1901" t="s">
        <v>41</v>
      </c>
      <c r="H1901" t="s">
        <v>433</v>
      </c>
      <c r="L1901" s="1">
        <v>42675</v>
      </c>
      <c r="M1901" s="1">
        <v>42849</v>
      </c>
    </row>
    <row r="1902" spans="2:13" x14ac:dyDescent="0.25">
      <c r="B1902" t="s">
        <v>642</v>
      </c>
      <c r="C1902" t="s">
        <v>0</v>
      </c>
      <c r="D1902" t="s">
        <v>1</v>
      </c>
      <c r="E1902">
        <v>661791</v>
      </c>
      <c r="F1902" t="s">
        <v>41</v>
      </c>
      <c r="H1902" t="s">
        <v>424</v>
      </c>
      <c r="L1902" s="1">
        <v>42675</v>
      </c>
      <c r="M1902" s="1">
        <v>42803</v>
      </c>
    </row>
    <row r="1903" spans="2:13" x14ac:dyDescent="0.25">
      <c r="B1903" t="s">
        <v>639</v>
      </c>
      <c r="C1903" t="s">
        <v>0</v>
      </c>
      <c r="D1903" t="s">
        <v>1</v>
      </c>
      <c r="E1903">
        <v>654068</v>
      </c>
      <c r="F1903" t="s">
        <v>134</v>
      </c>
      <c r="H1903" t="s">
        <v>635</v>
      </c>
      <c r="L1903" s="1">
        <v>42494</v>
      </c>
      <c r="M1903" s="1">
        <v>42558</v>
      </c>
    </row>
    <row r="1904" spans="2:13" x14ac:dyDescent="0.25">
      <c r="B1904" t="s">
        <v>636</v>
      </c>
      <c r="C1904" t="s">
        <v>0</v>
      </c>
      <c r="D1904" t="s">
        <v>1</v>
      </c>
      <c r="E1904">
        <v>650406</v>
      </c>
      <c r="F1904" t="s">
        <v>134</v>
      </c>
      <c r="H1904" t="s">
        <v>635</v>
      </c>
      <c r="L1904" s="1">
        <v>42278</v>
      </c>
      <c r="M1904" s="1">
        <v>42431</v>
      </c>
    </row>
    <row r="1905" spans="2:13" x14ac:dyDescent="0.25">
      <c r="B1905" t="s">
        <v>633</v>
      </c>
      <c r="C1905" t="s">
        <v>0</v>
      </c>
      <c r="D1905" t="s">
        <v>1</v>
      </c>
      <c r="E1905">
        <v>661947</v>
      </c>
      <c r="F1905" t="s">
        <v>134</v>
      </c>
      <c r="H1905" t="s">
        <v>297</v>
      </c>
      <c r="L1905" s="1">
        <v>42766</v>
      </c>
      <c r="M1905" s="1">
        <v>42809</v>
      </c>
    </row>
    <row r="1906" spans="2:13" x14ac:dyDescent="0.25">
      <c r="B1906" t="s">
        <v>298</v>
      </c>
      <c r="C1906" t="s">
        <v>76</v>
      </c>
      <c r="D1906" t="s">
        <v>1</v>
      </c>
      <c r="E1906">
        <v>656755</v>
      </c>
      <c r="F1906" t="s">
        <v>134</v>
      </c>
      <c r="H1906" t="s">
        <v>297</v>
      </c>
      <c r="L1906" s="1">
        <v>42530</v>
      </c>
      <c r="M1906" s="1">
        <v>42632</v>
      </c>
    </row>
    <row r="1907" spans="2:13" x14ac:dyDescent="0.25">
      <c r="B1907" t="s">
        <v>631</v>
      </c>
      <c r="C1907" t="s">
        <v>100</v>
      </c>
      <c r="D1907" t="s">
        <v>50</v>
      </c>
      <c r="E1907">
        <v>656383</v>
      </c>
      <c r="F1907" t="s">
        <v>41</v>
      </c>
      <c r="H1907" t="s">
        <v>297</v>
      </c>
      <c r="L1907" s="1">
        <v>42524</v>
      </c>
    </row>
    <row r="1908" spans="2:13" x14ac:dyDescent="0.25">
      <c r="B1908" t="s">
        <v>630</v>
      </c>
      <c r="C1908" t="s">
        <v>0</v>
      </c>
      <c r="D1908" t="s">
        <v>1</v>
      </c>
      <c r="E1908">
        <v>656753</v>
      </c>
      <c r="F1908" t="s">
        <v>134</v>
      </c>
      <c r="H1908" t="s">
        <v>297</v>
      </c>
      <c r="L1908" s="1">
        <v>42501</v>
      </c>
      <c r="M1908" s="1">
        <v>42653</v>
      </c>
    </row>
    <row r="1909" spans="2:13" x14ac:dyDescent="0.25">
      <c r="B1909" t="s">
        <v>628</v>
      </c>
      <c r="C1909" t="s">
        <v>0</v>
      </c>
      <c r="D1909" t="s">
        <v>1</v>
      </c>
      <c r="E1909">
        <v>655354</v>
      </c>
      <c r="F1909" t="s">
        <v>134</v>
      </c>
      <c r="H1909" t="s">
        <v>624</v>
      </c>
      <c r="L1909" s="1">
        <v>42530</v>
      </c>
      <c r="M1909" s="1">
        <v>42600</v>
      </c>
    </row>
    <row r="1910" spans="2:13" x14ac:dyDescent="0.25">
      <c r="B1910" t="s">
        <v>625</v>
      </c>
      <c r="C1910" t="s">
        <v>0</v>
      </c>
      <c r="D1910" t="s">
        <v>1</v>
      </c>
      <c r="E1910">
        <v>649626</v>
      </c>
      <c r="F1910" t="s">
        <v>134</v>
      </c>
      <c r="H1910" t="s">
        <v>624</v>
      </c>
      <c r="L1910" s="1">
        <v>42369</v>
      </c>
      <c r="M1910" s="1">
        <v>42408</v>
      </c>
    </row>
    <row r="1911" spans="2:13" x14ac:dyDescent="0.25">
      <c r="B1911" t="s">
        <v>150</v>
      </c>
      <c r="C1911" t="s">
        <v>76</v>
      </c>
      <c r="F1911" t="s">
        <v>134</v>
      </c>
      <c r="H1911" t="s">
        <v>149</v>
      </c>
      <c r="L1911" s="1">
        <v>42849</v>
      </c>
    </row>
    <row r="1912" spans="2:13" x14ac:dyDescent="0.25">
      <c r="B1912" t="s">
        <v>621</v>
      </c>
      <c r="C1912" t="s">
        <v>0</v>
      </c>
      <c r="D1912" t="s">
        <v>1</v>
      </c>
      <c r="E1912">
        <v>661003</v>
      </c>
      <c r="F1912" t="s">
        <v>134</v>
      </c>
      <c r="H1912" t="s">
        <v>149</v>
      </c>
      <c r="L1912" s="1">
        <v>42733</v>
      </c>
      <c r="M1912" s="1">
        <v>42779</v>
      </c>
    </row>
    <row r="1913" spans="2:13" x14ac:dyDescent="0.25">
      <c r="B1913" t="s">
        <v>620</v>
      </c>
      <c r="C1913" t="s">
        <v>0</v>
      </c>
      <c r="D1913" t="s">
        <v>1</v>
      </c>
      <c r="E1913">
        <v>645543</v>
      </c>
      <c r="F1913" t="s">
        <v>41</v>
      </c>
      <c r="H1913" t="s">
        <v>149</v>
      </c>
      <c r="L1913" s="1">
        <v>41919</v>
      </c>
      <c r="M1913" s="1">
        <v>42275</v>
      </c>
    </row>
    <row r="1914" spans="2:13" x14ac:dyDescent="0.25">
      <c r="B1914" t="s">
        <v>617</v>
      </c>
      <c r="C1914" t="s">
        <v>100</v>
      </c>
      <c r="D1914" t="s">
        <v>50</v>
      </c>
      <c r="E1914">
        <v>645390</v>
      </c>
      <c r="F1914" t="s">
        <v>440</v>
      </c>
      <c r="H1914" t="s">
        <v>149</v>
      </c>
      <c r="L1914" s="1">
        <v>41893</v>
      </c>
    </row>
    <row r="1918" spans="2:13" x14ac:dyDescent="0.25">
      <c r="L1918" s="1"/>
    </row>
    <row r="1919" spans="2:13" x14ac:dyDescent="0.25">
      <c r="L1919" s="1"/>
    </row>
    <row r="1920" spans="2:13" x14ac:dyDescent="0.25">
      <c r="B1920" t="s">
        <v>42</v>
      </c>
      <c r="C1920" t="s">
        <v>0</v>
      </c>
      <c r="D1920" t="s">
        <v>1</v>
      </c>
      <c r="E1920">
        <v>663885</v>
      </c>
      <c r="F1920" t="s">
        <v>41</v>
      </c>
      <c r="H1920" t="s">
        <v>43</v>
      </c>
      <c r="L1920" s="1">
        <v>42776</v>
      </c>
      <c r="M1920" s="1">
        <v>42877</v>
      </c>
    </row>
    <row r="1921" spans="2:13" x14ac:dyDescent="0.25">
      <c r="B1921" t="s">
        <v>550</v>
      </c>
      <c r="C1921" t="s">
        <v>76</v>
      </c>
      <c r="D1921" t="s">
        <v>48</v>
      </c>
      <c r="E1921">
        <v>658286</v>
      </c>
      <c r="F1921" t="s">
        <v>41</v>
      </c>
      <c r="H1921" t="s">
        <v>43</v>
      </c>
      <c r="L1921" s="1">
        <v>42655</v>
      </c>
      <c r="M1921" s="1">
        <v>42899</v>
      </c>
    </row>
    <row r="1922" spans="2:13" x14ac:dyDescent="0.25">
      <c r="B1922" t="s">
        <v>659</v>
      </c>
      <c r="C1922" t="s">
        <v>0</v>
      </c>
      <c r="D1922" t="s">
        <v>1</v>
      </c>
      <c r="E1922">
        <v>660519</v>
      </c>
      <c r="F1922" t="s">
        <v>41</v>
      </c>
      <c r="H1922" t="s">
        <v>43</v>
      </c>
      <c r="L1922" s="1">
        <v>42655</v>
      </c>
      <c r="M1922" s="1">
        <v>42768</v>
      </c>
    </row>
    <row r="1923" spans="2:13" x14ac:dyDescent="0.25">
      <c r="B1923" t="s">
        <v>658</v>
      </c>
      <c r="C1923" t="s">
        <v>0</v>
      </c>
      <c r="D1923" t="s">
        <v>1</v>
      </c>
      <c r="E1923">
        <v>645701</v>
      </c>
      <c r="F1923" t="s">
        <v>41</v>
      </c>
      <c r="H1923" t="s">
        <v>43</v>
      </c>
      <c r="L1923" s="1">
        <v>42233</v>
      </c>
      <c r="M1923" s="1">
        <v>42278</v>
      </c>
    </row>
    <row r="1924" spans="2:13" x14ac:dyDescent="0.25">
      <c r="B1924" t="s">
        <v>657</v>
      </c>
      <c r="C1924" t="s">
        <v>0</v>
      </c>
      <c r="D1924" t="s">
        <v>1</v>
      </c>
      <c r="E1924">
        <v>662187</v>
      </c>
      <c r="F1924" t="s">
        <v>41</v>
      </c>
      <c r="H1924" t="s">
        <v>540</v>
      </c>
      <c r="L1924" s="1">
        <v>42705</v>
      </c>
      <c r="M1924" s="1">
        <v>42821</v>
      </c>
    </row>
    <row r="1925" spans="2:13" x14ac:dyDescent="0.25">
      <c r="B1925" t="s">
        <v>539</v>
      </c>
      <c r="C1925" t="s">
        <v>140</v>
      </c>
      <c r="D1925" t="s">
        <v>48</v>
      </c>
      <c r="E1925">
        <v>662442</v>
      </c>
      <c r="F1925" t="s">
        <v>41</v>
      </c>
      <c r="H1925" t="s">
        <v>540</v>
      </c>
      <c r="L1925" s="1">
        <v>42671</v>
      </c>
      <c r="M1925" s="1">
        <v>42899</v>
      </c>
    </row>
    <row r="1926" spans="2:13" x14ac:dyDescent="0.25">
      <c r="B1926" t="s">
        <v>656</v>
      </c>
      <c r="C1926" t="s">
        <v>0</v>
      </c>
      <c r="D1926" t="s">
        <v>1</v>
      </c>
      <c r="E1926">
        <v>661562</v>
      </c>
      <c r="F1926" t="s">
        <v>41</v>
      </c>
      <c r="H1926" t="s">
        <v>540</v>
      </c>
      <c r="L1926" s="1">
        <v>42601</v>
      </c>
      <c r="M1926" s="1">
        <v>42796</v>
      </c>
    </row>
    <row r="1927" spans="2:13" x14ac:dyDescent="0.25">
      <c r="B1927" t="s">
        <v>529</v>
      </c>
      <c r="C1927" t="s">
        <v>139</v>
      </c>
      <c r="F1927" t="s">
        <v>134</v>
      </c>
      <c r="H1927" t="s">
        <v>527</v>
      </c>
      <c r="L1927" s="1">
        <v>42782</v>
      </c>
      <c r="M1927" s="1">
        <v>42898</v>
      </c>
    </row>
    <row r="1928" spans="2:13" x14ac:dyDescent="0.25">
      <c r="B1928" t="s">
        <v>528</v>
      </c>
      <c r="C1928" t="s">
        <v>139</v>
      </c>
      <c r="D1928" t="s">
        <v>63</v>
      </c>
      <c r="E1928">
        <v>663209</v>
      </c>
      <c r="F1928" t="s">
        <v>134</v>
      </c>
      <c r="H1928" t="s">
        <v>527</v>
      </c>
      <c r="L1928" s="1">
        <v>42780</v>
      </c>
      <c r="M1928" s="1">
        <v>42898</v>
      </c>
    </row>
    <row r="1929" spans="2:13" x14ac:dyDescent="0.25">
      <c r="B1929" t="s">
        <v>526</v>
      </c>
      <c r="C1929" t="s">
        <v>139</v>
      </c>
      <c r="D1929" t="s">
        <v>63</v>
      </c>
      <c r="E1929">
        <v>663207</v>
      </c>
      <c r="F1929" t="s">
        <v>134</v>
      </c>
      <c r="H1929" t="s">
        <v>527</v>
      </c>
      <c r="L1929" s="1">
        <v>42780</v>
      </c>
      <c r="M1929" s="1">
        <v>42898</v>
      </c>
    </row>
    <row r="1930" spans="2:13" x14ac:dyDescent="0.25">
      <c r="B1930" t="s">
        <v>655</v>
      </c>
      <c r="C1930" t="s">
        <v>100</v>
      </c>
      <c r="D1930" t="s">
        <v>50</v>
      </c>
      <c r="E1930">
        <v>662535</v>
      </c>
      <c r="F1930" t="s">
        <v>163</v>
      </c>
      <c r="H1930" t="s">
        <v>527</v>
      </c>
      <c r="L1930" s="1">
        <v>42723</v>
      </c>
    </row>
    <row r="1931" spans="2:13" x14ac:dyDescent="0.25">
      <c r="B1931" t="s">
        <v>654</v>
      </c>
      <c r="C1931" t="s">
        <v>100</v>
      </c>
      <c r="D1931" t="s">
        <v>50</v>
      </c>
      <c r="E1931">
        <v>662534</v>
      </c>
      <c r="F1931" t="s">
        <v>163</v>
      </c>
      <c r="H1931" t="s">
        <v>527</v>
      </c>
      <c r="L1931" s="1">
        <v>42723</v>
      </c>
    </row>
    <row r="1932" spans="2:13" x14ac:dyDescent="0.25">
      <c r="B1932" t="s">
        <v>653</v>
      </c>
      <c r="C1932" t="s">
        <v>100</v>
      </c>
      <c r="D1932" t="s">
        <v>50</v>
      </c>
      <c r="E1932">
        <v>662532</v>
      </c>
      <c r="F1932" t="s">
        <v>163</v>
      </c>
      <c r="H1932" t="s">
        <v>527</v>
      </c>
      <c r="L1932" s="1">
        <v>42723</v>
      </c>
    </row>
    <row r="1933" spans="2:13" x14ac:dyDescent="0.25">
      <c r="B1933" t="s">
        <v>650</v>
      </c>
      <c r="C1933" t="s">
        <v>0</v>
      </c>
      <c r="D1933" t="s">
        <v>1</v>
      </c>
      <c r="E1933">
        <v>607187</v>
      </c>
      <c r="F1933" t="s">
        <v>651</v>
      </c>
      <c r="H1933" t="s">
        <v>652</v>
      </c>
      <c r="L1933" s="1">
        <v>41255</v>
      </c>
      <c r="M1933" s="1">
        <v>41304</v>
      </c>
    </row>
    <row r="1934" spans="2:13" x14ac:dyDescent="0.25">
      <c r="B1934" t="s">
        <v>649</v>
      </c>
      <c r="C1934" t="s">
        <v>100</v>
      </c>
      <c r="D1934" t="s">
        <v>1</v>
      </c>
      <c r="E1934">
        <v>652807</v>
      </c>
      <c r="F1934" t="s">
        <v>147</v>
      </c>
      <c r="H1934" t="s">
        <v>611</v>
      </c>
      <c r="L1934" s="1">
        <v>42419</v>
      </c>
    </row>
    <row r="1935" spans="2:13" x14ac:dyDescent="0.25">
      <c r="B1935" t="s">
        <v>648</v>
      </c>
      <c r="C1935" t="s">
        <v>0</v>
      </c>
      <c r="D1935" t="s">
        <v>48</v>
      </c>
      <c r="E1935">
        <v>652533</v>
      </c>
      <c r="F1935" t="s">
        <v>147</v>
      </c>
      <c r="H1935" t="s">
        <v>611</v>
      </c>
      <c r="L1935" s="1">
        <v>42419</v>
      </c>
      <c r="M1935" s="1">
        <v>42732</v>
      </c>
    </row>
    <row r="1936" spans="2:13" x14ac:dyDescent="0.25">
      <c r="B1936" t="s">
        <v>647</v>
      </c>
      <c r="C1936" t="s">
        <v>0</v>
      </c>
      <c r="D1936" t="s">
        <v>1</v>
      </c>
      <c r="E1936">
        <v>652255</v>
      </c>
      <c r="F1936" t="s">
        <v>147</v>
      </c>
      <c r="H1936" t="s">
        <v>611</v>
      </c>
      <c r="L1936" s="1">
        <v>42419</v>
      </c>
      <c r="M1936" s="1">
        <v>42492</v>
      </c>
    </row>
    <row r="1937" spans="2:13" x14ac:dyDescent="0.25">
      <c r="B1937" t="s">
        <v>646</v>
      </c>
      <c r="C1937" t="s">
        <v>100</v>
      </c>
      <c r="D1937" t="s">
        <v>50</v>
      </c>
      <c r="E1937">
        <v>662163</v>
      </c>
      <c r="F1937" t="s">
        <v>145</v>
      </c>
      <c r="H1937" t="s">
        <v>433</v>
      </c>
      <c r="L1937" s="1">
        <v>42783</v>
      </c>
    </row>
    <row r="1938" spans="2:13" x14ac:dyDescent="0.25">
      <c r="B1938" t="s">
        <v>645</v>
      </c>
      <c r="C1938" t="s">
        <v>100</v>
      </c>
      <c r="D1938" t="s">
        <v>50</v>
      </c>
      <c r="E1938">
        <v>661987</v>
      </c>
      <c r="F1938" t="s">
        <v>145</v>
      </c>
      <c r="H1938" t="s">
        <v>433</v>
      </c>
      <c r="L1938" s="1">
        <v>42783</v>
      </c>
    </row>
    <row r="1939" spans="2:13" x14ac:dyDescent="0.25">
      <c r="B1939" t="s">
        <v>432</v>
      </c>
      <c r="C1939" t="s">
        <v>139</v>
      </c>
      <c r="D1939" t="s">
        <v>63</v>
      </c>
      <c r="E1939">
        <v>660316</v>
      </c>
      <c r="F1939" t="s">
        <v>41</v>
      </c>
      <c r="H1939" t="s">
        <v>433</v>
      </c>
      <c r="L1939" s="1">
        <v>42675</v>
      </c>
      <c r="M1939" s="1">
        <v>42788</v>
      </c>
    </row>
    <row r="1940" spans="2:13" x14ac:dyDescent="0.25">
      <c r="B1940" t="s">
        <v>644</v>
      </c>
      <c r="C1940" t="s">
        <v>0</v>
      </c>
      <c r="D1940" t="s">
        <v>1</v>
      </c>
      <c r="E1940">
        <v>663065</v>
      </c>
      <c r="F1940" t="s">
        <v>41</v>
      </c>
      <c r="H1940" t="s">
        <v>433</v>
      </c>
      <c r="L1940" s="1">
        <v>42675</v>
      </c>
      <c r="M1940" s="1">
        <v>42849</v>
      </c>
    </row>
    <row r="1941" spans="2:13" x14ac:dyDescent="0.25">
      <c r="B1941" t="s">
        <v>643</v>
      </c>
      <c r="C1941" t="s">
        <v>0</v>
      </c>
      <c r="D1941" t="s">
        <v>63</v>
      </c>
      <c r="E1941">
        <v>660314</v>
      </c>
      <c r="F1941" t="s">
        <v>41</v>
      </c>
      <c r="H1941" t="s">
        <v>433</v>
      </c>
      <c r="L1941" s="1">
        <v>42634</v>
      </c>
      <c r="M1941" s="1">
        <v>42835</v>
      </c>
    </row>
    <row r="1942" spans="2:13" x14ac:dyDescent="0.25">
      <c r="B1942" t="s">
        <v>642</v>
      </c>
      <c r="C1942" t="s">
        <v>0</v>
      </c>
      <c r="D1942" t="s">
        <v>1</v>
      </c>
      <c r="E1942">
        <v>661791</v>
      </c>
      <c r="F1942" t="s">
        <v>41</v>
      </c>
      <c r="H1942" t="s">
        <v>424</v>
      </c>
      <c r="L1942" s="1">
        <v>42675</v>
      </c>
      <c r="M1942" s="1">
        <v>42803</v>
      </c>
    </row>
    <row r="1943" spans="2:13" x14ac:dyDescent="0.25">
      <c r="B1943" t="s">
        <v>423</v>
      </c>
      <c r="C1943" t="s">
        <v>140</v>
      </c>
      <c r="D1943" t="s">
        <v>63</v>
      </c>
      <c r="E1943">
        <v>660315</v>
      </c>
      <c r="F1943" t="s">
        <v>41</v>
      </c>
      <c r="H1943" t="s">
        <v>424</v>
      </c>
      <c r="L1943" s="1">
        <v>42675</v>
      </c>
      <c r="M1943" s="1">
        <v>42899</v>
      </c>
    </row>
    <row r="1944" spans="2:13" x14ac:dyDescent="0.25">
      <c r="B1944" t="s">
        <v>641</v>
      </c>
      <c r="C1944" t="s">
        <v>0</v>
      </c>
      <c r="D1944" t="s">
        <v>1</v>
      </c>
      <c r="E1944">
        <v>656697</v>
      </c>
      <c r="F1944" t="s">
        <v>41</v>
      </c>
      <c r="H1944" t="s">
        <v>424</v>
      </c>
      <c r="L1944" s="1">
        <v>42592</v>
      </c>
      <c r="M1944" s="1">
        <v>42649</v>
      </c>
    </row>
    <row r="1945" spans="2:13" x14ac:dyDescent="0.25">
      <c r="B1945" t="s">
        <v>640</v>
      </c>
      <c r="C1945" t="s">
        <v>0</v>
      </c>
      <c r="D1945" t="s">
        <v>1</v>
      </c>
      <c r="E1945">
        <v>661212</v>
      </c>
      <c r="F1945" t="s">
        <v>134</v>
      </c>
      <c r="H1945" t="s">
        <v>635</v>
      </c>
      <c r="L1945" s="1">
        <v>42731</v>
      </c>
      <c r="M1945" s="1">
        <v>42787</v>
      </c>
    </row>
    <row r="1946" spans="2:13" x14ac:dyDescent="0.25">
      <c r="B1946" t="s">
        <v>639</v>
      </c>
      <c r="C1946" t="s">
        <v>0</v>
      </c>
      <c r="D1946" t="s">
        <v>1</v>
      </c>
      <c r="E1946">
        <v>654068</v>
      </c>
      <c r="F1946" t="s">
        <v>134</v>
      </c>
      <c r="H1946" t="s">
        <v>635</v>
      </c>
      <c r="L1946" s="1">
        <v>42494</v>
      </c>
      <c r="M1946" s="1">
        <v>42558</v>
      </c>
    </row>
    <row r="1947" spans="2:13" x14ac:dyDescent="0.25">
      <c r="B1947" t="s">
        <v>638</v>
      </c>
      <c r="C1947" t="s">
        <v>0</v>
      </c>
      <c r="D1947" t="s">
        <v>1</v>
      </c>
      <c r="E1947">
        <v>653520</v>
      </c>
      <c r="F1947" t="s">
        <v>134</v>
      </c>
      <c r="H1947" t="s">
        <v>635</v>
      </c>
      <c r="L1947" s="1">
        <v>42488</v>
      </c>
      <c r="M1947" s="1">
        <v>42536</v>
      </c>
    </row>
    <row r="1948" spans="2:13" x14ac:dyDescent="0.25">
      <c r="B1948" t="s">
        <v>637</v>
      </c>
      <c r="C1948" t="s">
        <v>0</v>
      </c>
      <c r="D1948" t="s">
        <v>48</v>
      </c>
      <c r="E1948">
        <v>651557</v>
      </c>
      <c r="F1948" t="s">
        <v>134</v>
      </c>
      <c r="H1948" t="s">
        <v>635</v>
      </c>
      <c r="L1948" s="1">
        <v>42278</v>
      </c>
      <c r="M1948" s="1">
        <v>42636</v>
      </c>
    </row>
    <row r="1949" spans="2:13" x14ac:dyDescent="0.25">
      <c r="B1949" t="s">
        <v>636</v>
      </c>
      <c r="C1949" t="s">
        <v>0</v>
      </c>
      <c r="D1949" t="s">
        <v>1</v>
      </c>
      <c r="E1949">
        <v>650406</v>
      </c>
      <c r="F1949" t="s">
        <v>134</v>
      </c>
      <c r="H1949" t="s">
        <v>635</v>
      </c>
      <c r="L1949" s="1">
        <v>42278</v>
      </c>
      <c r="M1949" s="1">
        <v>42431</v>
      </c>
    </row>
    <row r="1950" spans="2:13" x14ac:dyDescent="0.25">
      <c r="B1950" t="s">
        <v>634</v>
      </c>
      <c r="C1950" t="s">
        <v>0</v>
      </c>
      <c r="D1950" t="s">
        <v>1</v>
      </c>
      <c r="E1950">
        <v>650044</v>
      </c>
      <c r="F1950" t="s">
        <v>134</v>
      </c>
      <c r="H1950" t="s">
        <v>635</v>
      </c>
      <c r="L1950" s="1">
        <v>42261</v>
      </c>
      <c r="M1950" s="1">
        <v>42422</v>
      </c>
    </row>
    <row r="1951" spans="2:13" x14ac:dyDescent="0.25">
      <c r="B1951" t="s">
        <v>633</v>
      </c>
      <c r="C1951" t="s">
        <v>0</v>
      </c>
      <c r="D1951" t="s">
        <v>1</v>
      </c>
      <c r="E1951">
        <v>661947</v>
      </c>
      <c r="F1951" t="s">
        <v>134</v>
      </c>
      <c r="H1951" t="s">
        <v>297</v>
      </c>
      <c r="L1951" s="1">
        <v>42766</v>
      </c>
      <c r="M1951" s="1">
        <v>42809</v>
      </c>
    </row>
    <row r="1952" spans="2:13" x14ac:dyDescent="0.25">
      <c r="B1952" t="s">
        <v>298</v>
      </c>
      <c r="C1952" t="s">
        <v>76</v>
      </c>
      <c r="D1952" t="s">
        <v>1</v>
      </c>
      <c r="E1952">
        <v>656755</v>
      </c>
      <c r="F1952" t="s">
        <v>134</v>
      </c>
      <c r="H1952" t="s">
        <v>297</v>
      </c>
      <c r="L1952" s="1">
        <v>42530</v>
      </c>
      <c r="M1952" s="1">
        <v>42632</v>
      </c>
    </row>
    <row r="1953" spans="2:13" x14ac:dyDescent="0.25">
      <c r="B1953" t="s">
        <v>632</v>
      </c>
      <c r="C1953" t="s">
        <v>100</v>
      </c>
      <c r="D1953" t="s">
        <v>50</v>
      </c>
      <c r="E1953">
        <v>656346</v>
      </c>
      <c r="F1953" t="s">
        <v>41</v>
      </c>
      <c r="H1953" t="s">
        <v>297</v>
      </c>
      <c r="L1953" s="1">
        <v>42524</v>
      </c>
    </row>
    <row r="1954" spans="2:13" x14ac:dyDescent="0.25">
      <c r="B1954" t="s">
        <v>631</v>
      </c>
      <c r="C1954" t="s">
        <v>100</v>
      </c>
      <c r="D1954" t="s">
        <v>50</v>
      </c>
      <c r="E1954">
        <v>656383</v>
      </c>
      <c r="F1954" t="s">
        <v>41</v>
      </c>
      <c r="H1954" t="s">
        <v>297</v>
      </c>
      <c r="L1954" s="1">
        <v>42524</v>
      </c>
    </row>
    <row r="1955" spans="2:13" x14ac:dyDescent="0.25">
      <c r="B1955" t="s">
        <v>296</v>
      </c>
      <c r="C1955" t="s">
        <v>76</v>
      </c>
      <c r="D1955" t="s">
        <v>48</v>
      </c>
      <c r="E1955">
        <v>656657</v>
      </c>
      <c r="F1955" t="s">
        <v>134</v>
      </c>
      <c r="H1955" t="s">
        <v>297</v>
      </c>
      <c r="L1955" s="1">
        <v>42501</v>
      </c>
      <c r="M1955" s="1">
        <v>42891</v>
      </c>
    </row>
    <row r="1956" spans="2:13" x14ac:dyDescent="0.25">
      <c r="B1956" t="s">
        <v>630</v>
      </c>
      <c r="C1956" t="s">
        <v>0</v>
      </c>
      <c r="D1956" t="s">
        <v>1</v>
      </c>
      <c r="E1956">
        <v>656753</v>
      </c>
      <c r="F1956" t="s">
        <v>134</v>
      </c>
      <c r="H1956" t="s">
        <v>297</v>
      </c>
      <c r="L1956" s="1">
        <v>42501</v>
      </c>
      <c r="M1956" s="1">
        <v>42653</v>
      </c>
    </row>
    <row r="1957" spans="2:13" x14ac:dyDescent="0.25">
      <c r="B1957" t="s">
        <v>629</v>
      </c>
      <c r="C1957" t="s">
        <v>0</v>
      </c>
      <c r="D1957" t="s">
        <v>1</v>
      </c>
      <c r="E1957">
        <v>639180</v>
      </c>
      <c r="F1957" t="s">
        <v>41</v>
      </c>
      <c r="H1957" t="s">
        <v>297</v>
      </c>
      <c r="L1957" s="1">
        <v>41948</v>
      </c>
      <c r="M1957" s="1">
        <v>42107</v>
      </c>
    </row>
    <row r="1958" spans="2:13" x14ac:dyDescent="0.25">
      <c r="B1958" t="s">
        <v>628</v>
      </c>
      <c r="C1958" t="s">
        <v>0</v>
      </c>
      <c r="D1958" t="s">
        <v>1</v>
      </c>
      <c r="E1958">
        <v>655354</v>
      </c>
      <c r="F1958" t="s">
        <v>134</v>
      </c>
      <c r="H1958" t="s">
        <v>624</v>
      </c>
      <c r="L1958" s="1">
        <v>42530</v>
      </c>
      <c r="M1958" s="1">
        <v>42600</v>
      </c>
    </row>
    <row r="1959" spans="2:13" x14ac:dyDescent="0.25">
      <c r="B1959" t="s">
        <v>627</v>
      </c>
      <c r="C1959" t="s">
        <v>0</v>
      </c>
      <c r="D1959" t="s">
        <v>1</v>
      </c>
      <c r="E1959">
        <v>655219</v>
      </c>
      <c r="F1959" t="s">
        <v>134</v>
      </c>
      <c r="H1959" t="s">
        <v>624</v>
      </c>
      <c r="L1959" s="1">
        <v>42530</v>
      </c>
      <c r="M1959" s="1">
        <v>42597</v>
      </c>
    </row>
    <row r="1960" spans="2:13" x14ac:dyDescent="0.25">
      <c r="B1960" t="s">
        <v>626</v>
      </c>
      <c r="C1960" t="s">
        <v>0</v>
      </c>
      <c r="D1960" t="s">
        <v>48</v>
      </c>
      <c r="E1960">
        <v>649994</v>
      </c>
      <c r="F1960" t="s">
        <v>134</v>
      </c>
      <c r="H1960" t="s">
        <v>624</v>
      </c>
      <c r="L1960" s="1">
        <v>42369</v>
      </c>
      <c r="M1960" s="1">
        <v>42681</v>
      </c>
    </row>
    <row r="1961" spans="2:13" x14ac:dyDescent="0.25">
      <c r="B1961" t="s">
        <v>625</v>
      </c>
      <c r="C1961" t="s">
        <v>0</v>
      </c>
      <c r="D1961" t="s">
        <v>1</v>
      </c>
      <c r="E1961">
        <v>649626</v>
      </c>
      <c r="F1961" t="s">
        <v>134</v>
      </c>
      <c r="H1961" t="s">
        <v>624</v>
      </c>
      <c r="L1961" s="1">
        <v>42369</v>
      </c>
      <c r="M1961" s="1">
        <v>42408</v>
      </c>
    </row>
    <row r="1962" spans="2:13" x14ac:dyDescent="0.25">
      <c r="B1962" t="s">
        <v>623</v>
      </c>
      <c r="C1962" t="s">
        <v>0</v>
      </c>
      <c r="D1962" t="s">
        <v>1</v>
      </c>
      <c r="E1962">
        <v>648438</v>
      </c>
      <c r="F1962" t="s">
        <v>134</v>
      </c>
      <c r="H1962" t="s">
        <v>624</v>
      </c>
      <c r="L1962" s="1">
        <v>42261</v>
      </c>
      <c r="M1962" s="1">
        <v>42377</v>
      </c>
    </row>
    <row r="1963" spans="2:13" x14ac:dyDescent="0.25">
      <c r="B1963" t="s">
        <v>158</v>
      </c>
      <c r="C1963" t="s">
        <v>139</v>
      </c>
      <c r="F1963" t="s">
        <v>134</v>
      </c>
      <c r="H1963" t="s">
        <v>149</v>
      </c>
      <c r="L1963" s="1">
        <v>42851</v>
      </c>
      <c r="M1963" s="1">
        <v>42898</v>
      </c>
    </row>
    <row r="1964" spans="2:13" x14ac:dyDescent="0.25">
      <c r="B1964" t="s">
        <v>157</v>
      </c>
      <c r="C1964" t="s">
        <v>139</v>
      </c>
      <c r="F1964" t="s">
        <v>134</v>
      </c>
      <c r="H1964" t="s">
        <v>149</v>
      </c>
      <c r="L1964" s="1">
        <v>42851</v>
      </c>
      <c r="M1964" s="1">
        <v>42898</v>
      </c>
    </row>
    <row r="1965" spans="2:13" x14ac:dyDescent="0.25">
      <c r="B1965" t="s">
        <v>156</v>
      </c>
      <c r="C1965" t="s">
        <v>139</v>
      </c>
      <c r="F1965" t="s">
        <v>134</v>
      </c>
      <c r="H1965" t="s">
        <v>149</v>
      </c>
      <c r="L1965" s="1">
        <v>42851</v>
      </c>
      <c r="M1965" s="1">
        <v>42898</v>
      </c>
    </row>
    <row r="1966" spans="2:13" x14ac:dyDescent="0.25">
      <c r="B1966" t="s">
        <v>155</v>
      </c>
      <c r="C1966" t="s">
        <v>139</v>
      </c>
      <c r="F1966" t="s">
        <v>134</v>
      </c>
      <c r="H1966" t="s">
        <v>149</v>
      </c>
      <c r="L1966" s="1">
        <v>42851</v>
      </c>
      <c r="M1966" s="1">
        <v>42898</v>
      </c>
    </row>
    <row r="1967" spans="2:13" x14ac:dyDescent="0.25">
      <c r="B1967" t="s">
        <v>154</v>
      </c>
      <c r="C1967" t="s">
        <v>139</v>
      </c>
      <c r="F1967" t="s">
        <v>134</v>
      </c>
      <c r="H1967" t="s">
        <v>149</v>
      </c>
      <c r="L1967" s="1">
        <v>42851</v>
      </c>
      <c r="M1967" s="1">
        <v>42898</v>
      </c>
    </row>
    <row r="1968" spans="2:13" x14ac:dyDescent="0.25">
      <c r="B1968" t="s">
        <v>153</v>
      </c>
      <c r="C1968" t="s">
        <v>139</v>
      </c>
      <c r="F1968" t="s">
        <v>134</v>
      </c>
      <c r="H1968" t="s">
        <v>149</v>
      </c>
      <c r="L1968" s="1">
        <v>42851</v>
      </c>
      <c r="M1968" s="1">
        <v>42898</v>
      </c>
    </row>
    <row r="1969" spans="2:13" x14ac:dyDescent="0.25">
      <c r="B1969" t="s">
        <v>152</v>
      </c>
      <c r="C1969" t="s">
        <v>139</v>
      </c>
      <c r="F1969" t="s">
        <v>134</v>
      </c>
      <c r="H1969" t="s">
        <v>149</v>
      </c>
      <c r="L1969" s="1">
        <v>42851</v>
      </c>
      <c r="M1969" s="1">
        <v>42898</v>
      </c>
    </row>
    <row r="1970" spans="2:13" x14ac:dyDescent="0.25">
      <c r="B1970" t="s">
        <v>151</v>
      </c>
      <c r="C1970" t="s">
        <v>139</v>
      </c>
      <c r="F1970" t="s">
        <v>134</v>
      </c>
      <c r="H1970" t="s">
        <v>149</v>
      </c>
      <c r="L1970" s="1">
        <v>42851</v>
      </c>
      <c r="M1970" s="1">
        <v>42898</v>
      </c>
    </row>
    <row r="1971" spans="2:13" x14ac:dyDescent="0.25">
      <c r="B1971" t="s">
        <v>150</v>
      </c>
      <c r="C1971" t="s">
        <v>76</v>
      </c>
      <c r="F1971" t="s">
        <v>134</v>
      </c>
      <c r="H1971" t="s">
        <v>149</v>
      </c>
      <c r="L1971" s="1">
        <v>42849</v>
      </c>
    </row>
    <row r="1972" spans="2:13" x14ac:dyDescent="0.25">
      <c r="B1972" t="s">
        <v>622</v>
      </c>
      <c r="C1972" t="s">
        <v>76</v>
      </c>
      <c r="F1972" t="s">
        <v>134</v>
      </c>
      <c r="H1972" t="s">
        <v>149</v>
      </c>
      <c r="L1972" s="1">
        <v>42845</v>
      </c>
    </row>
    <row r="1973" spans="2:13" x14ac:dyDescent="0.25">
      <c r="B1973" t="s">
        <v>621</v>
      </c>
      <c r="C1973" t="s">
        <v>0</v>
      </c>
      <c r="D1973" t="s">
        <v>1</v>
      </c>
      <c r="E1973">
        <v>661003</v>
      </c>
      <c r="F1973" t="s">
        <v>134</v>
      </c>
      <c r="H1973" t="s">
        <v>149</v>
      </c>
      <c r="L1973" s="1">
        <v>42733</v>
      </c>
      <c r="M1973" s="1">
        <v>42779</v>
      </c>
    </row>
    <row r="1974" spans="2:13" x14ac:dyDescent="0.25">
      <c r="B1974" t="s">
        <v>148</v>
      </c>
      <c r="C1974" t="s">
        <v>76</v>
      </c>
      <c r="D1974" t="s">
        <v>48</v>
      </c>
      <c r="E1974">
        <v>660837</v>
      </c>
      <c r="F1974" t="s">
        <v>134</v>
      </c>
      <c r="H1974" t="s">
        <v>149</v>
      </c>
      <c r="L1974" s="1">
        <v>42718</v>
      </c>
      <c r="M1974" s="1">
        <v>42891</v>
      </c>
    </row>
    <row r="1975" spans="2:13" x14ac:dyDescent="0.25">
      <c r="B1975" t="s">
        <v>620</v>
      </c>
      <c r="C1975" t="s">
        <v>0</v>
      </c>
      <c r="D1975" t="s">
        <v>1</v>
      </c>
      <c r="E1975">
        <v>645543</v>
      </c>
      <c r="F1975" t="s">
        <v>41</v>
      </c>
      <c r="H1975" t="s">
        <v>149</v>
      </c>
      <c r="L1975" s="1">
        <v>41919</v>
      </c>
      <c r="M1975" s="1">
        <v>42275</v>
      </c>
    </row>
    <row r="1976" spans="2:13" x14ac:dyDescent="0.25">
      <c r="B1976" t="s">
        <v>618</v>
      </c>
      <c r="C1976" t="s">
        <v>100</v>
      </c>
      <c r="D1976" t="s">
        <v>48</v>
      </c>
      <c r="E1976">
        <v>634801</v>
      </c>
      <c r="F1976" t="s">
        <v>41</v>
      </c>
      <c r="H1976" t="s">
        <v>149</v>
      </c>
      <c r="L1976" s="1">
        <v>41897</v>
      </c>
      <c r="M1976" t="s">
        <v>619</v>
      </c>
    </row>
    <row r="1977" spans="2:13" x14ac:dyDescent="0.25">
      <c r="B1977" t="s">
        <v>617</v>
      </c>
      <c r="C1977" t="s">
        <v>100</v>
      </c>
      <c r="D1977" t="s">
        <v>50</v>
      </c>
      <c r="E1977">
        <v>645390</v>
      </c>
      <c r="F1977" t="s">
        <v>440</v>
      </c>
      <c r="H1977" t="s">
        <v>149</v>
      </c>
      <c r="L1977" s="1">
        <v>41893</v>
      </c>
    </row>
    <row r="1978" spans="2:13" x14ac:dyDescent="0.25">
      <c r="B1978" t="s">
        <v>616</v>
      </c>
      <c r="C1978" t="s">
        <v>0</v>
      </c>
      <c r="D1978" t="s">
        <v>1</v>
      </c>
      <c r="E1978">
        <v>631110</v>
      </c>
      <c r="F1978" t="s">
        <v>41</v>
      </c>
      <c r="H1978" t="s">
        <v>149</v>
      </c>
      <c r="L1978" s="1">
        <v>41849</v>
      </c>
      <c r="M1978" s="1">
        <v>41907</v>
      </c>
    </row>
    <row r="1979" spans="2:13" x14ac:dyDescent="0.25">
      <c r="B1979" t="s">
        <v>615</v>
      </c>
      <c r="C1979" t="s">
        <v>45</v>
      </c>
      <c r="F1979" t="s">
        <v>41</v>
      </c>
      <c r="H1979" t="s">
        <v>540</v>
      </c>
      <c r="L1979" s="1">
        <v>42601</v>
      </c>
    </row>
    <row r="1980" spans="2:13" x14ac:dyDescent="0.25">
      <c r="B1980" t="s">
        <v>614</v>
      </c>
      <c r="C1980" t="s">
        <v>45</v>
      </c>
      <c r="D1980" t="s">
        <v>63</v>
      </c>
      <c r="E1980">
        <v>663208</v>
      </c>
      <c r="F1980" t="s">
        <v>134</v>
      </c>
      <c r="H1980" t="s">
        <v>527</v>
      </c>
      <c r="L1980" s="1">
        <v>42780</v>
      </c>
    </row>
    <row r="1981" spans="2:13" x14ac:dyDescent="0.25">
      <c r="B1981" t="s">
        <v>613</v>
      </c>
      <c r="C1981" t="s">
        <v>45</v>
      </c>
      <c r="D1981" t="s">
        <v>50</v>
      </c>
      <c r="E1981">
        <v>662533</v>
      </c>
      <c r="F1981" t="s">
        <v>163</v>
      </c>
      <c r="H1981" t="s">
        <v>527</v>
      </c>
      <c r="L1981" s="1">
        <v>42723</v>
      </c>
    </row>
    <row r="1982" spans="2:13" x14ac:dyDescent="0.25">
      <c r="B1982" t="s">
        <v>612</v>
      </c>
      <c r="C1982" t="s">
        <v>45</v>
      </c>
      <c r="D1982" t="s">
        <v>1</v>
      </c>
      <c r="E1982">
        <v>652295</v>
      </c>
      <c r="F1982" t="s">
        <v>163</v>
      </c>
      <c r="H1982" t="s">
        <v>611</v>
      </c>
      <c r="L1982" s="1">
        <v>42466</v>
      </c>
    </row>
    <row r="1983" spans="2:13" x14ac:dyDescent="0.25">
      <c r="B1983" t="s">
        <v>610</v>
      </c>
      <c r="C1983" t="s">
        <v>45</v>
      </c>
      <c r="D1983" t="s">
        <v>1</v>
      </c>
      <c r="E1983">
        <v>656617</v>
      </c>
      <c r="F1983" t="s">
        <v>41</v>
      </c>
      <c r="H1983" t="s">
        <v>433</v>
      </c>
      <c r="L1983" s="1">
        <v>42634</v>
      </c>
    </row>
    <row r="1984" spans="2:13" x14ac:dyDescent="0.25">
      <c r="B1984" t="s">
        <v>609</v>
      </c>
      <c r="C1984" t="s">
        <v>45</v>
      </c>
      <c r="F1984" t="s">
        <v>41</v>
      </c>
      <c r="H1984" t="s">
        <v>149</v>
      </c>
      <c r="L1984" s="1">
        <v>42851</v>
      </c>
    </row>
    <row r="1985" spans="2:13" x14ac:dyDescent="0.25">
      <c r="B1985" t="s">
        <v>608</v>
      </c>
      <c r="C1985" t="s">
        <v>45</v>
      </c>
      <c r="F1985" t="s">
        <v>134</v>
      </c>
      <c r="H1985" t="s">
        <v>149</v>
      </c>
      <c r="L1985" s="1">
        <v>42851</v>
      </c>
    </row>
    <row r="1986" spans="2:13" x14ac:dyDescent="0.25">
      <c r="B1986" t="s">
        <v>607</v>
      </c>
      <c r="C1986" t="s">
        <v>45</v>
      </c>
      <c r="F1986" t="s">
        <v>134</v>
      </c>
      <c r="H1986" t="s">
        <v>149</v>
      </c>
      <c r="L1986" s="1">
        <v>42851</v>
      </c>
    </row>
    <row r="1992" spans="2:13" x14ac:dyDescent="0.25">
      <c r="B1992" t="s">
        <v>681</v>
      </c>
      <c r="C1992" t="s">
        <v>0</v>
      </c>
      <c r="D1992" t="s">
        <v>1</v>
      </c>
      <c r="E1992">
        <v>642887</v>
      </c>
      <c r="F1992" t="s">
        <v>682</v>
      </c>
      <c r="H1992" t="s">
        <v>680</v>
      </c>
      <c r="L1992" s="1">
        <v>42034</v>
      </c>
      <c r="M1992" s="1">
        <v>42194</v>
      </c>
    </row>
    <row r="1993" spans="2:13" x14ac:dyDescent="0.25">
      <c r="B1993" t="s">
        <v>679</v>
      </c>
      <c r="C1993" t="s">
        <v>0</v>
      </c>
      <c r="D1993" t="s">
        <v>1</v>
      </c>
      <c r="E1993">
        <v>624415</v>
      </c>
      <c r="F1993" t="s">
        <v>286</v>
      </c>
      <c r="H1993" t="s">
        <v>677</v>
      </c>
      <c r="L1993" s="1">
        <v>41697</v>
      </c>
      <c r="M1993" s="1">
        <v>41753</v>
      </c>
    </row>
    <row r="1994" spans="2:13" x14ac:dyDescent="0.25">
      <c r="B1994" t="s">
        <v>678</v>
      </c>
      <c r="C1994" t="s">
        <v>0</v>
      </c>
      <c r="D1994" t="s">
        <v>1</v>
      </c>
      <c r="E1994">
        <v>623238</v>
      </c>
      <c r="F1994" t="s">
        <v>286</v>
      </c>
      <c r="H1994" t="s">
        <v>677</v>
      </c>
      <c r="L1994" s="1">
        <v>41677</v>
      </c>
      <c r="M1994" s="1">
        <v>41725</v>
      </c>
    </row>
    <row r="1995" spans="2:13" x14ac:dyDescent="0.25">
      <c r="B1995" t="s">
        <v>676</v>
      </c>
      <c r="C1995" t="s">
        <v>0</v>
      </c>
      <c r="D1995" t="s">
        <v>1</v>
      </c>
      <c r="E1995">
        <v>608046</v>
      </c>
      <c r="F1995" t="s">
        <v>661</v>
      </c>
      <c r="H1995" t="s">
        <v>675</v>
      </c>
      <c r="L1995" s="1">
        <v>41201</v>
      </c>
      <c r="M1995" s="1">
        <v>41326</v>
      </c>
    </row>
    <row r="1996" spans="2:13" x14ac:dyDescent="0.25">
      <c r="B1996" t="s">
        <v>674</v>
      </c>
      <c r="C1996" t="s">
        <v>0</v>
      </c>
      <c r="D1996" t="s">
        <v>1</v>
      </c>
      <c r="E1996">
        <v>624639</v>
      </c>
      <c r="F1996" t="s">
        <v>286</v>
      </c>
      <c r="H1996" t="s">
        <v>673</v>
      </c>
      <c r="L1996" s="1">
        <v>41726</v>
      </c>
      <c r="M1996" s="1">
        <v>41758</v>
      </c>
    </row>
    <row r="1997" spans="2:13" x14ac:dyDescent="0.25">
      <c r="B1997" t="s">
        <v>672</v>
      </c>
      <c r="C1997" t="s">
        <v>0</v>
      </c>
      <c r="D1997" t="s">
        <v>1</v>
      </c>
      <c r="E1997">
        <v>629765</v>
      </c>
      <c r="F1997" t="s">
        <v>286</v>
      </c>
      <c r="H1997" t="s">
        <v>671</v>
      </c>
      <c r="L1997" s="1">
        <v>41838</v>
      </c>
      <c r="M1997" s="1">
        <v>41878</v>
      </c>
    </row>
    <row r="1998" spans="2:13" x14ac:dyDescent="0.25">
      <c r="B1998" t="s">
        <v>669</v>
      </c>
      <c r="C1998" t="s">
        <v>0</v>
      </c>
      <c r="D1998" t="s">
        <v>1</v>
      </c>
      <c r="E1998">
        <v>649079</v>
      </c>
      <c r="F1998" t="s">
        <v>599</v>
      </c>
      <c r="H1998" t="s">
        <v>670</v>
      </c>
      <c r="L1998" s="1">
        <v>42341</v>
      </c>
      <c r="M1998" s="1">
        <v>42395</v>
      </c>
    </row>
    <row r="1999" spans="2:13" x14ac:dyDescent="0.25">
      <c r="B1999" t="s">
        <v>439</v>
      </c>
      <c r="C1999" t="s">
        <v>76</v>
      </c>
      <c r="F1999" t="s">
        <v>440</v>
      </c>
      <c r="H1999" t="s">
        <v>441</v>
      </c>
      <c r="L1999" s="1">
        <v>42104</v>
      </c>
      <c r="M1999" s="1">
        <v>42124</v>
      </c>
    </row>
    <row r="2000" spans="2:13" x14ac:dyDescent="0.25">
      <c r="B2000" t="s">
        <v>668</v>
      </c>
      <c r="C2000" t="s">
        <v>0</v>
      </c>
      <c r="D2000" t="s">
        <v>1</v>
      </c>
      <c r="E2000">
        <v>629768</v>
      </c>
      <c r="F2000" t="s">
        <v>286</v>
      </c>
      <c r="H2000" t="s">
        <v>667</v>
      </c>
      <c r="L2000" s="1">
        <v>41844</v>
      </c>
      <c r="M2000" s="1">
        <v>41878</v>
      </c>
    </row>
    <row r="2001" spans="2:13" x14ac:dyDescent="0.25">
      <c r="B2001" t="s">
        <v>374</v>
      </c>
      <c r="C2001" t="s">
        <v>139</v>
      </c>
      <c r="F2001" t="s">
        <v>159</v>
      </c>
      <c r="H2001" t="s">
        <v>373</v>
      </c>
      <c r="L2001" s="1">
        <v>42800</v>
      </c>
      <c r="M2001" s="1">
        <v>42892</v>
      </c>
    </row>
    <row r="2002" spans="2:13" x14ac:dyDescent="0.25">
      <c r="B2002" t="s">
        <v>666</v>
      </c>
      <c r="C2002" t="s">
        <v>100</v>
      </c>
      <c r="D2002" t="s">
        <v>50</v>
      </c>
      <c r="E2002">
        <v>659925</v>
      </c>
      <c r="F2002" t="s">
        <v>145</v>
      </c>
      <c r="H2002" t="s">
        <v>352</v>
      </c>
      <c r="L2002" s="1">
        <v>42690</v>
      </c>
    </row>
    <row r="2003" spans="2:13" x14ac:dyDescent="0.25">
      <c r="B2003" t="s">
        <v>312</v>
      </c>
      <c r="C2003" t="s">
        <v>76</v>
      </c>
      <c r="F2003" t="s">
        <v>232</v>
      </c>
      <c r="H2003" t="s">
        <v>311</v>
      </c>
      <c r="L2003" s="1">
        <v>42857</v>
      </c>
    </row>
    <row r="2004" spans="2:13" x14ac:dyDescent="0.25">
      <c r="B2004" t="s">
        <v>300</v>
      </c>
      <c r="C2004" t="s">
        <v>139</v>
      </c>
      <c r="F2004" t="s">
        <v>232</v>
      </c>
      <c r="H2004" t="s">
        <v>299</v>
      </c>
      <c r="L2004" s="1">
        <v>42880</v>
      </c>
    </row>
    <row r="2005" spans="2:13" x14ac:dyDescent="0.25">
      <c r="B2005" t="s">
        <v>288</v>
      </c>
      <c r="C2005" t="s">
        <v>162</v>
      </c>
      <c r="F2005" t="s">
        <v>159</v>
      </c>
      <c r="H2005" t="s">
        <v>287</v>
      </c>
      <c r="L2005" s="1">
        <v>42891</v>
      </c>
      <c r="M2005" s="1">
        <v>42913</v>
      </c>
    </row>
    <row r="2006" spans="2:13" x14ac:dyDescent="0.25">
      <c r="B2006" t="s">
        <v>664</v>
      </c>
      <c r="C2006" t="s">
        <v>0</v>
      </c>
      <c r="D2006" t="s">
        <v>1</v>
      </c>
      <c r="E2006">
        <v>616595</v>
      </c>
      <c r="F2006" t="s">
        <v>665</v>
      </c>
      <c r="H2006" t="s">
        <v>663</v>
      </c>
      <c r="L2006" s="1">
        <v>41346</v>
      </c>
      <c r="M2006" s="1">
        <v>41550</v>
      </c>
    </row>
    <row r="2007" spans="2:13" x14ac:dyDescent="0.25">
      <c r="B2007" t="s">
        <v>223</v>
      </c>
      <c r="C2007" t="s">
        <v>76</v>
      </c>
      <c r="F2007" t="s">
        <v>159</v>
      </c>
      <c r="H2007" t="s">
        <v>222</v>
      </c>
      <c r="L2007" s="1">
        <v>42775</v>
      </c>
      <c r="M2007" s="1">
        <v>42857</v>
      </c>
    </row>
    <row r="2008" spans="2:13" x14ac:dyDescent="0.25">
      <c r="B2008" t="s">
        <v>662</v>
      </c>
      <c r="C2008" t="s">
        <v>0</v>
      </c>
      <c r="D2008" t="s">
        <v>1</v>
      </c>
      <c r="E2008">
        <v>629643</v>
      </c>
      <c r="F2008" t="s">
        <v>286</v>
      </c>
      <c r="H2008" t="s">
        <v>660</v>
      </c>
      <c r="L2008" s="1">
        <v>41835</v>
      </c>
      <c r="M2008" s="1">
        <v>41876</v>
      </c>
    </row>
    <row r="2009" spans="2:13" x14ac:dyDescent="0.25">
      <c r="B2009" t="s">
        <v>196</v>
      </c>
      <c r="C2009" t="s">
        <v>139</v>
      </c>
      <c r="F2009" t="s">
        <v>159</v>
      </c>
      <c r="H2009" t="s">
        <v>195</v>
      </c>
      <c r="L2009" s="1">
        <v>42822</v>
      </c>
      <c r="M2009" s="1">
        <v>42871</v>
      </c>
    </row>
    <row r="2010" spans="2:13" x14ac:dyDescent="0.25">
      <c r="B2010" t="s">
        <v>170</v>
      </c>
      <c r="C2010" t="s">
        <v>139</v>
      </c>
      <c r="F2010" t="s">
        <v>159</v>
      </c>
      <c r="H2010" t="s">
        <v>171</v>
      </c>
      <c r="L2010" s="1">
        <v>42775</v>
      </c>
      <c r="M2010" s="1">
        <v>42892</v>
      </c>
    </row>
    <row r="2011" spans="2:13" x14ac:dyDescent="0.25">
      <c r="L2011" s="1"/>
      <c r="M2011" s="1"/>
    </row>
    <row r="2012" spans="2:13" x14ac:dyDescent="0.25">
      <c r="L2012" s="1"/>
      <c r="M2012" s="1"/>
    </row>
    <row r="2013" spans="2:13" x14ac:dyDescent="0.25">
      <c r="L2013" s="1"/>
      <c r="M2013" s="1"/>
    </row>
    <row r="2014" spans="2:13" x14ac:dyDescent="0.25">
      <c r="L2014" s="1"/>
      <c r="M2014" s="1"/>
    </row>
    <row r="2015" spans="2:13" x14ac:dyDescent="0.25">
      <c r="B2015" t="s">
        <v>715</v>
      </c>
      <c r="C2015" t="s">
        <v>0</v>
      </c>
      <c r="D2015" t="s">
        <v>1</v>
      </c>
      <c r="E2015">
        <v>610239</v>
      </c>
      <c r="F2015" t="s">
        <v>665</v>
      </c>
      <c r="H2015" t="s">
        <v>551</v>
      </c>
      <c r="L2015" s="1">
        <v>41326</v>
      </c>
      <c r="M2015" s="1">
        <v>41375</v>
      </c>
    </row>
    <row r="2016" spans="2:13" x14ac:dyDescent="0.25">
      <c r="B2016" t="s">
        <v>714</v>
      </c>
      <c r="C2016" t="s">
        <v>0</v>
      </c>
      <c r="D2016" t="s">
        <v>1</v>
      </c>
      <c r="E2016">
        <v>629647</v>
      </c>
      <c r="F2016" t="s">
        <v>286</v>
      </c>
      <c r="H2016" t="s">
        <v>683</v>
      </c>
      <c r="L2016" s="1">
        <v>41844</v>
      </c>
      <c r="M2016" s="1">
        <v>41876</v>
      </c>
    </row>
    <row r="2017" spans="2:13" x14ac:dyDescent="0.25">
      <c r="B2017" t="s">
        <v>713</v>
      </c>
      <c r="C2017" t="s">
        <v>0</v>
      </c>
      <c r="D2017" t="s">
        <v>1</v>
      </c>
      <c r="E2017">
        <v>663882</v>
      </c>
      <c r="F2017" t="s">
        <v>192</v>
      </c>
      <c r="H2017" t="s">
        <v>493</v>
      </c>
      <c r="L2017" s="1">
        <v>42754</v>
      </c>
      <c r="M2017" s="1">
        <v>42877</v>
      </c>
    </row>
    <row r="2018" spans="2:13" x14ac:dyDescent="0.25">
      <c r="B2018" t="s">
        <v>712</v>
      </c>
      <c r="C2018" t="s">
        <v>0</v>
      </c>
      <c r="D2018" t="s">
        <v>1</v>
      </c>
      <c r="E2018">
        <v>628350</v>
      </c>
      <c r="F2018" t="s">
        <v>286</v>
      </c>
      <c r="H2018" t="s">
        <v>696</v>
      </c>
      <c r="L2018" s="1">
        <v>41761</v>
      </c>
      <c r="M2018" s="1">
        <v>41848</v>
      </c>
    </row>
    <row r="2019" spans="2:13" x14ac:dyDescent="0.25">
      <c r="B2019" t="s">
        <v>711</v>
      </c>
      <c r="C2019" t="s">
        <v>0</v>
      </c>
      <c r="D2019" t="s">
        <v>1</v>
      </c>
      <c r="E2019">
        <v>628359</v>
      </c>
      <c r="F2019" t="s">
        <v>286</v>
      </c>
      <c r="H2019" t="s">
        <v>695</v>
      </c>
      <c r="L2019" s="1">
        <v>41772</v>
      </c>
      <c r="M2019" s="1">
        <v>41848</v>
      </c>
    </row>
    <row r="2020" spans="2:13" x14ac:dyDescent="0.25">
      <c r="B2020" t="s">
        <v>459</v>
      </c>
      <c r="C2020" t="s">
        <v>139</v>
      </c>
      <c r="F2020" t="s">
        <v>159</v>
      </c>
      <c r="H2020" t="s">
        <v>458</v>
      </c>
      <c r="L2020" s="1">
        <v>42852</v>
      </c>
      <c r="M2020" s="1">
        <v>42892</v>
      </c>
    </row>
    <row r="2021" spans="2:13" x14ac:dyDescent="0.25">
      <c r="B2021" t="s">
        <v>710</v>
      </c>
      <c r="C2021" t="s">
        <v>0</v>
      </c>
      <c r="D2021" t="s">
        <v>1</v>
      </c>
      <c r="E2021">
        <v>663430</v>
      </c>
      <c r="F2021" t="s">
        <v>159</v>
      </c>
      <c r="H2021" t="s">
        <v>458</v>
      </c>
      <c r="L2021" s="1">
        <v>42775</v>
      </c>
      <c r="M2021" s="1">
        <v>42859</v>
      </c>
    </row>
    <row r="2022" spans="2:13" x14ac:dyDescent="0.25">
      <c r="B2022" t="s">
        <v>709</v>
      </c>
      <c r="C2022" t="s">
        <v>0</v>
      </c>
      <c r="D2022" t="s">
        <v>1</v>
      </c>
      <c r="E2022">
        <v>632717</v>
      </c>
      <c r="F2022" t="s">
        <v>286</v>
      </c>
      <c r="H2022" t="s">
        <v>458</v>
      </c>
      <c r="L2022" s="1">
        <v>41844</v>
      </c>
      <c r="M2022" s="1">
        <v>41949</v>
      </c>
    </row>
    <row r="2023" spans="2:13" x14ac:dyDescent="0.25">
      <c r="B2023" t="s">
        <v>708</v>
      </c>
      <c r="C2023" t="s">
        <v>0</v>
      </c>
      <c r="D2023" t="s">
        <v>1</v>
      </c>
      <c r="E2023">
        <v>632698</v>
      </c>
      <c r="F2023" t="s">
        <v>286</v>
      </c>
      <c r="H2023" t="s">
        <v>694</v>
      </c>
      <c r="L2023" s="1">
        <v>41779</v>
      </c>
      <c r="M2023" s="1">
        <v>41949</v>
      </c>
    </row>
    <row r="2024" spans="2:13" x14ac:dyDescent="0.25">
      <c r="B2024" t="s">
        <v>707</v>
      </c>
      <c r="C2024" t="s">
        <v>0</v>
      </c>
      <c r="D2024" t="s">
        <v>1</v>
      </c>
      <c r="E2024">
        <v>619269</v>
      </c>
      <c r="F2024" t="s">
        <v>286</v>
      </c>
      <c r="H2024" t="s">
        <v>693</v>
      </c>
      <c r="L2024" s="1">
        <v>41584</v>
      </c>
      <c r="M2024" s="1">
        <v>41624</v>
      </c>
    </row>
    <row r="2025" spans="2:13" x14ac:dyDescent="0.25">
      <c r="B2025" t="s">
        <v>706</v>
      </c>
      <c r="C2025" t="s">
        <v>0</v>
      </c>
      <c r="D2025" t="s">
        <v>1</v>
      </c>
      <c r="E2025">
        <v>616568</v>
      </c>
      <c r="F2025" t="s">
        <v>286</v>
      </c>
      <c r="H2025" t="s">
        <v>692</v>
      </c>
      <c r="L2025" s="1">
        <v>41520</v>
      </c>
      <c r="M2025" s="1">
        <v>41549</v>
      </c>
    </row>
    <row r="2026" spans="2:13" x14ac:dyDescent="0.25">
      <c r="B2026" t="s">
        <v>705</v>
      </c>
      <c r="C2026" t="s">
        <v>0</v>
      </c>
      <c r="D2026" t="s">
        <v>1</v>
      </c>
      <c r="E2026">
        <v>626589</v>
      </c>
      <c r="F2026" t="s">
        <v>286</v>
      </c>
      <c r="H2026" t="s">
        <v>691</v>
      </c>
      <c r="L2026" s="1">
        <v>41752</v>
      </c>
      <c r="M2026" s="1">
        <v>41801</v>
      </c>
    </row>
    <row r="2027" spans="2:13" x14ac:dyDescent="0.25">
      <c r="B2027" t="s">
        <v>704</v>
      </c>
      <c r="C2027" t="s">
        <v>0</v>
      </c>
      <c r="D2027" t="s">
        <v>1</v>
      </c>
      <c r="E2027">
        <v>636033</v>
      </c>
      <c r="F2027" t="s">
        <v>286</v>
      </c>
      <c r="H2027" t="s">
        <v>690</v>
      </c>
      <c r="L2027" s="1">
        <v>41977</v>
      </c>
      <c r="M2027" s="1">
        <v>42038</v>
      </c>
    </row>
    <row r="2028" spans="2:13" x14ac:dyDescent="0.25">
      <c r="B2028" t="s">
        <v>331</v>
      </c>
      <c r="C2028" t="s">
        <v>0</v>
      </c>
      <c r="D2028" t="s">
        <v>1</v>
      </c>
      <c r="E2028">
        <v>664268</v>
      </c>
      <c r="F2028" t="s">
        <v>159</v>
      </c>
      <c r="H2028" t="s">
        <v>329</v>
      </c>
      <c r="L2028" s="1">
        <v>42849</v>
      </c>
      <c r="M2028" s="1">
        <v>42887</v>
      </c>
    </row>
    <row r="2029" spans="2:13" x14ac:dyDescent="0.25">
      <c r="B2029" t="s">
        <v>330</v>
      </c>
      <c r="C2029" t="s">
        <v>76</v>
      </c>
      <c r="F2029" t="s">
        <v>159</v>
      </c>
      <c r="H2029" t="s">
        <v>329</v>
      </c>
      <c r="L2029" s="1">
        <v>42775</v>
      </c>
      <c r="M2029" s="1">
        <v>42843</v>
      </c>
    </row>
    <row r="2030" spans="2:13" x14ac:dyDescent="0.25">
      <c r="B2030" t="s">
        <v>703</v>
      </c>
      <c r="C2030" t="s">
        <v>0</v>
      </c>
      <c r="D2030" t="s">
        <v>1</v>
      </c>
      <c r="E2030">
        <v>637163</v>
      </c>
      <c r="F2030" t="s">
        <v>286</v>
      </c>
      <c r="H2030" t="s">
        <v>329</v>
      </c>
      <c r="L2030" s="1">
        <v>41995</v>
      </c>
      <c r="M2030" s="1">
        <v>42065</v>
      </c>
    </row>
    <row r="2031" spans="2:13" x14ac:dyDescent="0.25">
      <c r="B2031" t="s">
        <v>702</v>
      </c>
      <c r="C2031" t="s">
        <v>0</v>
      </c>
      <c r="D2031" t="s">
        <v>1</v>
      </c>
      <c r="E2031">
        <v>616973</v>
      </c>
      <c r="F2031" t="s">
        <v>286</v>
      </c>
      <c r="H2031" t="s">
        <v>689</v>
      </c>
      <c r="L2031" s="1">
        <v>41521</v>
      </c>
      <c r="M2031" s="1">
        <v>41561</v>
      </c>
    </row>
    <row r="2032" spans="2:13" x14ac:dyDescent="0.25">
      <c r="B2032" t="s">
        <v>701</v>
      </c>
      <c r="C2032" t="s">
        <v>0</v>
      </c>
      <c r="D2032" t="s">
        <v>1</v>
      </c>
      <c r="E2032">
        <v>610914</v>
      </c>
      <c r="F2032" t="s">
        <v>286</v>
      </c>
      <c r="H2032" t="s">
        <v>688</v>
      </c>
      <c r="L2032" s="1">
        <v>41340</v>
      </c>
      <c r="M2032" s="1">
        <v>41393</v>
      </c>
    </row>
    <row r="2033" spans="2:15" x14ac:dyDescent="0.25">
      <c r="B2033" t="s">
        <v>700</v>
      </c>
      <c r="C2033" t="s">
        <v>0</v>
      </c>
      <c r="D2033" t="s">
        <v>1</v>
      </c>
      <c r="E2033">
        <v>608557</v>
      </c>
      <c r="F2033" t="s">
        <v>286</v>
      </c>
      <c r="H2033" t="s">
        <v>687</v>
      </c>
      <c r="L2033" s="1">
        <v>41249</v>
      </c>
      <c r="M2033" s="1">
        <v>41339</v>
      </c>
    </row>
    <row r="2034" spans="2:15" x14ac:dyDescent="0.25">
      <c r="B2034" t="s">
        <v>699</v>
      </c>
      <c r="C2034" t="s">
        <v>0</v>
      </c>
      <c r="D2034" t="s">
        <v>1</v>
      </c>
      <c r="E2034">
        <v>627509</v>
      </c>
      <c r="F2034" t="s">
        <v>286</v>
      </c>
      <c r="H2034" t="s">
        <v>686</v>
      </c>
      <c r="L2034" s="1">
        <v>41789</v>
      </c>
      <c r="M2034" s="1">
        <v>41827</v>
      </c>
    </row>
    <row r="2035" spans="2:15" x14ac:dyDescent="0.25">
      <c r="B2035" t="s">
        <v>698</v>
      </c>
      <c r="C2035" t="s">
        <v>0</v>
      </c>
      <c r="D2035" t="s">
        <v>1</v>
      </c>
      <c r="E2035">
        <v>620739</v>
      </c>
      <c r="F2035" t="s">
        <v>286</v>
      </c>
      <c r="H2035" t="s">
        <v>685</v>
      </c>
      <c r="L2035" s="1">
        <v>41613</v>
      </c>
      <c r="M2035" s="1">
        <v>41662</v>
      </c>
    </row>
    <row r="2036" spans="2:15" x14ac:dyDescent="0.25">
      <c r="B2036" t="s">
        <v>697</v>
      </c>
      <c r="C2036" t="s">
        <v>0</v>
      </c>
      <c r="D2036" t="s">
        <v>1</v>
      </c>
      <c r="E2036">
        <v>628800</v>
      </c>
      <c r="F2036" t="s">
        <v>286</v>
      </c>
      <c r="H2036" t="s">
        <v>684</v>
      </c>
      <c r="L2036" s="1">
        <v>41789</v>
      </c>
      <c r="M2036" s="1">
        <v>41856</v>
      </c>
      <c r="O2036" t="e">
        <f>VLOOKUP(H2036,'Paloma Priority'!$F$3:$G$540,2,FALSE)</f>
        <v>#N/A</v>
      </c>
    </row>
    <row r="2042" spans="2:15" x14ac:dyDescent="0.25">
      <c r="B2042" t="s">
        <v>740</v>
      </c>
      <c r="C2042" t="s">
        <v>0</v>
      </c>
      <c r="D2042" t="s">
        <v>1</v>
      </c>
      <c r="E2042">
        <v>656589</v>
      </c>
      <c r="F2042" t="s">
        <v>741</v>
      </c>
      <c r="H2042" t="s">
        <v>742</v>
      </c>
      <c r="L2042" s="1">
        <v>42598</v>
      </c>
      <c r="M2042" s="1">
        <v>42646</v>
      </c>
      <c r="O2042" t="e">
        <f>VLOOKUP(H2042,'Paloma Priority'!$F$3:$G$540,2,FALSE)</f>
        <v>#N/A</v>
      </c>
    </row>
    <row r="2043" spans="2:15" x14ac:dyDescent="0.25">
      <c r="B2043" t="s">
        <v>426</v>
      </c>
      <c r="C2043" t="s">
        <v>140</v>
      </c>
      <c r="F2043" t="s">
        <v>159</v>
      </c>
      <c r="H2043" t="s">
        <v>425</v>
      </c>
      <c r="L2043" s="1">
        <v>42866</v>
      </c>
      <c r="M2043" s="1">
        <v>42906</v>
      </c>
      <c r="O2043" t="e">
        <f>VLOOKUP(H2043,'Paloma Priority'!$F$3:$G$540,2,FALSE)</f>
        <v>#N/A</v>
      </c>
    </row>
    <row r="2044" spans="2:15" x14ac:dyDescent="0.25">
      <c r="B2044" t="s">
        <v>738</v>
      </c>
      <c r="C2044" t="s">
        <v>0</v>
      </c>
      <c r="D2044" t="s">
        <v>1</v>
      </c>
      <c r="E2044">
        <v>634631</v>
      </c>
      <c r="F2044" t="s">
        <v>286</v>
      </c>
      <c r="H2044" t="s">
        <v>739</v>
      </c>
      <c r="L2044" s="1">
        <v>41894</v>
      </c>
      <c r="M2044" s="1">
        <v>42003</v>
      </c>
      <c r="O2044" t="e">
        <f>VLOOKUP(H2044,'Paloma Priority'!$F$3:$G$540,2,FALSE)</f>
        <v>#N/A</v>
      </c>
    </row>
    <row r="2045" spans="2:15" x14ac:dyDescent="0.25">
      <c r="B2045" t="s">
        <v>736</v>
      </c>
      <c r="C2045" t="s">
        <v>0</v>
      </c>
      <c r="D2045" t="s">
        <v>1</v>
      </c>
      <c r="E2045">
        <v>630737</v>
      </c>
      <c r="F2045" t="s">
        <v>286</v>
      </c>
      <c r="H2045" t="s">
        <v>737</v>
      </c>
      <c r="L2045" s="1">
        <v>41835</v>
      </c>
      <c r="M2045" s="1">
        <v>41899</v>
      </c>
      <c r="O2045" t="e">
        <f>VLOOKUP(H2045,'Paloma Priority'!$F$3:$G$540,2,FALSE)</f>
        <v>#N/A</v>
      </c>
    </row>
    <row r="2046" spans="2:15" x14ac:dyDescent="0.25">
      <c r="B2046" t="s">
        <v>734</v>
      </c>
      <c r="C2046" t="s">
        <v>100</v>
      </c>
      <c r="D2046" t="s">
        <v>50</v>
      </c>
      <c r="E2046">
        <v>650018</v>
      </c>
      <c r="F2046" t="s">
        <v>286</v>
      </c>
      <c r="H2046" t="s">
        <v>735</v>
      </c>
      <c r="L2046" s="1">
        <v>42061</v>
      </c>
      <c r="O2046" t="e">
        <f>VLOOKUP(H2046,'Paloma Priority'!$F$3:$G$540,2,FALSE)</f>
        <v>#N/A</v>
      </c>
    </row>
    <row r="2047" spans="2:15" x14ac:dyDescent="0.25">
      <c r="B2047" t="s">
        <v>732</v>
      </c>
      <c r="C2047" t="s">
        <v>0</v>
      </c>
      <c r="D2047" t="s">
        <v>1</v>
      </c>
      <c r="E2047">
        <v>623237</v>
      </c>
      <c r="F2047" t="s">
        <v>286</v>
      </c>
      <c r="H2047" t="s">
        <v>733</v>
      </c>
      <c r="L2047" s="1">
        <v>41677</v>
      </c>
      <c r="M2047" s="1">
        <v>41725</v>
      </c>
      <c r="O2047" t="e">
        <f>VLOOKUP(H2047,'Paloma Priority'!$F$3:$G$540,2,FALSE)</f>
        <v>#N/A</v>
      </c>
    </row>
    <row r="2048" spans="2:15" x14ac:dyDescent="0.25">
      <c r="B2048" t="s">
        <v>730</v>
      </c>
      <c r="C2048" t="s">
        <v>0</v>
      </c>
      <c r="D2048" t="s">
        <v>1</v>
      </c>
      <c r="E2048">
        <v>633505</v>
      </c>
      <c r="F2048" t="s">
        <v>286</v>
      </c>
      <c r="H2048" t="s">
        <v>731</v>
      </c>
      <c r="L2048" s="1">
        <v>41886</v>
      </c>
      <c r="M2048" s="1">
        <v>41968</v>
      </c>
      <c r="O2048" t="e">
        <f>VLOOKUP(H2048,'Paloma Priority'!$F$3:$G$540,2,FALSE)</f>
        <v>#N/A</v>
      </c>
    </row>
    <row r="2049" spans="2:15" x14ac:dyDescent="0.25">
      <c r="B2049" t="s">
        <v>729</v>
      </c>
      <c r="C2049" t="s">
        <v>0</v>
      </c>
      <c r="D2049" t="s">
        <v>1</v>
      </c>
      <c r="E2049">
        <v>632429</v>
      </c>
      <c r="F2049" t="s">
        <v>286</v>
      </c>
      <c r="H2049" t="s">
        <v>728</v>
      </c>
      <c r="L2049" s="1">
        <v>41894</v>
      </c>
      <c r="M2049" s="1">
        <v>41942</v>
      </c>
      <c r="O2049" t="e">
        <f>VLOOKUP(H2049,'Paloma Priority'!$F$3:$G$540,2,FALSE)</f>
        <v>#N/A</v>
      </c>
    </row>
    <row r="2050" spans="2:15" x14ac:dyDescent="0.25">
      <c r="B2050" t="s">
        <v>727</v>
      </c>
      <c r="C2050" t="s">
        <v>0</v>
      </c>
      <c r="D2050" t="s">
        <v>1</v>
      </c>
      <c r="E2050">
        <v>612953</v>
      </c>
      <c r="F2050" t="s">
        <v>286</v>
      </c>
      <c r="H2050" t="s">
        <v>728</v>
      </c>
      <c r="L2050" s="1">
        <v>41407</v>
      </c>
      <c r="M2050" s="1">
        <v>41444</v>
      </c>
      <c r="O2050" t="e">
        <f>VLOOKUP(H2050,'Paloma Priority'!$F$3:$G$540,2,FALSE)</f>
        <v>#N/A</v>
      </c>
    </row>
    <row r="2051" spans="2:15" x14ac:dyDescent="0.25">
      <c r="B2051" t="s">
        <v>725</v>
      </c>
      <c r="C2051" t="s">
        <v>0</v>
      </c>
      <c r="D2051" t="s">
        <v>1</v>
      </c>
      <c r="E2051">
        <v>636918</v>
      </c>
      <c r="F2051" t="s">
        <v>286</v>
      </c>
      <c r="H2051" t="s">
        <v>726</v>
      </c>
      <c r="L2051" s="1">
        <v>42010</v>
      </c>
      <c r="M2051" s="1">
        <v>42059</v>
      </c>
      <c r="O2051" t="e">
        <f>VLOOKUP(H2051,'Paloma Priority'!$F$3:$G$540,2,FALSE)</f>
        <v>#N/A</v>
      </c>
    </row>
    <row r="2052" spans="2:15" x14ac:dyDescent="0.25">
      <c r="B2052" t="s">
        <v>723</v>
      </c>
      <c r="C2052" t="s">
        <v>0</v>
      </c>
      <c r="D2052" t="s">
        <v>1</v>
      </c>
      <c r="E2052">
        <v>632145</v>
      </c>
      <c r="F2052" t="s">
        <v>286</v>
      </c>
      <c r="H2052" t="s">
        <v>724</v>
      </c>
      <c r="L2052" s="1">
        <v>41887</v>
      </c>
      <c r="M2052" s="1">
        <v>41935</v>
      </c>
      <c r="O2052" t="e">
        <f>VLOOKUP(H2052,'Paloma Priority'!$F$3:$G$540,2,FALSE)</f>
        <v>#N/A</v>
      </c>
    </row>
    <row r="2053" spans="2:15" x14ac:dyDescent="0.25">
      <c r="B2053" t="s">
        <v>722</v>
      </c>
      <c r="C2053" t="s">
        <v>0</v>
      </c>
      <c r="D2053" t="s">
        <v>1</v>
      </c>
      <c r="E2053">
        <v>663403</v>
      </c>
      <c r="F2053" t="s">
        <v>159</v>
      </c>
      <c r="H2053" t="s">
        <v>281</v>
      </c>
      <c r="L2053" s="1">
        <v>42775</v>
      </c>
      <c r="M2053" s="1">
        <v>42858</v>
      </c>
      <c r="O2053" t="e">
        <f>VLOOKUP(H2053,'Paloma Priority'!$F$3:$G$540,2,FALSE)</f>
        <v>#N/A</v>
      </c>
    </row>
    <row r="2054" spans="2:15" x14ac:dyDescent="0.25">
      <c r="B2054" t="s">
        <v>721</v>
      </c>
      <c r="C2054" t="s">
        <v>0</v>
      </c>
      <c r="D2054" t="s">
        <v>1</v>
      </c>
      <c r="E2054">
        <v>633486</v>
      </c>
      <c r="F2054" t="s">
        <v>286</v>
      </c>
      <c r="H2054" t="s">
        <v>281</v>
      </c>
      <c r="L2054" s="1">
        <v>41835</v>
      </c>
      <c r="M2054" s="1">
        <v>41968</v>
      </c>
      <c r="O2054" t="e">
        <f>VLOOKUP(H2054,'Paloma Priority'!$F$3:$G$540,2,FALSE)</f>
        <v>#N/A</v>
      </c>
    </row>
    <row r="2055" spans="2:15" x14ac:dyDescent="0.25">
      <c r="B2055" t="s">
        <v>719</v>
      </c>
      <c r="C2055" t="s">
        <v>0</v>
      </c>
      <c r="D2055" t="s">
        <v>1</v>
      </c>
      <c r="E2055">
        <v>631101</v>
      </c>
      <c r="F2055" t="s">
        <v>286</v>
      </c>
      <c r="H2055" t="s">
        <v>720</v>
      </c>
      <c r="L2055" s="1">
        <v>41835</v>
      </c>
      <c r="M2055" s="1">
        <v>41907</v>
      </c>
      <c r="O2055" t="e">
        <f>VLOOKUP(H2055,'Paloma Priority'!$F$3:$G$540,2,FALSE)</f>
        <v>#N/A</v>
      </c>
    </row>
    <row r="2056" spans="2:15" x14ac:dyDescent="0.25">
      <c r="B2056" t="s">
        <v>717</v>
      </c>
      <c r="C2056" t="s">
        <v>0</v>
      </c>
      <c r="D2056" t="s">
        <v>1</v>
      </c>
      <c r="E2056">
        <v>640021</v>
      </c>
      <c r="F2056" t="s">
        <v>286</v>
      </c>
      <c r="H2056" t="s">
        <v>718</v>
      </c>
      <c r="L2056" s="1">
        <v>41985</v>
      </c>
      <c r="M2056" s="1">
        <v>42122</v>
      </c>
      <c r="O2056" t="e">
        <f>VLOOKUP(H2056,'Paloma Priority'!$F$3:$G$540,2,FALSE)</f>
        <v>#N/A</v>
      </c>
    </row>
    <row r="2057" spans="2:15" x14ac:dyDescent="0.25">
      <c r="B2057" t="s">
        <v>161</v>
      </c>
      <c r="C2057" t="s">
        <v>162</v>
      </c>
      <c r="F2057" t="s">
        <v>159</v>
      </c>
      <c r="H2057" t="s">
        <v>160</v>
      </c>
      <c r="L2057" s="1">
        <v>42891</v>
      </c>
      <c r="M2057" s="1">
        <v>42913</v>
      </c>
      <c r="O2057" t="e">
        <f>VLOOKUP(H2057,'Paloma Priority'!$F$3:$G$540,2,FALSE)</f>
        <v>#N/A</v>
      </c>
    </row>
    <row r="2058" spans="2:15" x14ac:dyDescent="0.25">
      <c r="B2058" t="s">
        <v>716</v>
      </c>
      <c r="C2058" t="s">
        <v>0</v>
      </c>
      <c r="D2058" t="s">
        <v>1</v>
      </c>
      <c r="E2058">
        <v>636907</v>
      </c>
      <c r="F2058" t="s">
        <v>286</v>
      </c>
      <c r="H2058" t="s">
        <v>160</v>
      </c>
      <c r="L2058" s="1">
        <v>41977</v>
      </c>
      <c r="M2058" s="1">
        <v>42059</v>
      </c>
      <c r="O2058" t="e">
        <f>VLOOKUP(H2058,'Paloma Priority'!$F$3:$G$540,2,FALSE)</f>
        <v>#N/A</v>
      </c>
    </row>
    <row r="2059" spans="2:15" x14ac:dyDescent="0.25">
      <c r="O2059" t="e">
        <f>VLOOKUP(H2059,'Paloma Priority'!$F$3:$G$540,2,FALSE)</f>
        <v>#N/A</v>
      </c>
    </row>
    <row r="2060" spans="2:15" x14ac:dyDescent="0.25">
      <c r="O2060" t="e">
        <f>VLOOKUP(H2060,'Paloma Priority'!$F$3:$G$540,2,FALSE)</f>
        <v>#N/A</v>
      </c>
    </row>
    <row r="2061" spans="2:15" x14ac:dyDescent="0.25">
      <c r="O2061" t="e">
        <f>VLOOKUP(H2061,'Paloma Priority'!$F$3:$G$540,2,FALSE)</f>
        <v>#N/A</v>
      </c>
    </row>
    <row r="2062" spans="2:15" x14ac:dyDescent="0.25">
      <c r="O2062" t="e">
        <f>VLOOKUP(H2062,'Paloma Priority'!$F$3:$G$540,2,FALSE)</f>
        <v>#N/A</v>
      </c>
    </row>
    <row r="2063" spans="2:15" x14ac:dyDescent="0.25">
      <c r="O2063" t="e">
        <f>VLOOKUP(H2063,'Paloma Priority'!$F$3:$G$540,2,FALSE)</f>
        <v>#N/A</v>
      </c>
    </row>
    <row r="2064" spans="2:15" x14ac:dyDescent="0.25">
      <c r="L2064" s="1"/>
      <c r="M2064" s="1"/>
      <c r="O2064" t="e">
        <f>VLOOKUP(H2064,'Paloma Priority'!$F$3:$G$540,2,FALSE)</f>
        <v>#N/A</v>
      </c>
    </row>
    <row r="2065" spans="12:15" x14ac:dyDescent="0.25">
      <c r="L2065" s="1"/>
      <c r="M2065" s="1"/>
      <c r="O2065" t="e">
        <f>VLOOKUP(H2065,'Paloma Priority'!$F$3:$G$540,2,FALSE)</f>
        <v>#N/A</v>
      </c>
    </row>
    <row r="2066" spans="12:15" x14ac:dyDescent="0.25">
      <c r="L2066" s="1"/>
      <c r="M2066" s="1"/>
      <c r="O2066" t="e">
        <f>VLOOKUP(H2066,'Paloma Priority'!$F$3:$G$540,2,FALSE)</f>
        <v>#N/A</v>
      </c>
    </row>
    <row r="2067" spans="12:15" x14ac:dyDescent="0.25">
      <c r="L2067" s="1"/>
      <c r="M2067" s="1"/>
      <c r="O2067" t="e">
        <f>VLOOKUP(H2067,'Paloma Priority'!$F$3:$G$540,2,FALSE)</f>
        <v>#N/A</v>
      </c>
    </row>
    <row r="2068" spans="12:15" x14ac:dyDescent="0.25">
      <c r="L2068" s="1"/>
      <c r="M2068" s="1"/>
      <c r="O2068" t="e">
        <f>VLOOKUP(H2068,'Paloma Priority'!$F$3:$G$540,2,FALSE)</f>
        <v>#N/A</v>
      </c>
    </row>
    <row r="2069" spans="12:15" x14ac:dyDescent="0.25">
      <c r="L2069" s="1"/>
      <c r="M2069" s="1"/>
      <c r="O2069" t="e">
        <f>VLOOKUP(H2069,'Paloma Priority'!$F$3:$G$540,2,FALSE)</f>
        <v>#N/A</v>
      </c>
    </row>
    <row r="2070" spans="12:15" x14ac:dyDescent="0.25">
      <c r="L2070" s="1"/>
      <c r="M2070" s="1"/>
      <c r="O2070" t="e">
        <f>VLOOKUP(H2070,'Paloma Priority'!$F$3:$G$540,2,FALSE)</f>
        <v>#N/A</v>
      </c>
    </row>
    <row r="2071" spans="12:15" x14ac:dyDescent="0.25">
      <c r="L2071" s="1"/>
      <c r="M2071" s="1"/>
      <c r="O2071" t="e">
        <f>VLOOKUP(H2071,'Paloma Priority'!$F$3:$G$540,2,FALSE)</f>
        <v>#N/A</v>
      </c>
    </row>
    <row r="2072" spans="12:15" x14ac:dyDescent="0.25">
      <c r="L2072" s="1"/>
      <c r="M2072" s="1"/>
      <c r="O2072" t="e">
        <f>VLOOKUP(H2072,'Paloma Priority'!$F$3:$G$540,2,FALSE)</f>
        <v>#N/A</v>
      </c>
    </row>
    <row r="2073" spans="12:15" x14ac:dyDescent="0.25">
      <c r="L2073" s="1"/>
      <c r="M2073" s="1"/>
      <c r="O2073" t="e">
        <f>VLOOKUP(H2073,'Paloma Priority'!$F$3:$G$540,2,FALSE)</f>
        <v>#N/A</v>
      </c>
    </row>
    <row r="2074" spans="12:15" x14ac:dyDescent="0.25">
      <c r="L2074" s="1"/>
      <c r="M2074" s="1"/>
      <c r="O2074" t="e">
        <f>VLOOKUP(H2074,'Paloma Priority'!$F$3:$G$540,2,FALSE)</f>
        <v>#N/A</v>
      </c>
    </row>
    <row r="2075" spans="12:15" x14ac:dyDescent="0.25">
      <c r="L2075" s="1"/>
      <c r="M2075" s="1"/>
      <c r="O2075" t="e">
        <f>VLOOKUP(H2075,'Paloma Priority'!$F$3:$G$540,2,FALSE)</f>
        <v>#N/A</v>
      </c>
    </row>
    <row r="2076" spans="12:15" x14ac:dyDescent="0.25">
      <c r="L2076" s="1"/>
      <c r="M2076" s="1"/>
      <c r="O2076" t="e">
        <f>VLOOKUP(H2076,'Paloma Priority'!$F$3:$G$540,2,FALSE)</f>
        <v>#N/A</v>
      </c>
    </row>
    <row r="2077" spans="12:15" x14ac:dyDescent="0.25">
      <c r="L2077" s="1"/>
      <c r="M2077" s="1"/>
      <c r="O2077" t="e">
        <f>VLOOKUP(H2077,'Paloma Priority'!$F$3:$G$540,2,FALSE)</f>
        <v>#N/A</v>
      </c>
    </row>
    <row r="2078" spans="12:15" x14ac:dyDescent="0.25">
      <c r="L2078" s="1"/>
      <c r="M2078" s="1"/>
      <c r="O2078" t="e">
        <f>VLOOKUP(H2078,'Paloma Priority'!$F$3:$G$540,2,FALSE)</f>
        <v>#N/A</v>
      </c>
    </row>
    <row r="2079" spans="12:15" x14ac:dyDescent="0.25">
      <c r="L2079" s="1"/>
      <c r="M2079" s="1"/>
      <c r="O2079" t="e">
        <f>VLOOKUP(H2079,'Paloma Priority'!$F$3:$G$540,2,FALSE)</f>
        <v>#N/A</v>
      </c>
    </row>
    <row r="2080" spans="12:15" x14ac:dyDescent="0.25">
      <c r="L2080" s="1"/>
      <c r="M2080" s="1"/>
      <c r="O2080" t="e">
        <f>VLOOKUP(H2080,'Paloma Priority'!$F$3:$G$540,2,FALSE)</f>
        <v>#N/A</v>
      </c>
    </row>
    <row r="2081" spans="12:15" x14ac:dyDescent="0.25">
      <c r="L2081" s="1"/>
      <c r="M2081" s="1"/>
      <c r="O2081" t="e">
        <f>VLOOKUP(H2081,'Paloma Priority'!$F$3:$G$540,2,FALSE)</f>
        <v>#N/A</v>
      </c>
    </row>
    <row r="2082" spans="12:15" x14ac:dyDescent="0.25">
      <c r="L2082" s="1"/>
      <c r="M2082" s="1"/>
      <c r="O2082" t="e">
        <f>VLOOKUP(H2082,'Paloma Priority'!$F$3:$G$540,2,FALSE)</f>
        <v>#N/A</v>
      </c>
    </row>
    <row r="2083" spans="12:15" x14ac:dyDescent="0.25">
      <c r="L2083" s="1"/>
      <c r="M2083" s="1"/>
      <c r="O2083" t="e">
        <f>VLOOKUP(H2083,'Paloma Priority'!$F$3:$G$540,2,FALSE)</f>
        <v>#N/A</v>
      </c>
    </row>
    <row r="2084" spans="12:15" x14ac:dyDescent="0.25">
      <c r="L2084" s="1"/>
      <c r="M2084" s="1"/>
      <c r="O2084" t="e">
        <f>VLOOKUP(H2084,'Paloma Priority'!$F$3:$G$540,2,FALSE)</f>
        <v>#N/A</v>
      </c>
    </row>
    <row r="2085" spans="12:15" x14ac:dyDescent="0.25">
      <c r="L2085" s="1"/>
      <c r="M2085" s="1"/>
      <c r="O2085" t="e">
        <f>VLOOKUP(H2085,'Paloma Priority'!$F$3:$G$540,2,FALSE)</f>
        <v>#N/A</v>
      </c>
    </row>
    <row r="2086" spans="12:15" x14ac:dyDescent="0.25">
      <c r="L2086" s="1"/>
      <c r="O2086" t="e">
        <f>VLOOKUP(H2086,'Paloma Priority'!$F$3:$G$540,2,FALSE)</f>
        <v>#N/A</v>
      </c>
    </row>
    <row r="2087" spans="12:15" x14ac:dyDescent="0.25">
      <c r="L2087" s="1"/>
      <c r="M2087" s="1"/>
      <c r="O2087" t="e">
        <f>VLOOKUP(H2087,'Paloma Priority'!$F$3:$G$540,2,FALSE)</f>
        <v>#N/A</v>
      </c>
    </row>
    <row r="2088" spans="12:15" x14ac:dyDescent="0.25">
      <c r="L2088" s="1"/>
      <c r="M2088" s="1"/>
      <c r="O2088" t="e">
        <f>VLOOKUP(H2088,'Paloma Priority'!$F$3:$G$540,2,FALSE)</f>
        <v>#N/A</v>
      </c>
    </row>
    <row r="2089" spans="12:15" x14ac:dyDescent="0.25">
      <c r="L2089" s="1"/>
      <c r="O2089" t="e">
        <f>VLOOKUP(H2089,'Paloma Priority'!$F$3:$G$540,2,FALSE)</f>
        <v>#N/A</v>
      </c>
    </row>
    <row r="2090" spans="12:15" x14ac:dyDescent="0.25">
      <c r="L2090" s="1"/>
      <c r="O2090" t="e">
        <f>VLOOKUP(H2090,'Paloma Priority'!$F$3:$G$540,2,FALSE)</f>
        <v>#N/A</v>
      </c>
    </row>
    <row r="2091" spans="12:15" x14ac:dyDescent="0.25">
      <c r="L2091" s="1"/>
      <c r="M2091" s="1"/>
      <c r="O2091" t="e">
        <f>VLOOKUP(H2091,'Paloma Priority'!$F$3:$G$540,2,FALSE)</f>
        <v>#N/A</v>
      </c>
    </row>
    <row r="2092" spans="12:15" x14ac:dyDescent="0.25">
      <c r="L2092" s="1"/>
      <c r="M2092" s="1"/>
      <c r="O2092" t="e">
        <f>VLOOKUP(H2092,'Paloma Priority'!$F$3:$G$540,2,FALSE)</f>
        <v>#N/A</v>
      </c>
    </row>
    <row r="2093" spans="12:15" x14ac:dyDescent="0.25">
      <c r="L2093" s="1"/>
      <c r="M2093" s="1"/>
      <c r="O2093" t="e">
        <f>VLOOKUP(H2093,'Paloma Priority'!$F$3:$G$540,2,FALSE)</f>
        <v>#N/A</v>
      </c>
    </row>
    <row r="2094" spans="12:15" x14ac:dyDescent="0.25">
      <c r="L2094" s="1"/>
      <c r="M2094" s="1"/>
      <c r="O2094" t="e">
        <f>VLOOKUP(H2094,'Paloma Priority'!$F$3:$G$540,2,FALSE)</f>
        <v>#N/A</v>
      </c>
    </row>
    <row r="2095" spans="12:15" x14ac:dyDescent="0.25">
      <c r="L2095" s="1"/>
      <c r="M2095" s="1"/>
      <c r="O2095" t="e">
        <f>VLOOKUP(H2095,'Paloma Priority'!$F$3:$G$540,2,FALSE)</f>
        <v>#N/A</v>
      </c>
    </row>
    <row r="2096" spans="12:15" x14ac:dyDescent="0.25">
      <c r="L2096" s="1"/>
      <c r="M2096" s="1"/>
      <c r="O2096" t="e">
        <f>VLOOKUP(H2096,'Paloma Priority'!$F$3:$G$540,2,FALSE)</f>
        <v>#N/A</v>
      </c>
    </row>
    <row r="2097" spans="12:15" x14ac:dyDescent="0.25">
      <c r="L2097" s="1"/>
      <c r="M2097" s="1"/>
      <c r="O2097" t="e">
        <f>VLOOKUP(H2097,'Paloma Priority'!$F$3:$G$540,2,FALSE)</f>
        <v>#N/A</v>
      </c>
    </row>
    <row r="2098" spans="12:15" x14ac:dyDescent="0.25">
      <c r="L2098" s="1"/>
      <c r="M2098" s="1"/>
      <c r="O2098" t="e">
        <f>VLOOKUP(H2098,'Paloma Priority'!$F$3:$G$540,2,FALSE)</f>
        <v>#N/A</v>
      </c>
    </row>
    <row r="2099" spans="12:15" x14ac:dyDescent="0.25">
      <c r="L2099" s="1"/>
      <c r="M2099" s="1"/>
      <c r="O2099" t="e">
        <f>VLOOKUP(H2099,'Paloma Priority'!$F$3:$G$540,2,FALSE)</f>
        <v>#N/A</v>
      </c>
    </row>
    <row r="2100" spans="12:15" x14ac:dyDescent="0.25">
      <c r="L2100" s="1"/>
      <c r="M2100" s="1"/>
      <c r="O2100" t="e">
        <f>VLOOKUP(H2100,'Paloma Priority'!$F$3:$G$540,2,FALSE)</f>
        <v>#N/A</v>
      </c>
    </row>
    <row r="2101" spans="12:15" x14ac:dyDescent="0.25">
      <c r="L2101" s="1"/>
      <c r="M2101" s="1"/>
      <c r="O2101" t="e">
        <f>VLOOKUP(H2101,'Paloma Priority'!$F$3:$G$540,2,FALSE)</f>
        <v>#N/A</v>
      </c>
    </row>
    <row r="2102" spans="12:15" x14ac:dyDescent="0.25">
      <c r="L2102" s="1"/>
      <c r="M2102" s="1"/>
      <c r="O2102" t="e">
        <f>VLOOKUP(H2102,'Paloma Priority'!$F$3:$G$540,2,FALSE)</f>
        <v>#N/A</v>
      </c>
    </row>
    <row r="2103" spans="12:15" x14ac:dyDescent="0.25">
      <c r="L2103" s="1"/>
      <c r="M2103" s="1"/>
      <c r="O2103" t="e">
        <f>VLOOKUP(H2103,'Paloma Priority'!$F$3:$G$540,2,FALSE)</f>
        <v>#N/A</v>
      </c>
    </row>
    <row r="2104" spans="12:15" x14ac:dyDescent="0.25">
      <c r="L2104" s="1"/>
      <c r="M2104" s="1"/>
      <c r="O2104" t="e">
        <f>VLOOKUP(H2104,'Paloma Priority'!$F$3:$G$540,2,FALSE)</f>
        <v>#N/A</v>
      </c>
    </row>
    <row r="2105" spans="12:15" x14ac:dyDescent="0.25">
      <c r="L2105" s="1"/>
      <c r="M2105" s="1"/>
      <c r="O2105" t="e">
        <f>VLOOKUP(H2105,'Paloma Priority'!$F$3:$G$540,2,FALSE)</f>
        <v>#N/A</v>
      </c>
    </row>
    <row r="2106" spans="12:15" x14ac:dyDescent="0.25">
      <c r="L2106" s="1"/>
      <c r="M2106" s="1"/>
      <c r="O2106" t="e">
        <f>VLOOKUP(H2106,'Paloma Priority'!$F$3:$G$540,2,FALSE)</f>
        <v>#N/A</v>
      </c>
    </row>
    <row r="2107" spans="12:15" x14ac:dyDescent="0.25">
      <c r="L2107" s="1"/>
      <c r="O2107" t="e">
        <f>VLOOKUP(H2107,'Paloma Priority'!$F$3:$G$540,2,FALSE)</f>
        <v>#N/A</v>
      </c>
    </row>
    <row r="2108" spans="12:15" x14ac:dyDescent="0.25">
      <c r="L2108" s="1"/>
      <c r="M2108" s="1"/>
      <c r="O2108" t="e">
        <f>VLOOKUP(H2108,'Paloma Priority'!$F$3:$G$540,2,FALSE)</f>
        <v>#N/A</v>
      </c>
    </row>
    <row r="2109" spans="12:15" x14ac:dyDescent="0.25">
      <c r="L2109" s="1"/>
      <c r="M2109" s="1"/>
      <c r="O2109" t="e">
        <f>VLOOKUP(H2109,'Paloma Priority'!$F$3:$G$540,2,FALSE)</f>
        <v>#N/A</v>
      </c>
    </row>
    <row r="2110" spans="12:15" x14ac:dyDescent="0.25">
      <c r="L2110" s="1"/>
      <c r="M2110" s="1"/>
      <c r="O2110" t="e">
        <f>VLOOKUP(H2110,'Paloma Priority'!$F$3:$G$540,2,FALSE)</f>
        <v>#N/A</v>
      </c>
    </row>
    <row r="2111" spans="12:15" x14ac:dyDescent="0.25">
      <c r="L2111" s="1"/>
      <c r="M2111" s="1"/>
      <c r="O2111" t="e">
        <f>VLOOKUP(H2111,'Paloma Priority'!$F$3:$G$540,2,FALSE)</f>
        <v>#N/A</v>
      </c>
    </row>
    <row r="2112" spans="12:15" x14ac:dyDescent="0.25">
      <c r="L2112" s="1"/>
      <c r="M2112" s="1"/>
      <c r="O2112" t="e">
        <f>VLOOKUP(H2112,'Paloma Priority'!$F$3:$G$540,2,FALSE)</f>
        <v>#N/A</v>
      </c>
    </row>
    <row r="2113" spans="12:15" x14ac:dyDescent="0.25">
      <c r="L2113" s="1"/>
      <c r="M2113" s="1"/>
      <c r="O2113" t="e">
        <f>VLOOKUP(H2113,'Paloma Priority'!$F$3:$G$540,2,FALSE)</f>
        <v>#N/A</v>
      </c>
    </row>
    <row r="2114" spans="12:15" x14ac:dyDescent="0.25">
      <c r="L2114" s="1"/>
      <c r="O2114" t="e">
        <f>VLOOKUP(H2114,'Paloma Priority'!$F$3:$G$540,2,FALSE)</f>
        <v>#N/A</v>
      </c>
    </row>
    <row r="2115" spans="12:15" x14ac:dyDescent="0.25">
      <c r="L2115" s="1"/>
      <c r="M2115" s="1"/>
      <c r="O2115" t="e">
        <f>VLOOKUP(H2115,'Paloma Priority'!$F$3:$G$540,2,FALSE)</f>
        <v>#N/A</v>
      </c>
    </row>
    <row r="2116" spans="12:15" x14ac:dyDescent="0.25">
      <c r="L2116" s="1"/>
      <c r="O2116" t="e">
        <f>VLOOKUP(H2116,'Paloma Priority'!$F$3:$G$540,2,FALSE)</f>
        <v>#N/A</v>
      </c>
    </row>
    <row r="2117" spans="12:15" x14ac:dyDescent="0.25">
      <c r="L2117" s="1"/>
      <c r="M2117" s="1"/>
      <c r="O2117" t="e">
        <f>VLOOKUP(H2117,'Paloma Priority'!$F$3:$G$540,2,FALSE)</f>
        <v>#N/A</v>
      </c>
    </row>
    <row r="2118" spans="12:15" x14ac:dyDescent="0.25">
      <c r="L2118" s="1"/>
      <c r="M2118" s="1"/>
      <c r="O2118" t="e">
        <f>VLOOKUP(H2118,'Paloma Priority'!$F$3:$G$540,2,FALSE)</f>
        <v>#N/A</v>
      </c>
    </row>
    <row r="2119" spans="12:15" x14ac:dyDescent="0.25">
      <c r="L2119" s="1"/>
      <c r="M2119" s="1"/>
      <c r="O2119" t="e">
        <f>VLOOKUP(H2119,'Paloma Priority'!$F$3:$G$540,2,FALSE)</f>
        <v>#N/A</v>
      </c>
    </row>
    <row r="2120" spans="12:15" x14ac:dyDescent="0.25">
      <c r="L2120" s="1"/>
      <c r="M2120" s="1"/>
      <c r="O2120" t="e">
        <f>VLOOKUP(H2120,'Paloma Priority'!$F$3:$G$540,2,FALSE)</f>
        <v>#N/A</v>
      </c>
    </row>
    <row r="2121" spans="12:15" x14ac:dyDescent="0.25">
      <c r="L2121" s="1"/>
      <c r="M2121" s="1"/>
      <c r="O2121" t="e">
        <f>VLOOKUP(H2121,'Paloma Priority'!$F$3:$G$540,2,FALSE)</f>
        <v>#N/A</v>
      </c>
    </row>
    <row r="2122" spans="12:15" x14ac:dyDescent="0.25">
      <c r="L2122" s="1"/>
      <c r="M2122" s="1"/>
      <c r="O2122" t="e">
        <f>VLOOKUP(H2122,'Paloma Priority'!$F$3:$G$540,2,FALSE)</f>
        <v>#N/A</v>
      </c>
    </row>
    <row r="2123" spans="12:15" x14ac:dyDescent="0.25">
      <c r="L2123" s="1"/>
      <c r="M2123" s="1"/>
      <c r="O2123" t="e">
        <f>VLOOKUP(H2123,'Paloma Priority'!$F$3:$G$540,2,FALSE)</f>
        <v>#N/A</v>
      </c>
    </row>
    <row r="2124" spans="12:15" x14ac:dyDescent="0.25">
      <c r="L2124" s="1"/>
      <c r="M2124" s="1"/>
      <c r="O2124" t="e">
        <f>VLOOKUP(H2124,'Paloma Priority'!$F$3:$G$540,2,FALSE)</f>
        <v>#N/A</v>
      </c>
    </row>
    <row r="2125" spans="12:15" x14ac:dyDescent="0.25">
      <c r="L2125" s="1"/>
      <c r="M2125" s="1"/>
      <c r="O2125" t="e">
        <f>VLOOKUP(H2125,'Paloma Priority'!$F$3:$G$540,2,FALSE)</f>
        <v>#N/A</v>
      </c>
    </row>
    <row r="2126" spans="12:15" x14ac:dyDescent="0.25">
      <c r="L2126" s="1"/>
      <c r="M2126" s="1"/>
      <c r="O2126" t="e">
        <f>VLOOKUP(H2126,'Paloma Priority'!$F$3:$G$540,2,FALSE)</f>
        <v>#N/A</v>
      </c>
    </row>
    <row r="2127" spans="12:15" x14ac:dyDescent="0.25">
      <c r="L2127" s="1"/>
      <c r="M2127" s="1"/>
      <c r="O2127" t="e">
        <f>VLOOKUP(H2127,'Paloma Priority'!$F$3:$G$540,2,FALSE)</f>
        <v>#N/A</v>
      </c>
    </row>
    <row r="2128" spans="12:15" x14ac:dyDescent="0.25">
      <c r="L2128" s="1"/>
      <c r="M2128" s="1"/>
      <c r="O2128" t="e">
        <f>VLOOKUP(H2128,'Paloma Priority'!$F$3:$G$540,2,FALSE)</f>
        <v>#N/A</v>
      </c>
    </row>
    <row r="2129" spans="12:15" x14ac:dyDescent="0.25">
      <c r="L2129" s="1"/>
      <c r="M2129" s="1"/>
      <c r="O2129" t="e">
        <f>VLOOKUP(H2129,'Paloma Priority'!$F$3:$G$540,2,FALSE)</f>
        <v>#N/A</v>
      </c>
    </row>
    <row r="2130" spans="12:15" x14ac:dyDescent="0.25">
      <c r="L2130" s="1"/>
      <c r="M2130" s="1"/>
      <c r="O2130" t="e">
        <f>VLOOKUP(H2130,'Paloma Priority'!$F$3:$G$540,2,FALSE)</f>
        <v>#N/A</v>
      </c>
    </row>
    <row r="2131" spans="12:15" x14ac:dyDescent="0.25">
      <c r="L2131" s="1"/>
      <c r="M2131" s="1"/>
      <c r="O2131" t="e">
        <f>VLOOKUP(H2131,'Paloma Priority'!$F$3:$G$540,2,FALSE)</f>
        <v>#N/A</v>
      </c>
    </row>
    <row r="2132" spans="12:15" x14ac:dyDescent="0.25">
      <c r="L2132" s="1"/>
      <c r="M2132" s="1"/>
      <c r="O2132" t="e">
        <f>VLOOKUP(H2132,'Paloma Priority'!$F$3:$G$540,2,FALSE)</f>
        <v>#N/A</v>
      </c>
    </row>
    <row r="2133" spans="12:15" x14ac:dyDescent="0.25">
      <c r="L2133" s="1"/>
      <c r="M2133" s="1"/>
      <c r="O2133" t="e">
        <f>VLOOKUP(H2133,'Paloma Priority'!$F$3:$G$540,2,FALSE)</f>
        <v>#N/A</v>
      </c>
    </row>
    <row r="2134" spans="12:15" x14ac:dyDescent="0.25">
      <c r="L2134" s="1"/>
      <c r="M2134" s="1"/>
      <c r="O2134" t="e">
        <f>VLOOKUP(H2134,'Paloma Priority'!$F$3:$G$540,2,FALSE)</f>
        <v>#N/A</v>
      </c>
    </row>
    <row r="2135" spans="12:15" x14ac:dyDescent="0.25">
      <c r="L2135" s="1"/>
      <c r="M2135" s="1"/>
      <c r="O2135" t="e">
        <f>VLOOKUP(H2135,'Paloma Priority'!$F$3:$G$540,2,FALSE)</f>
        <v>#N/A</v>
      </c>
    </row>
    <row r="2136" spans="12:15" x14ac:dyDescent="0.25">
      <c r="L2136" s="1"/>
      <c r="M2136" s="1"/>
      <c r="O2136" t="e">
        <f>VLOOKUP(H2136,'Paloma Priority'!$F$3:$G$540,2,FALSE)</f>
        <v>#N/A</v>
      </c>
    </row>
    <row r="2137" spans="12:15" x14ac:dyDescent="0.25">
      <c r="L2137" s="1"/>
      <c r="M2137" s="1"/>
      <c r="O2137" t="e">
        <f>VLOOKUP(H2137,'Paloma Priority'!$F$3:$G$540,2,FALSE)</f>
        <v>#N/A</v>
      </c>
    </row>
    <row r="2138" spans="12:15" x14ac:dyDescent="0.25">
      <c r="L2138" s="1"/>
      <c r="M2138" s="1"/>
      <c r="O2138" t="e">
        <f>VLOOKUP(H2138,'Paloma Priority'!$F$3:$G$540,2,FALSE)</f>
        <v>#N/A</v>
      </c>
    </row>
    <row r="2139" spans="12:15" x14ac:dyDescent="0.25">
      <c r="L2139" s="1"/>
      <c r="M2139" s="1"/>
      <c r="O2139" t="e">
        <f>VLOOKUP(H2139,'Paloma Priority'!$F$3:$G$540,2,FALSE)</f>
        <v>#N/A</v>
      </c>
    </row>
    <row r="2140" spans="12:15" x14ac:dyDescent="0.25">
      <c r="L2140" s="1"/>
      <c r="O2140" t="e">
        <f>VLOOKUP(H2140,'Paloma Priority'!$F$3:$G$540,2,FALSE)</f>
        <v>#N/A</v>
      </c>
    </row>
    <row r="2141" spans="12:15" x14ac:dyDescent="0.25">
      <c r="L2141" s="1"/>
      <c r="O2141" t="e">
        <f>VLOOKUP(H2141,'Paloma Priority'!$F$3:$G$540,2,FALSE)</f>
        <v>#N/A</v>
      </c>
    </row>
    <row r="2142" spans="12:15" x14ac:dyDescent="0.25">
      <c r="O2142" t="e">
        <f>VLOOKUP(H2142,'Paloma Priority'!$F$3:$G$540,2,FALSE)</f>
        <v>#N/A</v>
      </c>
    </row>
    <row r="2143" spans="12:15" x14ac:dyDescent="0.25">
      <c r="O2143" t="e">
        <f>VLOOKUP(H2143,'Paloma Priority'!$F$3:$G$540,2,FALSE)</f>
        <v>#N/A</v>
      </c>
    </row>
    <row r="2144" spans="12:15" x14ac:dyDescent="0.25">
      <c r="O2144" t="e">
        <f>VLOOKUP(H2144,'Paloma Priority'!$F$3:$G$540,2,FALSE)</f>
        <v>#N/A</v>
      </c>
    </row>
    <row r="2145" spans="12:15" x14ac:dyDescent="0.25">
      <c r="O2145" t="e">
        <f>VLOOKUP(H2145,'Paloma Priority'!$F$3:$G$540,2,FALSE)</f>
        <v>#N/A</v>
      </c>
    </row>
    <row r="2146" spans="12:15" x14ac:dyDescent="0.25">
      <c r="O2146" t="e">
        <f>VLOOKUP(H2146,'Paloma Priority'!$F$3:$G$540,2,FALSE)</f>
        <v>#N/A</v>
      </c>
    </row>
    <row r="2147" spans="12:15" x14ac:dyDescent="0.25">
      <c r="L2147" s="1"/>
      <c r="M2147" s="1"/>
      <c r="O2147" t="e">
        <f>VLOOKUP(H2147,'Paloma Priority'!$F$3:$G$540,2,FALSE)</f>
        <v>#N/A</v>
      </c>
    </row>
    <row r="2148" spans="12:15" x14ac:dyDescent="0.25">
      <c r="L2148" s="1"/>
      <c r="M2148" s="1"/>
      <c r="O2148" t="e">
        <f>VLOOKUP(H2148,'Paloma Priority'!$F$3:$G$540,2,FALSE)</f>
        <v>#N/A</v>
      </c>
    </row>
    <row r="2149" spans="12:15" x14ac:dyDescent="0.25">
      <c r="L2149" s="1"/>
      <c r="M2149" s="1"/>
      <c r="O2149" t="e">
        <f>VLOOKUP(H2149,'Paloma Priority'!$F$3:$G$540,2,FALSE)</f>
        <v>#N/A</v>
      </c>
    </row>
    <row r="2150" spans="12:15" x14ac:dyDescent="0.25">
      <c r="L2150" s="1"/>
      <c r="M2150" s="1"/>
      <c r="O2150" t="e">
        <f>VLOOKUP(H2150,'Paloma Priority'!$F$3:$G$540,2,FALSE)</f>
        <v>#N/A</v>
      </c>
    </row>
    <row r="2151" spans="12:15" x14ac:dyDescent="0.25">
      <c r="L2151" s="1"/>
      <c r="M2151" s="1"/>
      <c r="O2151" t="e">
        <f>VLOOKUP(H2151,'Paloma Priority'!$F$3:$G$540,2,FALSE)</f>
        <v>#N/A</v>
      </c>
    </row>
    <row r="2152" spans="12:15" x14ac:dyDescent="0.25">
      <c r="L2152" s="1"/>
      <c r="M2152" s="1"/>
      <c r="O2152" t="e">
        <f>VLOOKUP(H2152,'Paloma Priority'!$F$3:$G$540,2,FALSE)</f>
        <v>#N/A</v>
      </c>
    </row>
    <row r="2153" spans="12:15" x14ac:dyDescent="0.25">
      <c r="L2153" s="1"/>
      <c r="M2153" s="1"/>
      <c r="O2153" t="e">
        <f>VLOOKUP(H2153,'Paloma Priority'!$F$3:$G$540,2,FALSE)</f>
        <v>#N/A</v>
      </c>
    </row>
    <row r="2154" spans="12:15" x14ac:dyDescent="0.25">
      <c r="L2154" s="1"/>
      <c r="M2154" s="1"/>
      <c r="O2154" t="e">
        <f>VLOOKUP(H2154,'Paloma Priority'!$F$3:$G$540,2,FALSE)</f>
        <v>#N/A</v>
      </c>
    </row>
    <row r="2155" spans="12:15" x14ac:dyDescent="0.25">
      <c r="L2155" s="1"/>
      <c r="M2155" s="1"/>
      <c r="O2155" t="e">
        <f>VLOOKUP(H2155,'Paloma Priority'!$F$3:$G$540,2,FALSE)</f>
        <v>#N/A</v>
      </c>
    </row>
    <row r="2156" spans="12:15" x14ac:dyDescent="0.25">
      <c r="L2156" s="1"/>
      <c r="M2156" s="1"/>
      <c r="O2156" t="e">
        <f>VLOOKUP(H2156,'Paloma Priority'!$F$3:$G$540,2,FALSE)</f>
        <v>#N/A</v>
      </c>
    </row>
    <row r="2157" spans="12:15" x14ac:dyDescent="0.25">
      <c r="L2157" s="1"/>
      <c r="M2157" s="1"/>
      <c r="O2157" t="e">
        <f>VLOOKUP(H2157,'Paloma Priority'!$F$3:$G$540,2,FALSE)</f>
        <v>#N/A</v>
      </c>
    </row>
    <row r="2158" spans="12:15" x14ac:dyDescent="0.25">
      <c r="L2158" s="1"/>
      <c r="M2158" s="1"/>
      <c r="O2158" t="e">
        <f>VLOOKUP(H2158,'Paloma Priority'!$F$3:$G$540,2,FALSE)</f>
        <v>#N/A</v>
      </c>
    </row>
    <row r="2159" spans="12:15" x14ac:dyDescent="0.25">
      <c r="L2159" s="1"/>
      <c r="M2159" s="1"/>
      <c r="O2159" t="e">
        <f>VLOOKUP(H2159,'Paloma Priority'!$F$3:$G$540,2,FALSE)</f>
        <v>#N/A</v>
      </c>
    </row>
    <row r="2160" spans="12:15" x14ac:dyDescent="0.25">
      <c r="L2160" s="1"/>
      <c r="M2160" s="1"/>
      <c r="O2160" t="e">
        <f>VLOOKUP(H2160,'Paloma Priority'!$F$3:$G$540,2,FALSE)</f>
        <v>#N/A</v>
      </c>
    </row>
    <row r="2161" spans="12:15" x14ac:dyDescent="0.25">
      <c r="L2161" s="1"/>
      <c r="M2161" s="1"/>
      <c r="O2161" t="e">
        <f>VLOOKUP(H2161,'Paloma Priority'!$F$3:$G$540,2,FALSE)</f>
        <v>#N/A</v>
      </c>
    </row>
    <row r="2162" spans="12:15" x14ac:dyDescent="0.25">
      <c r="L2162" s="1"/>
      <c r="M2162" s="1"/>
      <c r="O2162" t="e">
        <f>VLOOKUP(H2162,'Paloma Priority'!$F$3:$G$540,2,FALSE)</f>
        <v>#N/A</v>
      </c>
    </row>
    <row r="2163" spans="12:15" x14ac:dyDescent="0.25">
      <c r="L2163" s="1"/>
      <c r="M2163" s="1"/>
      <c r="O2163" t="e">
        <f>VLOOKUP(H2163,'Paloma Priority'!$F$3:$G$540,2,FALSE)</f>
        <v>#N/A</v>
      </c>
    </row>
    <row r="2164" spans="12:15" x14ac:dyDescent="0.25">
      <c r="L2164" s="1"/>
      <c r="M2164" s="1"/>
      <c r="O2164" t="e">
        <f>VLOOKUP(H2164,'Paloma Priority'!$F$3:$G$540,2,FALSE)</f>
        <v>#N/A</v>
      </c>
    </row>
    <row r="2165" spans="12:15" x14ac:dyDescent="0.25">
      <c r="L2165" s="1"/>
      <c r="M2165" s="1"/>
      <c r="O2165" t="e">
        <f>VLOOKUP(H2165,'Paloma Priority'!$F$3:$G$540,2,FALSE)</f>
        <v>#N/A</v>
      </c>
    </row>
    <row r="2166" spans="12:15" x14ac:dyDescent="0.25">
      <c r="L2166" s="1"/>
      <c r="M2166" s="1"/>
      <c r="O2166" t="e">
        <f>VLOOKUP(H2166,'Paloma Priority'!$F$3:$G$540,2,FALSE)</f>
        <v>#N/A</v>
      </c>
    </row>
    <row r="2167" spans="12:15" x14ac:dyDescent="0.25">
      <c r="L2167" s="1"/>
      <c r="M2167" s="1"/>
      <c r="O2167" t="e">
        <f>VLOOKUP(H2167,'Paloma Priority'!$F$3:$G$540,2,FALSE)</f>
        <v>#N/A</v>
      </c>
    </row>
    <row r="2168" spans="12:15" x14ac:dyDescent="0.25">
      <c r="L2168" s="1"/>
      <c r="M2168" s="1"/>
      <c r="O2168" t="e">
        <f>VLOOKUP(H2168,'Paloma Priority'!$F$3:$G$540,2,FALSE)</f>
        <v>#N/A</v>
      </c>
    </row>
    <row r="2169" spans="12:15" x14ac:dyDescent="0.25">
      <c r="L2169" s="1"/>
      <c r="M2169" s="1"/>
      <c r="O2169" t="e">
        <f>VLOOKUP(H2169,'Paloma Priority'!$F$3:$G$540,2,FALSE)</f>
        <v>#N/A</v>
      </c>
    </row>
    <row r="2170" spans="12:15" x14ac:dyDescent="0.25">
      <c r="L2170" s="1"/>
      <c r="M2170" s="1"/>
      <c r="O2170" t="e">
        <f>VLOOKUP(H2170,'Paloma Priority'!$F$3:$G$540,2,FALSE)</f>
        <v>#N/A</v>
      </c>
    </row>
    <row r="2171" spans="12:15" x14ac:dyDescent="0.25">
      <c r="L2171" s="1"/>
      <c r="M2171" s="1"/>
      <c r="O2171" t="e">
        <f>VLOOKUP(H2171,'Paloma Priority'!$F$3:$G$540,2,FALSE)</f>
        <v>#N/A</v>
      </c>
    </row>
    <row r="2172" spans="12:15" x14ac:dyDescent="0.25">
      <c r="L2172" s="1"/>
      <c r="M2172" s="1"/>
      <c r="O2172" t="e">
        <f>VLOOKUP(H2172,'Paloma Priority'!$F$3:$G$540,2,FALSE)</f>
        <v>#N/A</v>
      </c>
    </row>
    <row r="2173" spans="12:15" x14ac:dyDescent="0.25">
      <c r="L2173" s="1"/>
      <c r="M2173" s="1"/>
      <c r="O2173" t="e">
        <f>VLOOKUP(H2173,'Paloma Priority'!$F$3:$G$540,2,FALSE)</f>
        <v>#N/A</v>
      </c>
    </row>
    <row r="2174" spans="12:15" x14ac:dyDescent="0.25">
      <c r="L2174" s="1"/>
      <c r="M2174" s="1"/>
      <c r="O2174" t="e">
        <f>VLOOKUP(H2174,'Paloma Priority'!$F$3:$G$540,2,FALSE)</f>
        <v>#N/A</v>
      </c>
    </row>
    <row r="2175" spans="12:15" x14ac:dyDescent="0.25">
      <c r="L2175" s="1"/>
      <c r="M2175" s="1"/>
      <c r="O2175" t="e">
        <f>VLOOKUP(H2175,'Paloma Priority'!$F$3:$G$540,2,FALSE)</f>
        <v>#N/A</v>
      </c>
    </row>
    <row r="2176" spans="12:15" x14ac:dyDescent="0.25">
      <c r="L2176" s="1"/>
      <c r="O2176" t="e">
        <f>VLOOKUP(H2176,'Paloma Priority'!$F$3:$G$540,2,FALSE)</f>
        <v>#N/A</v>
      </c>
    </row>
    <row r="2177" spans="12:15" x14ac:dyDescent="0.25">
      <c r="L2177" s="1"/>
      <c r="M2177" s="1"/>
      <c r="O2177" t="e">
        <f>VLOOKUP(H2177,'Paloma Priority'!$F$3:$G$540,2,FALSE)</f>
        <v>#N/A</v>
      </c>
    </row>
    <row r="2178" spans="12:15" x14ac:dyDescent="0.25">
      <c r="L2178" s="1"/>
      <c r="M2178" s="1"/>
      <c r="O2178" t="e">
        <f>VLOOKUP(H2178,'Paloma Priority'!$F$3:$G$540,2,FALSE)</f>
        <v>#N/A</v>
      </c>
    </row>
    <row r="2179" spans="12:15" x14ac:dyDescent="0.25">
      <c r="L2179" s="1"/>
      <c r="M2179" s="1"/>
      <c r="O2179" t="e">
        <f>VLOOKUP(H2179,'Paloma Priority'!$F$3:$G$540,2,FALSE)</f>
        <v>#N/A</v>
      </c>
    </row>
    <row r="2180" spans="12:15" x14ac:dyDescent="0.25">
      <c r="L2180" s="1"/>
      <c r="O2180" t="e">
        <f>VLOOKUP(H2180,'Paloma Priority'!$F$3:$G$540,2,FALSE)</f>
        <v>#N/A</v>
      </c>
    </row>
    <row r="2181" spans="12:15" x14ac:dyDescent="0.25">
      <c r="L2181" s="1"/>
      <c r="M2181" s="1"/>
      <c r="O2181" t="e">
        <f>VLOOKUP(H2181,'Paloma Priority'!$F$3:$G$540,2,FALSE)</f>
        <v>#N/A</v>
      </c>
    </row>
    <row r="2182" spans="12:15" x14ac:dyDescent="0.25">
      <c r="L2182" s="1"/>
      <c r="M2182" s="1"/>
      <c r="O2182" t="e">
        <f>VLOOKUP(H2182,'Paloma Priority'!$F$3:$G$540,2,FALSE)</f>
        <v>#N/A</v>
      </c>
    </row>
    <row r="2183" spans="12:15" x14ac:dyDescent="0.25">
      <c r="L2183" s="1"/>
      <c r="O2183" t="e">
        <f>VLOOKUP(H2183,'Paloma Priority'!$F$3:$G$540,2,FALSE)</f>
        <v>#N/A</v>
      </c>
    </row>
    <row r="2184" spans="12:15" x14ac:dyDescent="0.25">
      <c r="L2184" s="1"/>
      <c r="M2184" s="1"/>
      <c r="O2184" t="e">
        <f>VLOOKUP(H2184,'Paloma Priority'!$F$3:$G$540,2,FALSE)</f>
        <v>#N/A</v>
      </c>
    </row>
    <row r="2185" spans="12:15" x14ac:dyDescent="0.25">
      <c r="L2185" s="1"/>
      <c r="M2185" s="1"/>
      <c r="O2185" t="e">
        <f>VLOOKUP(H2185,'Paloma Priority'!$F$3:$G$540,2,FALSE)</f>
        <v>#N/A</v>
      </c>
    </row>
    <row r="2186" spans="12:15" x14ac:dyDescent="0.25">
      <c r="L2186" s="1"/>
      <c r="M2186" s="1"/>
      <c r="O2186" t="e">
        <f>VLOOKUP(H2186,'Paloma Priority'!$F$3:$G$540,2,FALSE)</f>
        <v>#N/A</v>
      </c>
    </row>
    <row r="2187" spans="12:15" x14ac:dyDescent="0.25">
      <c r="L2187" s="1"/>
      <c r="M2187" s="1"/>
      <c r="O2187" t="e">
        <f>VLOOKUP(H2187,'Paloma Priority'!$F$3:$G$540,2,FALSE)</f>
        <v>#N/A</v>
      </c>
    </row>
    <row r="2188" spans="12:15" x14ac:dyDescent="0.25">
      <c r="L2188" s="1"/>
      <c r="O2188" t="e">
        <f>VLOOKUP(H2188,'Paloma Priority'!$F$3:$G$540,2,FALSE)</f>
        <v>#N/A</v>
      </c>
    </row>
    <row r="2189" spans="12:15" x14ac:dyDescent="0.25">
      <c r="L2189" s="1"/>
      <c r="O2189" t="e">
        <f>VLOOKUP(H2189,'Paloma Priority'!$F$3:$G$540,2,FALSE)</f>
        <v>#N/A</v>
      </c>
    </row>
    <row r="2190" spans="12:15" x14ac:dyDescent="0.25">
      <c r="L2190" s="1"/>
      <c r="O2190" t="e">
        <f>VLOOKUP(H2190,'Paloma Priority'!$F$3:$G$540,2,FALSE)</f>
        <v>#N/A</v>
      </c>
    </row>
    <row r="2191" spans="12:15" x14ac:dyDescent="0.25">
      <c r="L2191" s="1"/>
      <c r="M2191" s="1"/>
      <c r="O2191" t="e">
        <f>VLOOKUP(H2191,'Paloma Priority'!$F$3:$G$540,2,FALSE)</f>
        <v>#N/A</v>
      </c>
    </row>
    <row r="2192" spans="12:15" x14ac:dyDescent="0.25">
      <c r="L2192" s="1"/>
      <c r="O2192" t="e">
        <f>VLOOKUP(H2192,'Paloma Priority'!$F$3:$G$540,2,FALSE)</f>
        <v>#N/A</v>
      </c>
    </row>
    <row r="2193" spans="12:15" x14ac:dyDescent="0.25">
      <c r="L2193" s="1"/>
      <c r="O2193" t="e">
        <f>VLOOKUP(H2193,'Paloma Priority'!$F$3:$G$540,2,FALSE)</f>
        <v>#N/A</v>
      </c>
    </row>
    <row r="2194" spans="12:15" x14ac:dyDescent="0.25">
      <c r="L2194" s="1"/>
      <c r="M2194" s="1"/>
      <c r="O2194" t="e">
        <f>VLOOKUP(H2194,'Paloma Priority'!$F$3:$G$540,2,FALSE)</f>
        <v>#N/A</v>
      </c>
    </row>
    <row r="2195" spans="12:15" x14ac:dyDescent="0.25">
      <c r="L2195" s="1"/>
      <c r="M2195" s="1"/>
      <c r="O2195" t="e">
        <f>VLOOKUP(H2195,'Paloma Priority'!$F$3:$G$540,2,FALSE)</f>
        <v>#N/A</v>
      </c>
    </row>
    <row r="2196" spans="12:15" x14ac:dyDescent="0.25">
      <c r="L2196" s="1"/>
      <c r="M2196" s="1"/>
      <c r="O2196" t="e">
        <f>VLOOKUP(H2196,'Paloma Priority'!$F$3:$G$540,2,FALSE)</f>
        <v>#N/A</v>
      </c>
    </row>
    <row r="2197" spans="12:15" x14ac:dyDescent="0.25">
      <c r="L2197" s="1"/>
      <c r="O2197" t="e">
        <f>VLOOKUP(H2197,'Paloma Priority'!$F$3:$G$540,2,FALSE)</f>
        <v>#N/A</v>
      </c>
    </row>
    <row r="2198" spans="12:15" x14ac:dyDescent="0.25">
      <c r="L2198" s="1"/>
      <c r="M2198" s="1"/>
      <c r="O2198" t="e">
        <f>VLOOKUP(H2198,'Paloma Priority'!$F$3:$G$540,2,FALSE)</f>
        <v>#N/A</v>
      </c>
    </row>
    <row r="2199" spans="12:15" x14ac:dyDescent="0.25">
      <c r="L2199" s="1"/>
      <c r="M2199" s="1"/>
      <c r="O2199" t="e">
        <f>VLOOKUP(H2199,'Paloma Priority'!$F$3:$G$540,2,FALSE)</f>
        <v>#N/A</v>
      </c>
    </row>
    <row r="2200" spans="12:15" x14ac:dyDescent="0.25">
      <c r="L2200" s="1"/>
      <c r="M2200" s="1"/>
      <c r="O2200" t="e">
        <f>VLOOKUP(H2200,'Paloma Priority'!$F$3:$G$540,2,FALSE)</f>
        <v>#N/A</v>
      </c>
    </row>
    <row r="2201" spans="12:15" x14ac:dyDescent="0.25">
      <c r="L2201" s="1"/>
      <c r="M2201" s="1"/>
      <c r="O2201" t="e">
        <f>VLOOKUP(H2201,'Paloma Priority'!$F$3:$G$540,2,FALSE)</f>
        <v>#N/A</v>
      </c>
    </row>
    <row r="2202" spans="12:15" x14ac:dyDescent="0.25">
      <c r="L2202" s="1"/>
      <c r="M2202" s="1"/>
      <c r="O2202" t="e">
        <f>VLOOKUP(H2202,'Paloma Priority'!$F$3:$G$540,2,FALSE)</f>
        <v>#N/A</v>
      </c>
    </row>
    <row r="2203" spans="12:15" x14ac:dyDescent="0.25">
      <c r="L2203" s="1"/>
      <c r="M2203" s="1"/>
      <c r="O2203" t="e">
        <f>VLOOKUP(H2203,'Paloma Priority'!$F$3:$G$540,2,FALSE)</f>
        <v>#N/A</v>
      </c>
    </row>
    <row r="2204" spans="12:15" x14ac:dyDescent="0.25">
      <c r="L2204" s="1"/>
      <c r="M2204" s="1"/>
      <c r="O2204" t="e">
        <f>VLOOKUP(H2204,'Paloma Priority'!$F$3:$G$540,2,FALSE)</f>
        <v>#N/A</v>
      </c>
    </row>
    <row r="2205" spans="12:15" x14ac:dyDescent="0.25">
      <c r="L2205" s="1"/>
      <c r="O2205" t="e">
        <f>VLOOKUP(H2205,'Paloma Priority'!$F$3:$G$540,2,FALSE)</f>
        <v>#N/A</v>
      </c>
    </row>
    <row r="2206" spans="12:15" x14ac:dyDescent="0.25">
      <c r="L2206" s="1"/>
      <c r="M2206" s="1"/>
      <c r="O2206" t="e">
        <f>VLOOKUP(H2206,'Paloma Priority'!$F$3:$G$540,2,FALSE)</f>
        <v>#N/A</v>
      </c>
    </row>
    <row r="2207" spans="12:15" x14ac:dyDescent="0.25">
      <c r="L2207" s="1"/>
      <c r="O2207" t="e">
        <f>VLOOKUP(H2207,'Paloma Priority'!$F$3:$G$540,2,FALSE)</f>
        <v>#N/A</v>
      </c>
    </row>
    <row r="2208" spans="12:15" x14ac:dyDescent="0.25">
      <c r="L2208" s="1"/>
      <c r="M2208" s="1"/>
      <c r="O2208" t="e">
        <f>VLOOKUP(H2208,'Paloma Priority'!$F$3:$G$540,2,FALSE)</f>
        <v>#N/A</v>
      </c>
    </row>
    <row r="2209" spans="12:15" x14ac:dyDescent="0.25">
      <c r="L2209" s="1"/>
      <c r="M2209" s="1"/>
      <c r="O2209" t="e">
        <f>VLOOKUP(H2209,'Paloma Priority'!$F$3:$G$540,2,FALSE)</f>
        <v>#N/A</v>
      </c>
    </row>
    <row r="2210" spans="12:15" x14ac:dyDescent="0.25">
      <c r="L2210" s="1"/>
      <c r="M2210" s="1"/>
      <c r="O2210" t="e">
        <f>VLOOKUP(H2210,'Paloma Priority'!$F$3:$G$540,2,FALSE)</f>
        <v>#N/A</v>
      </c>
    </row>
    <row r="2211" spans="12:15" x14ac:dyDescent="0.25">
      <c r="L2211" s="1"/>
      <c r="M2211" s="1"/>
      <c r="O2211" t="e">
        <f>VLOOKUP(H2211,'Paloma Priority'!$F$3:$G$540,2,FALSE)</f>
        <v>#N/A</v>
      </c>
    </row>
    <row r="2212" spans="12:15" x14ac:dyDescent="0.25">
      <c r="L2212" s="1"/>
      <c r="M2212" s="1"/>
      <c r="O2212" t="e">
        <f>VLOOKUP(H2212,'Paloma Priority'!$F$3:$G$540,2,FALSE)</f>
        <v>#N/A</v>
      </c>
    </row>
    <row r="2213" spans="12:15" x14ac:dyDescent="0.25">
      <c r="L2213" s="1"/>
      <c r="M2213" s="1"/>
      <c r="O2213" t="e">
        <f>VLOOKUP(H2213,'Paloma Priority'!$F$3:$G$540,2,FALSE)</f>
        <v>#N/A</v>
      </c>
    </row>
    <row r="2214" spans="12:15" x14ac:dyDescent="0.25">
      <c r="L2214" s="1"/>
      <c r="M2214" s="1"/>
      <c r="O2214" t="e">
        <f>VLOOKUP(H2214,'Paloma Priority'!$F$3:$G$540,2,FALSE)</f>
        <v>#N/A</v>
      </c>
    </row>
    <row r="2215" spans="12:15" x14ac:dyDescent="0.25">
      <c r="L2215" s="1"/>
      <c r="M2215" s="1"/>
      <c r="O2215" t="e">
        <f>VLOOKUP(H2215,'Paloma Priority'!$F$3:$G$540,2,FALSE)</f>
        <v>#N/A</v>
      </c>
    </row>
    <row r="2216" spans="12:15" x14ac:dyDescent="0.25">
      <c r="L2216" s="1"/>
      <c r="M2216" s="1"/>
      <c r="O2216" t="e">
        <f>VLOOKUP(H2216,'Paloma Priority'!$F$3:$G$540,2,FALSE)</f>
        <v>#N/A</v>
      </c>
    </row>
    <row r="2217" spans="12:15" x14ac:dyDescent="0.25">
      <c r="L2217" s="1"/>
      <c r="O2217" t="e">
        <f>VLOOKUP(H2217,'Paloma Priority'!$F$3:$G$540,2,FALSE)</f>
        <v>#N/A</v>
      </c>
    </row>
    <row r="2218" spans="12:15" x14ac:dyDescent="0.25">
      <c r="L2218" s="1"/>
      <c r="O2218" t="e">
        <f>VLOOKUP(H2218,'Paloma Priority'!$F$3:$G$540,2,FALSE)</f>
        <v>#N/A</v>
      </c>
    </row>
    <row r="2219" spans="12:15" x14ac:dyDescent="0.25">
      <c r="L2219" s="1"/>
      <c r="O2219" t="e">
        <f>VLOOKUP(H2219,'Paloma Priority'!$F$3:$G$540,2,FALSE)</f>
        <v>#N/A</v>
      </c>
    </row>
    <row r="2220" spans="12:15" x14ac:dyDescent="0.25">
      <c r="L2220" s="1"/>
      <c r="O2220" t="e">
        <f>VLOOKUP(H2220,'Paloma Priority'!$F$3:$G$540,2,FALSE)</f>
        <v>#N/A</v>
      </c>
    </row>
    <row r="2221" spans="12:15" x14ac:dyDescent="0.25">
      <c r="L2221" s="1"/>
      <c r="O2221" t="e">
        <f>VLOOKUP(H2221,'Paloma Priority'!$F$3:$G$540,2,FALSE)</f>
        <v>#N/A</v>
      </c>
    </row>
    <row r="2222" spans="12:15" x14ac:dyDescent="0.25">
      <c r="L2222" s="1"/>
      <c r="O2222" t="e">
        <f>VLOOKUP(H2222,'Paloma Priority'!$F$3:$G$540,2,FALSE)</f>
        <v>#N/A</v>
      </c>
    </row>
    <row r="2223" spans="12:15" x14ac:dyDescent="0.25">
      <c r="L2223" s="1"/>
      <c r="O2223" t="e">
        <f>VLOOKUP(H2223,'Paloma Priority'!$F$3:$G$540,2,FALSE)</f>
        <v>#N/A</v>
      </c>
    </row>
    <row r="2224" spans="12:15" x14ac:dyDescent="0.25">
      <c r="L2224" s="1"/>
      <c r="O2224" t="e">
        <f>VLOOKUP(H2224,'Paloma Priority'!$F$3:$G$540,2,FALSE)</f>
        <v>#N/A</v>
      </c>
    </row>
    <row r="2225" spans="12:15" x14ac:dyDescent="0.25">
      <c r="L2225" s="1"/>
      <c r="O2225" t="e">
        <f>VLOOKUP(H2225,'Paloma Priority'!$F$3:$G$540,2,FALSE)</f>
        <v>#N/A</v>
      </c>
    </row>
    <row r="2226" spans="12:15" x14ac:dyDescent="0.25">
      <c r="L2226" s="1"/>
      <c r="O2226" t="e">
        <f>VLOOKUP(H2226,'Paloma Priority'!$F$3:$G$540,2,FALSE)</f>
        <v>#N/A</v>
      </c>
    </row>
    <row r="2227" spans="12:15" x14ac:dyDescent="0.25">
      <c r="L2227" s="1"/>
      <c r="M2227" s="1"/>
      <c r="O2227" t="e">
        <f>VLOOKUP(H2227,'Paloma Priority'!$F$3:$G$540,2,FALSE)</f>
        <v>#N/A</v>
      </c>
    </row>
    <row r="2228" spans="12:15" x14ac:dyDescent="0.25">
      <c r="L2228" s="1"/>
      <c r="M2228" s="1"/>
      <c r="O2228" t="e">
        <f>VLOOKUP(H2228,'Paloma Priority'!$F$3:$G$540,2,FALSE)</f>
        <v>#N/A</v>
      </c>
    </row>
    <row r="2229" spans="12:15" x14ac:dyDescent="0.25">
      <c r="L2229" s="1"/>
      <c r="M2229" s="1"/>
      <c r="O2229" t="e">
        <f>VLOOKUP(H2229,'Paloma Priority'!$F$3:$G$540,2,FALSE)</f>
        <v>#N/A</v>
      </c>
    </row>
    <row r="2230" spans="12:15" x14ac:dyDescent="0.25">
      <c r="L2230" s="1"/>
      <c r="M2230" s="1"/>
      <c r="O2230" t="e">
        <f>VLOOKUP(H2230,'Paloma Priority'!$F$3:$G$540,2,FALSE)</f>
        <v>#N/A</v>
      </c>
    </row>
    <row r="2231" spans="12:15" x14ac:dyDescent="0.25">
      <c r="L2231" s="1"/>
      <c r="M2231" s="1"/>
      <c r="O2231" t="e">
        <f>VLOOKUP(H2231,'Paloma Priority'!$F$3:$G$540,2,FALSE)</f>
        <v>#N/A</v>
      </c>
    </row>
    <row r="2232" spans="12:15" x14ac:dyDescent="0.25">
      <c r="L2232" s="1"/>
      <c r="M2232" s="1"/>
      <c r="O2232" t="e">
        <f>VLOOKUP(H2232,'Paloma Priority'!$F$3:$G$540,2,FALSE)</f>
        <v>#N/A</v>
      </c>
    </row>
    <row r="2233" spans="12:15" x14ac:dyDescent="0.25">
      <c r="L2233" s="1"/>
      <c r="M2233" s="1"/>
      <c r="O2233" t="e">
        <f>VLOOKUP(H2233,'Paloma Priority'!$F$3:$G$540,2,FALSE)</f>
        <v>#N/A</v>
      </c>
    </row>
    <row r="2234" spans="12:15" x14ac:dyDescent="0.25">
      <c r="L2234" s="1"/>
      <c r="M2234" s="1"/>
      <c r="O2234" t="e">
        <f>VLOOKUP(H2234,'Paloma Priority'!$F$3:$G$540,2,FALSE)</f>
        <v>#N/A</v>
      </c>
    </row>
    <row r="2235" spans="12:15" x14ac:dyDescent="0.25">
      <c r="L2235" s="1"/>
      <c r="M2235" s="1"/>
      <c r="O2235" t="e">
        <f>VLOOKUP(H2235,'Paloma Priority'!$F$3:$G$540,2,FALSE)</f>
        <v>#N/A</v>
      </c>
    </row>
    <row r="2236" spans="12:15" x14ac:dyDescent="0.25">
      <c r="L2236" s="1"/>
      <c r="M2236" s="1"/>
      <c r="O2236" t="e">
        <f>VLOOKUP(H2236,'Paloma Priority'!$F$3:$G$540,2,FALSE)</f>
        <v>#N/A</v>
      </c>
    </row>
    <row r="2237" spans="12:15" x14ac:dyDescent="0.25">
      <c r="L2237" s="1"/>
      <c r="O2237" t="e">
        <f>VLOOKUP(H2237,'Paloma Priority'!$F$3:$G$540,2,FALSE)</f>
        <v>#N/A</v>
      </c>
    </row>
    <row r="2238" spans="12:15" x14ac:dyDescent="0.25">
      <c r="L2238" s="1"/>
      <c r="O2238" t="e">
        <f>VLOOKUP(H2238,'Paloma Priority'!$F$3:$G$540,2,FALSE)</f>
        <v>#N/A</v>
      </c>
    </row>
    <row r="2239" spans="12:15" x14ac:dyDescent="0.25">
      <c r="L2239" s="1"/>
      <c r="O2239" t="e">
        <f>VLOOKUP(H2239,'Paloma Priority'!$F$3:$G$540,2,FALSE)</f>
        <v>#N/A</v>
      </c>
    </row>
    <row r="2240" spans="12:15" x14ac:dyDescent="0.25">
      <c r="L2240" s="1"/>
      <c r="M2240" s="1"/>
      <c r="O2240" t="e">
        <f>VLOOKUP(H2240,'Paloma Priority'!$F$3:$G$540,2,FALSE)</f>
        <v>#N/A</v>
      </c>
    </row>
    <row r="2241" spans="12:15" x14ac:dyDescent="0.25">
      <c r="L2241" s="1"/>
      <c r="O2241" t="e">
        <f>VLOOKUP(H2241,'Paloma Priority'!$F$3:$G$540,2,FALSE)</f>
        <v>#N/A</v>
      </c>
    </row>
    <row r="2242" spans="12:15" x14ac:dyDescent="0.25">
      <c r="L2242" s="1"/>
      <c r="M2242" s="1"/>
      <c r="O2242" t="e">
        <f>VLOOKUP(H2242,'Paloma Priority'!$F$3:$G$540,2,FALSE)</f>
        <v>#N/A</v>
      </c>
    </row>
    <row r="2243" spans="12:15" x14ac:dyDescent="0.25">
      <c r="L2243" s="1"/>
      <c r="M2243" s="1"/>
      <c r="O2243" t="e">
        <f>VLOOKUP(H2243,'Paloma Priority'!$F$3:$G$540,2,FALSE)</f>
        <v>#N/A</v>
      </c>
    </row>
    <row r="2244" spans="12:15" x14ac:dyDescent="0.25">
      <c r="L2244" s="1"/>
      <c r="O2244" t="e">
        <f>VLOOKUP(H2244,'Paloma Priority'!$F$3:$G$540,2,FALSE)</f>
        <v>#N/A</v>
      </c>
    </row>
    <row r="2245" spans="12:15" x14ac:dyDescent="0.25">
      <c r="L2245" s="1"/>
      <c r="O2245" t="e">
        <f>VLOOKUP(H2245,'Paloma Priority'!$F$3:$G$540,2,FALSE)</f>
        <v>#N/A</v>
      </c>
    </row>
    <row r="2246" spans="12:15" x14ac:dyDescent="0.25">
      <c r="L2246" s="1"/>
      <c r="M2246" s="1"/>
      <c r="O2246" t="e">
        <f>VLOOKUP(H2246,'Paloma Priority'!$F$3:$G$540,2,FALSE)</f>
        <v>#N/A</v>
      </c>
    </row>
    <row r="2247" spans="12:15" x14ac:dyDescent="0.25">
      <c r="L2247" s="1"/>
      <c r="M2247" s="1"/>
      <c r="O2247" t="e">
        <f>VLOOKUP(H2247,'Paloma Priority'!$F$3:$G$540,2,FALSE)</f>
        <v>#N/A</v>
      </c>
    </row>
    <row r="2248" spans="12:15" x14ac:dyDescent="0.25">
      <c r="L2248" s="1"/>
      <c r="M2248" s="1"/>
      <c r="O2248" t="e">
        <f>VLOOKUP(H2248,'Paloma Priority'!$F$3:$G$540,2,FALSE)</f>
        <v>#N/A</v>
      </c>
    </row>
    <row r="2249" spans="12:15" x14ac:dyDescent="0.25">
      <c r="L2249" s="1"/>
      <c r="M2249" s="1"/>
      <c r="O2249" t="e">
        <f>VLOOKUP(H2249,'Paloma Priority'!$F$3:$G$540,2,FALSE)</f>
        <v>#N/A</v>
      </c>
    </row>
    <row r="2250" spans="12:15" x14ac:dyDescent="0.25">
      <c r="L2250" s="1"/>
      <c r="M2250" s="1"/>
      <c r="O2250" t="e">
        <f>VLOOKUP(H2250,'Paloma Priority'!$F$3:$G$540,2,FALSE)</f>
        <v>#N/A</v>
      </c>
    </row>
    <row r="2251" spans="12:15" x14ac:dyDescent="0.25">
      <c r="L2251" s="1"/>
      <c r="M2251" s="1"/>
      <c r="O2251" t="e">
        <f>VLOOKUP(H2251,'Paloma Priority'!$F$3:$G$540,2,FALSE)</f>
        <v>#N/A</v>
      </c>
    </row>
    <row r="2252" spans="12:15" x14ac:dyDescent="0.25">
      <c r="L2252" s="1"/>
      <c r="M2252" s="1"/>
      <c r="O2252" t="e">
        <f>VLOOKUP(H2252,'Paloma Priority'!$F$3:$G$540,2,FALSE)</f>
        <v>#N/A</v>
      </c>
    </row>
    <row r="2253" spans="12:15" x14ac:dyDescent="0.25">
      <c r="L2253" s="1"/>
      <c r="M2253" s="1"/>
      <c r="O2253" t="e">
        <f>VLOOKUP(H2253,'Paloma Priority'!$F$3:$G$540,2,FALSE)</f>
        <v>#N/A</v>
      </c>
    </row>
    <row r="2254" spans="12:15" x14ac:dyDescent="0.25">
      <c r="L2254" s="1"/>
      <c r="M2254" s="1"/>
      <c r="O2254" t="e">
        <f>VLOOKUP(H2254,'Paloma Priority'!$F$3:$G$540,2,FALSE)</f>
        <v>#N/A</v>
      </c>
    </row>
    <row r="2255" spans="12:15" x14ac:dyDescent="0.25">
      <c r="L2255" s="1"/>
      <c r="M2255" s="1"/>
      <c r="O2255" t="e">
        <f>VLOOKUP(H2255,'Paloma Priority'!$F$3:$G$540,2,FALSE)</f>
        <v>#N/A</v>
      </c>
    </row>
    <row r="2256" spans="12:15" x14ac:dyDescent="0.25">
      <c r="L2256" s="1"/>
      <c r="M2256" s="1"/>
      <c r="O2256" t="e">
        <f>VLOOKUP(H2256,'Paloma Priority'!$F$3:$G$540,2,FALSE)</f>
        <v>#N/A</v>
      </c>
    </row>
    <row r="2257" spans="12:15" x14ac:dyDescent="0.25">
      <c r="L2257" s="1"/>
      <c r="M2257" s="1"/>
      <c r="O2257" t="e">
        <f>VLOOKUP(H2257,'Paloma Priority'!$F$3:$G$540,2,FALSE)</f>
        <v>#N/A</v>
      </c>
    </row>
    <row r="2258" spans="12:15" x14ac:dyDescent="0.25">
      <c r="L2258" s="1"/>
      <c r="M2258" s="1"/>
      <c r="O2258" t="e">
        <f>VLOOKUP(H2258,'Paloma Priority'!$F$3:$G$540,2,FALSE)</f>
        <v>#N/A</v>
      </c>
    </row>
    <row r="2259" spans="12:15" x14ac:dyDescent="0.25">
      <c r="L2259" s="1"/>
      <c r="M2259" s="1"/>
      <c r="O2259" t="e">
        <f>VLOOKUP(H2259,'Paloma Priority'!$F$3:$G$540,2,FALSE)</f>
        <v>#N/A</v>
      </c>
    </row>
    <row r="2260" spans="12:15" x14ac:dyDescent="0.25">
      <c r="L2260" s="1"/>
      <c r="O2260" t="e">
        <f>VLOOKUP(H2260,'Paloma Priority'!$F$3:$G$540,2,FALSE)</f>
        <v>#N/A</v>
      </c>
    </row>
    <row r="2261" spans="12:15" x14ac:dyDescent="0.25">
      <c r="L2261" s="1"/>
      <c r="O2261" t="e">
        <f>VLOOKUP(H2261,'Paloma Priority'!$F$3:$G$540,2,FALSE)</f>
        <v>#N/A</v>
      </c>
    </row>
    <row r="2262" spans="12:15" x14ac:dyDescent="0.25">
      <c r="L2262" s="1"/>
      <c r="M2262" s="1"/>
      <c r="O2262" t="e">
        <f>VLOOKUP(H2262,'Paloma Priority'!$F$3:$G$540,2,FALSE)</f>
        <v>#N/A</v>
      </c>
    </row>
    <row r="2263" spans="12:15" x14ac:dyDescent="0.25">
      <c r="L2263" s="1"/>
      <c r="M2263" s="1"/>
      <c r="O2263" t="e">
        <f>VLOOKUP(H2263,'Paloma Priority'!$F$3:$G$540,2,FALSE)</f>
        <v>#N/A</v>
      </c>
    </row>
    <row r="2264" spans="12:15" x14ac:dyDescent="0.25">
      <c r="L2264" s="1"/>
      <c r="M2264" s="1"/>
      <c r="O2264" t="e">
        <f>VLOOKUP(H2264,'Paloma Priority'!$F$3:$G$540,2,FALSE)</f>
        <v>#N/A</v>
      </c>
    </row>
    <row r="2265" spans="12:15" x14ac:dyDescent="0.25">
      <c r="L2265" s="1"/>
      <c r="M2265" s="1"/>
      <c r="O2265" t="e">
        <f>VLOOKUP(H2265,'Paloma Priority'!$F$3:$G$540,2,FALSE)</f>
        <v>#N/A</v>
      </c>
    </row>
    <row r="2266" spans="12:15" x14ac:dyDescent="0.25">
      <c r="L2266" s="1"/>
      <c r="M2266" s="1"/>
      <c r="O2266" t="e">
        <f>VLOOKUP(H2266,'Paloma Priority'!$F$3:$G$540,2,FALSE)</f>
        <v>#N/A</v>
      </c>
    </row>
    <row r="2267" spans="12:15" x14ac:dyDescent="0.25">
      <c r="L2267" s="1"/>
      <c r="M2267" s="1"/>
      <c r="O2267" t="e">
        <f>VLOOKUP(H2267,'Paloma Priority'!$F$3:$G$540,2,FALSE)</f>
        <v>#N/A</v>
      </c>
    </row>
    <row r="2268" spans="12:15" x14ac:dyDescent="0.25">
      <c r="L2268" s="1"/>
      <c r="M2268" s="1"/>
      <c r="O2268" t="e">
        <f>VLOOKUP(H2268,'Paloma Priority'!$F$3:$G$540,2,FALSE)</f>
        <v>#N/A</v>
      </c>
    </row>
    <row r="2269" spans="12:15" x14ac:dyDescent="0.25">
      <c r="L2269" s="1"/>
      <c r="M2269" s="1"/>
      <c r="O2269" t="e">
        <f>VLOOKUP(H2269,'Paloma Priority'!$F$3:$G$540,2,FALSE)</f>
        <v>#N/A</v>
      </c>
    </row>
    <row r="2270" spans="12:15" x14ac:dyDescent="0.25">
      <c r="L2270" s="1"/>
      <c r="M2270" s="1"/>
      <c r="O2270" t="e">
        <f>VLOOKUP(H2270,'Paloma Priority'!$F$3:$G$540,2,FALSE)</f>
        <v>#N/A</v>
      </c>
    </row>
    <row r="2271" spans="12:15" x14ac:dyDescent="0.25">
      <c r="L2271" s="1"/>
      <c r="M2271" s="1"/>
      <c r="O2271" t="e">
        <f>VLOOKUP(H2271,'Paloma Priority'!$F$3:$G$540,2,FALSE)</f>
        <v>#N/A</v>
      </c>
    </row>
    <row r="2272" spans="12:15" x14ac:dyDescent="0.25">
      <c r="L2272" s="1"/>
      <c r="M2272" s="1"/>
      <c r="O2272" t="e">
        <f>VLOOKUP(H2272,'Paloma Priority'!$F$3:$G$540,2,FALSE)</f>
        <v>#N/A</v>
      </c>
    </row>
    <row r="2273" spans="12:15" x14ac:dyDescent="0.25">
      <c r="L2273" s="1"/>
      <c r="M2273" s="1"/>
      <c r="O2273" t="e">
        <f>VLOOKUP(H2273,'Paloma Priority'!$F$3:$G$540,2,FALSE)</f>
        <v>#N/A</v>
      </c>
    </row>
    <row r="2274" spans="12:15" x14ac:dyDescent="0.25">
      <c r="L2274" s="1"/>
      <c r="M2274" s="1"/>
      <c r="O2274" t="e">
        <f>VLOOKUP(H2274,'Paloma Priority'!$F$3:$G$540,2,FALSE)</f>
        <v>#N/A</v>
      </c>
    </row>
    <row r="2275" spans="12:15" x14ac:dyDescent="0.25">
      <c r="L2275" s="1"/>
      <c r="M2275" s="1"/>
      <c r="O2275" t="e">
        <f>VLOOKUP(H2275,'Paloma Priority'!$F$3:$G$540,2,FALSE)</f>
        <v>#N/A</v>
      </c>
    </row>
    <row r="2276" spans="12:15" x14ac:dyDescent="0.25">
      <c r="L2276" s="1"/>
      <c r="M2276" s="1"/>
      <c r="O2276" t="e">
        <f>VLOOKUP(H2276,'Paloma Priority'!$F$3:$G$540,2,FALSE)</f>
        <v>#N/A</v>
      </c>
    </row>
    <row r="2277" spans="12:15" x14ac:dyDescent="0.25">
      <c r="L2277" s="1"/>
      <c r="M2277" s="1"/>
      <c r="O2277" t="e">
        <f>VLOOKUP(H2277,'Paloma Priority'!$F$3:$G$540,2,FALSE)</f>
        <v>#N/A</v>
      </c>
    </row>
    <row r="2278" spans="12:15" x14ac:dyDescent="0.25">
      <c r="L2278" s="1"/>
      <c r="M2278" s="1"/>
      <c r="O2278" t="e">
        <f>VLOOKUP(H2278,'Paloma Priority'!$F$3:$G$540,2,FALSE)</f>
        <v>#N/A</v>
      </c>
    </row>
    <row r="2279" spans="12:15" x14ac:dyDescent="0.25">
      <c r="L2279" s="1"/>
      <c r="M2279" s="1"/>
      <c r="O2279" t="e">
        <f>VLOOKUP(H2279,'Paloma Priority'!$F$3:$G$540,2,FALSE)</f>
        <v>#N/A</v>
      </c>
    </row>
    <row r="2280" spans="12:15" x14ac:dyDescent="0.25">
      <c r="L2280" s="1"/>
      <c r="M2280" s="1"/>
      <c r="O2280" t="e">
        <f>VLOOKUP(H2280,'Paloma Priority'!$F$3:$G$540,2,FALSE)</f>
        <v>#N/A</v>
      </c>
    </row>
    <row r="2281" spans="12:15" x14ac:dyDescent="0.25">
      <c r="L2281" s="1"/>
      <c r="M2281" s="1"/>
      <c r="O2281" t="e">
        <f>VLOOKUP(H2281,'Paloma Priority'!$F$3:$G$540,2,FALSE)</f>
        <v>#N/A</v>
      </c>
    </row>
    <row r="2282" spans="12:15" x14ac:dyDescent="0.25">
      <c r="L2282" s="1"/>
      <c r="O2282" t="e">
        <f>VLOOKUP(H2282,'Paloma Priority'!$F$3:$G$540,2,FALSE)</f>
        <v>#N/A</v>
      </c>
    </row>
    <row r="2283" spans="12:15" x14ac:dyDescent="0.25">
      <c r="L2283" s="1"/>
      <c r="O2283" t="e">
        <f>VLOOKUP(H2283,'Paloma Priority'!$F$3:$G$540,2,FALSE)</f>
        <v>#N/A</v>
      </c>
    </row>
    <row r="2284" spans="12:15" x14ac:dyDescent="0.25">
      <c r="L2284" s="1"/>
      <c r="M2284" s="1"/>
      <c r="O2284" t="e">
        <f>VLOOKUP(H2284,'Paloma Priority'!$F$3:$G$540,2,FALSE)</f>
        <v>#N/A</v>
      </c>
    </row>
    <row r="2285" spans="12:15" x14ac:dyDescent="0.25">
      <c r="L2285" s="1"/>
      <c r="M2285" s="1"/>
      <c r="O2285" t="e">
        <f>VLOOKUP(H2285,'Paloma Priority'!$F$3:$G$540,2,FALSE)</f>
        <v>#N/A</v>
      </c>
    </row>
    <row r="2286" spans="12:15" x14ac:dyDescent="0.25">
      <c r="L2286" s="1"/>
      <c r="M2286" s="1"/>
      <c r="O2286" t="e">
        <f>VLOOKUP(H2286,'Paloma Priority'!$F$3:$G$540,2,FALSE)</f>
        <v>#N/A</v>
      </c>
    </row>
    <row r="2287" spans="12:15" x14ac:dyDescent="0.25">
      <c r="L2287" s="1"/>
      <c r="O2287" t="e">
        <f>VLOOKUP(H2287,'Paloma Priority'!$F$3:$G$540,2,FALSE)</f>
        <v>#N/A</v>
      </c>
    </row>
    <row r="2288" spans="12:15" x14ac:dyDescent="0.25">
      <c r="L2288" s="1"/>
      <c r="O2288" t="e">
        <f>VLOOKUP(H2288,'Paloma Priority'!$F$3:$G$540,2,FALSE)</f>
        <v>#N/A</v>
      </c>
    </row>
    <row r="2289" spans="12:15" x14ac:dyDescent="0.25">
      <c r="L2289" s="1"/>
      <c r="M2289" s="1"/>
      <c r="O2289" t="e">
        <f>VLOOKUP(H2289,'Paloma Priority'!$F$3:$G$540,2,FALSE)</f>
        <v>#N/A</v>
      </c>
    </row>
    <row r="2290" spans="12:15" x14ac:dyDescent="0.25">
      <c r="L2290" s="1"/>
      <c r="O2290" t="e">
        <f>VLOOKUP(H2290,'Paloma Priority'!$F$3:$G$540,2,FALSE)</f>
        <v>#N/A</v>
      </c>
    </row>
    <row r="2291" spans="12:15" x14ac:dyDescent="0.25">
      <c r="L2291" s="1"/>
      <c r="O2291" t="e">
        <f>VLOOKUP(H2291,'Paloma Priority'!$F$3:$G$540,2,FALSE)</f>
        <v>#N/A</v>
      </c>
    </row>
    <row r="2292" spans="12:15" x14ac:dyDescent="0.25">
      <c r="L2292" s="1"/>
      <c r="O2292" t="e">
        <f>VLOOKUP(H2292,'Paloma Priority'!$F$3:$G$540,2,FALSE)</f>
        <v>#N/A</v>
      </c>
    </row>
    <row r="2293" spans="12:15" x14ac:dyDescent="0.25">
      <c r="L2293" s="1"/>
      <c r="O2293" t="e">
        <f>VLOOKUP(H2293,'Paloma Priority'!$F$3:$G$540,2,FALSE)</f>
        <v>#N/A</v>
      </c>
    </row>
    <row r="2294" spans="12:15" x14ac:dyDescent="0.25">
      <c r="L2294" s="1"/>
      <c r="O2294" t="e">
        <f>VLOOKUP(H2294,'Paloma Priority'!$F$3:$G$540,2,FALSE)</f>
        <v>#N/A</v>
      </c>
    </row>
    <row r="2295" spans="12:15" x14ac:dyDescent="0.25">
      <c r="L2295" s="1"/>
      <c r="O2295" t="e">
        <f>VLOOKUP(H2295,'Paloma Priority'!$F$3:$G$540,2,FALSE)</f>
        <v>#N/A</v>
      </c>
    </row>
    <row r="2296" spans="12:15" x14ac:dyDescent="0.25">
      <c r="L2296" s="1"/>
      <c r="O2296" t="e">
        <f>VLOOKUP(H2296,'Paloma Priority'!$F$3:$G$540,2,FALSE)</f>
        <v>#N/A</v>
      </c>
    </row>
    <row r="2297" spans="12:15" x14ac:dyDescent="0.25">
      <c r="L2297" s="1"/>
      <c r="O2297" t="e">
        <f>VLOOKUP(H2297,'Paloma Priority'!$F$3:$G$540,2,FALSE)</f>
        <v>#N/A</v>
      </c>
    </row>
    <row r="2298" spans="12:15" x14ac:dyDescent="0.25">
      <c r="O2298" t="e">
        <f>VLOOKUP(H2298,'Paloma Priority'!$F$3:$G$540,2,FALSE)</f>
        <v>#N/A</v>
      </c>
    </row>
    <row r="2299" spans="12:15" x14ac:dyDescent="0.25">
      <c r="O2299" t="e">
        <f>VLOOKUP(H2299,'Paloma Priority'!$F$3:$G$540,2,FALSE)</f>
        <v>#N/A</v>
      </c>
    </row>
    <row r="2300" spans="12:15" x14ac:dyDescent="0.25">
      <c r="L2300" s="1"/>
      <c r="M2300" s="1"/>
      <c r="O2300" t="e">
        <f>VLOOKUP(H2300,'Paloma Priority'!$F$3:$G$540,2,FALSE)</f>
        <v>#N/A</v>
      </c>
    </row>
    <row r="2301" spans="12:15" x14ac:dyDescent="0.25">
      <c r="L2301" s="1"/>
      <c r="M2301" s="1"/>
      <c r="O2301" t="e">
        <f>VLOOKUP(H2301,'Paloma Priority'!$F$3:$G$540,2,FALSE)</f>
        <v>#N/A</v>
      </c>
    </row>
    <row r="2302" spans="12:15" x14ac:dyDescent="0.25">
      <c r="L2302" s="1"/>
      <c r="M2302" s="1"/>
      <c r="O2302" t="e">
        <f>VLOOKUP(H2302,'Paloma Priority'!$F$3:$G$540,2,FALSE)</f>
        <v>#N/A</v>
      </c>
    </row>
    <row r="2303" spans="12:15" x14ac:dyDescent="0.25">
      <c r="L2303" s="1"/>
      <c r="M2303" s="1"/>
      <c r="O2303" t="e">
        <f>VLOOKUP(H2303,'Paloma Priority'!$F$3:$G$540,2,FALSE)</f>
        <v>#N/A</v>
      </c>
    </row>
    <row r="2304" spans="12:15" x14ac:dyDescent="0.25">
      <c r="L2304" s="1"/>
      <c r="M2304" s="1"/>
      <c r="O2304" t="e">
        <f>VLOOKUP(H2304,'Paloma Priority'!$F$3:$G$540,2,FALSE)</f>
        <v>#N/A</v>
      </c>
    </row>
    <row r="2305" spans="12:15" x14ac:dyDescent="0.25">
      <c r="L2305" s="1"/>
      <c r="O2305" t="e">
        <f>VLOOKUP(H2305,'Paloma Priority'!$F$3:$G$540,2,FALSE)</f>
        <v>#N/A</v>
      </c>
    </row>
    <row r="2306" spans="12:15" x14ac:dyDescent="0.25">
      <c r="L2306" s="1"/>
      <c r="M2306" s="1"/>
      <c r="O2306" t="e">
        <f>VLOOKUP(H2306,'Paloma Priority'!$F$3:$G$540,2,FALSE)</f>
        <v>#N/A</v>
      </c>
    </row>
    <row r="2307" spans="12:15" x14ac:dyDescent="0.25">
      <c r="L2307" s="1"/>
      <c r="M2307" s="1"/>
      <c r="O2307" t="e">
        <f>VLOOKUP(H2307,'Paloma Priority'!$F$3:$G$540,2,FALSE)</f>
        <v>#N/A</v>
      </c>
    </row>
    <row r="2308" spans="12:15" x14ac:dyDescent="0.25">
      <c r="L2308" s="1"/>
      <c r="M2308" s="1"/>
      <c r="O2308" t="e">
        <f>VLOOKUP(H2308,'Paloma Priority'!$F$3:$G$540,2,FALSE)</f>
        <v>#N/A</v>
      </c>
    </row>
    <row r="2309" spans="12:15" x14ac:dyDescent="0.25">
      <c r="L2309" s="1"/>
      <c r="M2309" s="1"/>
      <c r="O2309" t="e">
        <f>VLOOKUP(H2309,'Paloma Priority'!$F$3:$G$540,2,FALSE)</f>
        <v>#N/A</v>
      </c>
    </row>
    <row r="2310" spans="12:15" x14ac:dyDescent="0.25">
      <c r="L2310" s="1"/>
      <c r="M2310" s="1"/>
      <c r="O2310" t="e">
        <f>VLOOKUP(H2310,'Paloma Priority'!$F$3:$G$540,2,FALSE)</f>
        <v>#N/A</v>
      </c>
    </row>
    <row r="2311" spans="12:15" x14ac:dyDescent="0.25">
      <c r="L2311" s="1"/>
      <c r="M2311" s="1"/>
      <c r="O2311" t="e">
        <f>VLOOKUP(H2311,'Paloma Priority'!$F$3:$G$540,2,FALSE)</f>
        <v>#N/A</v>
      </c>
    </row>
    <row r="2312" spans="12:15" x14ac:dyDescent="0.25">
      <c r="L2312" s="1"/>
      <c r="M2312" s="1"/>
      <c r="O2312" t="e">
        <f>VLOOKUP(H2312,'Paloma Priority'!$F$3:$G$540,2,FALSE)</f>
        <v>#N/A</v>
      </c>
    </row>
    <row r="2313" spans="12:15" x14ac:dyDescent="0.25">
      <c r="L2313" s="1"/>
      <c r="M2313" s="1"/>
      <c r="O2313" t="e">
        <f>VLOOKUP(H2313,'Paloma Priority'!$F$3:$G$540,2,FALSE)</f>
        <v>#N/A</v>
      </c>
    </row>
    <row r="2314" spans="12:15" x14ac:dyDescent="0.25">
      <c r="L2314" s="1"/>
      <c r="O2314" t="e">
        <f>VLOOKUP(H2314,'Paloma Priority'!$F$3:$G$540,2,FALSE)</f>
        <v>#N/A</v>
      </c>
    </row>
    <row r="2315" spans="12:15" x14ac:dyDescent="0.25">
      <c r="L2315" s="1"/>
      <c r="M2315" s="1"/>
      <c r="O2315" t="e">
        <f>VLOOKUP(H2315,'Paloma Priority'!$F$3:$G$540,2,FALSE)</f>
        <v>#N/A</v>
      </c>
    </row>
    <row r="2316" spans="12:15" x14ac:dyDescent="0.25">
      <c r="L2316" s="1"/>
      <c r="O2316" t="e">
        <f>VLOOKUP(H2316,'Paloma Priority'!$F$3:$G$540,2,FALSE)</f>
        <v>#N/A</v>
      </c>
    </row>
    <row r="2317" spans="12:15" x14ac:dyDescent="0.25">
      <c r="L2317" s="1"/>
      <c r="O2317" t="e">
        <f>VLOOKUP(H2317,'Paloma Priority'!$F$3:$G$540,2,FALSE)</f>
        <v>#N/A</v>
      </c>
    </row>
    <row r="2318" spans="12:15" x14ac:dyDescent="0.25">
      <c r="L2318" s="1"/>
      <c r="M2318" s="1"/>
      <c r="O2318" t="e">
        <f>VLOOKUP(H2318,'Paloma Priority'!$F$3:$G$540,2,FALSE)</f>
        <v>#N/A</v>
      </c>
    </row>
    <row r="2319" spans="12:15" x14ac:dyDescent="0.25">
      <c r="L2319" s="1"/>
      <c r="M2319" s="1"/>
      <c r="O2319" t="e">
        <f>VLOOKUP(H2319,'Paloma Priority'!$F$3:$G$540,2,FALSE)</f>
        <v>#N/A</v>
      </c>
    </row>
    <row r="2320" spans="12:15" x14ac:dyDescent="0.25">
      <c r="L2320" s="1"/>
      <c r="M2320" s="1"/>
      <c r="O2320" t="e">
        <f>VLOOKUP(H2320,'Paloma Priority'!$F$3:$G$540,2,FALSE)</f>
        <v>#N/A</v>
      </c>
    </row>
    <row r="2321" spans="12:15" x14ac:dyDescent="0.25">
      <c r="L2321" s="1"/>
      <c r="M2321" s="1"/>
      <c r="O2321" t="e">
        <f>VLOOKUP(H2321,'Paloma Priority'!$F$3:$G$540,2,FALSE)</f>
        <v>#N/A</v>
      </c>
    </row>
    <row r="2322" spans="12:15" x14ac:dyDescent="0.25">
      <c r="L2322" s="1"/>
      <c r="M2322" s="1"/>
      <c r="O2322" t="e">
        <f>VLOOKUP(H2322,'Paloma Priority'!$F$3:$G$540,2,FALSE)</f>
        <v>#N/A</v>
      </c>
    </row>
    <row r="2323" spans="12:15" x14ac:dyDescent="0.25">
      <c r="L2323" s="1"/>
      <c r="M2323" s="1"/>
      <c r="O2323" t="e">
        <f>VLOOKUP(H2323,'Paloma Priority'!$F$3:$G$540,2,FALSE)</f>
        <v>#N/A</v>
      </c>
    </row>
    <row r="2324" spans="12:15" x14ac:dyDescent="0.25">
      <c r="L2324" s="1"/>
      <c r="M2324" s="1"/>
      <c r="O2324" t="e">
        <f>VLOOKUP(H2324,'Paloma Priority'!$F$3:$G$540,2,FALSE)</f>
        <v>#N/A</v>
      </c>
    </row>
    <row r="2325" spans="12:15" x14ac:dyDescent="0.25">
      <c r="L2325" s="1"/>
      <c r="O2325" t="e">
        <f>VLOOKUP(H2325,'Paloma Priority'!$F$3:$G$540,2,FALSE)</f>
        <v>#N/A</v>
      </c>
    </row>
    <row r="2326" spans="12:15" x14ac:dyDescent="0.25">
      <c r="L2326" s="1"/>
      <c r="M2326" s="1"/>
      <c r="O2326" t="e">
        <f>VLOOKUP(H2326,'Paloma Priority'!$F$3:$G$540,2,FALSE)</f>
        <v>#N/A</v>
      </c>
    </row>
    <row r="2327" spans="12:15" x14ac:dyDescent="0.25">
      <c r="L2327" s="1"/>
      <c r="O2327" t="e">
        <f>VLOOKUP(H2327,'Paloma Priority'!$F$3:$G$540,2,FALSE)</f>
        <v>#N/A</v>
      </c>
    </row>
    <row r="2328" spans="12:15" x14ac:dyDescent="0.25">
      <c r="L2328" s="1"/>
      <c r="M2328" s="1"/>
      <c r="O2328" t="e">
        <f>VLOOKUP(H2328,'Paloma Priority'!$F$3:$G$540,2,FALSE)</f>
        <v>#N/A</v>
      </c>
    </row>
    <row r="2329" spans="12:15" x14ac:dyDescent="0.25">
      <c r="L2329" s="1"/>
      <c r="M2329" s="1"/>
      <c r="O2329" t="e">
        <f>VLOOKUP(H2329,'Paloma Priority'!$F$3:$G$540,2,FALSE)</f>
        <v>#N/A</v>
      </c>
    </row>
    <row r="2330" spans="12:15" x14ac:dyDescent="0.25">
      <c r="L2330" s="1"/>
      <c r="O2330" t="e">
        <f>VLOOKUP(H2330,'Paloma Priority'!$F$3:$G$540,2,FALSE)</f>
        <v>#N/A</v>
      </c>
    </row>
    <row r="2331" spans="12:15" x14ac:dyDescent="0.25">
      <c r="L2331" s="1"/>
      <c r="M2331" s="1"/>
      <c r="O2331" t="e">
        <f>VLOOKUP(H2331,'Paloma Priority'!$F$3:$G$540,2,FALSE)</f>
        <v>#N/A</v>
      </c>
    </row>
    <row r="2332" spans="12:15" x14ac:dyDescent="0.25">
      <c r="L2332" s="1"/>
      <c r="O2332" t="e">
        <f>VLOOKUP(H2332,'Paloma Priority'!$F$3:$G$540,2,FALSE)</f>
        <v>#N/A</v>
      </c>
    </row>
    <row r="2333" spans="12:15" x14ac:dyDescent="0.25">
      <c r="L2333" s="1"/>
      <c r="M2333" s="1"/>
      <c r="O2333" t="e">
        <f>VLOOKUP(H2333,'Paloma Priority'!$F$3:$G$540,2,FALSE)</f>
        <v>#N/A</v>
      </c>
    </row>
    <row r="2334" spans="12:15" x14ac:dyDescent="0.25">
      <c r="L2334" s="1"/>
      <c r="M2334" s="1"/>
      <c r="O2334" t="e">
        <f>VLOOKUP(H2334,'Paloma Priority'!$F$3:$G$540,2,FALSE)</f>
        <v>#N/A</v>
      </c>
    </row>
    <row r="2335" spans="12:15" x14ac:dyDescent="0.25">
      <c r="L2335" s="1"/>
      <c r="M2335" s="1"/>
      <c r="O2335" t="e">
        <f>VLOOKUP(H2335,'Paloma Priority'!$F$3:$G$540,2,FALSE)</f>
        <v>#N/A</v>
      </c>
    </row>
    <row r="2336" spans="12:15" x14ac:dyDescent="0.25">
      <c r="L2336" s="1"/>
      <c r="O2336" t="e">
        <f>VLOOKUP(H2336,'Paloma Priority'!$F$3:$G$540,2,FALSE)</f>
        <v>#N/A</v>
      </c>
    </row>
    <row r="2337" spans="12:15" x14ac:dyDescent="0.25">
      <c r="L2337" s="1"/>
      <c r="O2337" t="e">
        <f>VLOOKUP(H2337,'Paloma Priority'!$F$3:$G$540,2,FALSE)</f>
        <v>#N/A</v>
      </c>
    </row>
    <row r="2338" spans="12:15" x14ac:dyDescent="0.25">
      <c r="L2338" s="1"/>
      <c r="M2338" s="1"/>
      <c r="O2338" t="e">
        <f>VLOOKUP(H2338,'Paloma Priority'!$F$3:$G$540,2,FALSE)</f>
        <v>#N/A</v>
      </c>
    </row>
    <row r="2339" spans="12:15" x14ac:dyDescent="0.25">
      <c r="L2339" s="1"/>
      <c r="O2339" t="e">
        <f>VLOOKUP(H2339,'Paloma Priority'!$F$3:$G$540,2,FALSE)</f>
        <v>#N/A</v>
      </c>
    </row>
    <row r="2340" spans="12:15" x14ac:dyDescent="0.25">
      <c r="L2340" s="1"/>
      <c r="O2340" t="e">
        <f>VLOOKUP(H2340,'Paloma Priority'!$F$3:$G$540,2,FALSE)</f>
        <v>#N/A</v>
      </c>
    </row>
    <row r="2341" spans="12:15" x14ac:dyDescent="0.25">
      <c r="L2341" s="1"/>
      <c r="M2341" s="1"/>
      <c r="O2341" t="e">
        <f>VLOOKUP(H2341,'Paloma Priority'!$F$3:$G$540,2,FALSE)</f>
        <v>#N/A</v>
      </c>
    </row>
    <row r="2342" spans="12:15" x14ac:dyDescent="0.25">
      <c r="L2342" s="1"/>
      <c r="M2342" s="1"/>
      <c r="O2342" t="e">
        <f>VLOOKUP(H2342,'Paloma Priority'!$F$3:$G$540,2,FALSE)</f>
        <v>#N/A</v>
      </c>
    </row>
    <row r="2343" spans="12:15" x14ac:dyDescent="0.25">
      <c r="L2343" s="1"/>
      <c r="M2343" s="1"/>
      <c r="O2343" t="e">
        <f>VLOOKUP(H2343,'Paloma Priority'!$F$3:$G$540,2,FALSE)</f>
        <v>#N/A</v>
      </c>
    </row>
    <row r="2344" spans="12:15" x14ac:dyDescent="0.25">
      <c r="L2344" s="1"/>
      <c r="M2344" s="1"/>
      <c r="O2344" t="e">
        <f>VLOOKUP(H2344,'Paloma Priority'!$F$3:$G$540,2,FALSE)</f>
        <v>#N/A</v>
      </c>
    </row>
    <row r="2345" spans="12:15" x14ac:dyDescent="0.25">
      <c r="L2345" s="1"/>
      <c r="M2345" s="1"/>
      <c r="O2345" t="e">
        <f>VLOOKUP(H2345,'Paloma Priority'!$F$3:$G$540,2,FALSE)</f>
        <v>#N/A</v>
      </c>
    </row>
    <row r="2346" spans="12:15" x14ac:dyDescent="0.25">
      <c r="L2346" s="1"/>
      <c r="M2346" s="1"/>
      <c r="O2346" t="e">
        <f>VLOOKUP(H2346,'Paloma Priority'!$F$3:$G$540,2,FALSE)</f>
        <v>#N/A</v>
      </c>
    </row>
    <row r="2347" spans="12:15" x14ac:dyDescent="0.25">
      <c r="L2347" s="1"/>
      <c r="M2347" s="1"/>
      <c r="O2347" t="e">
        <f>VLOOKUP(H2347,'Paloma Priority'!$F$3:$G$540,2,FALSE)</f>
        <v>#N/A</v>
      </c>
    </row>
    <row r="2348" spans="12:15" x14ac:dyDescent="0.25">
      <c r="L2348" s="1"/>
      <c r="M2348" s="1"/>
      <c r="O2348" t="e">
        <f>VLOOKUP(H2348,'Paloma Priority'!$F$3:$G$540,2,FALSE)</f>
        <v>#N/A</v>
      </c>
    </row>
    <row r="2349" spans="12:15" x14ac:dyDescent="0.25">
      <c r="L2349" s="1"/>
      <c r="M2349" s="1"/>
      <c r="O2349" t="e">
        <f>VLOOKUP(H2349,'Paloma Priority'!$F$3:$G$540,2,FALSE)</f>
        <v>#N/A</v>
      </c>
    </row>
    <row r="2350" spans="12:15" x14ac:dyDescent="0.25">
      <c r="L2350" s="1"/>
      <c r="M2350" s="1"/>
      <c r="O2350" t="e">
        <f>VLOOKUP(H2350,'Paloma Priority'!$F$3:$G$540,2,FALSE)</f>
        <v>#N/A</v>
      </c>
    </row>
    <row r="2351" spans="12:15" x14ac:dyDescent="0.25">
      <c r="L2351" s="1"/>
      <c r="O2351" t="e">
        <f>VLOOKUP(H2351,'Paloma Priority'!$F$3:$G$540,2,FALSE)</f>
        <v>#N/A</v>
      </c>
    </row>
    <row r="2352" spans="12:15" x14ac:dyDescent="0.25">
      <c r="L2352" s="1"/>
      <c r="M2352" s="1"/>
      <c r="O2352" t="e">
        <f>VLOOKUP(H2352,'Paloma Priority'!$F$3:$G$540,2,FALSE)</f>
        <v>#N/A</v>
      </c>
    </row>
    <row r="2353" spans="12:15" x14ac:dyDescent="0.25">
      <c r="L2353" s="1"/>
      <c r="M2353" s="1"/>
      <c r="O2353" t="e">
        <f>VLOOKUP(H2353,'Paloma Priority'!$F$3:$G$540,2,FALSE)</f>
        <v>#N/A</v>
      </c>
    </row>
    <row r="2354" spans="12:15" x14ac:dyDescent="0.25">
      <c r="L2354" s="1"/>
      <c r="M2354" s="1"/>
      <c r="O2354" t="e">
        <f>VLOOKUP(H2354,'Paloma Priority'!$F$3:$G$540,2,FALSE)</f>
        <v>#N/A</v>
      </c>
    </row>
    <row r="2355" spans="12:15" x14ac:dyDescent="0.25">
      <c r="L2355" s="1"/>
      <c r="M2355" s="1"/>
      <c r="O2355" t="e">
        <f>VLOOKUP(H2355,'Paloma Priority'!$F$3:$G$540,2,FALSE)</f>
        <v>#N/A</v>
      </c>
    </row>
    <row r="2356" spans="12:15" x14ac:dyDescent="0.25">
      <c r="L2356" s="1"/>
      <c r="M2356" s="1"/>
      <c r="O2356" t="e">
        <f>VLOOKUP(H2356,'Paloma Priority'!$F$3:$G$540,2,FALSE)</f>
        <v>#N/A</v>
      </c>
    </row>
    <row r="2357" spans="12:15" x14ac:dyDescent="0.25">
      <c r="L2357" s="1"/>
      <c r="O2357" t="e">
        <f>VLOOKUP(H2357,'Paloma Priority'!$F$3:$G$540,2,FALSE)</f>
        <v>#N/A</v>
      </c>
    </row>
    <row r="2358" spans="12:15" x14ac:dyDescent="0.25">
      <c r="L2358" s="1"/>
      <c r="O2358" t="e">
        <f>VLOOKUP(H2358,'Paloma Priority'!$F$3:$G$540,2,FALSE)</f>
        <v>#N/A</v>
      </c>
    </row>
    <row r="2359" spans="12:15" x14ac:dyDescent="0.25">
      <c r="L2359" s="1"/>
      <c r="O2359" t="e">
        <f>VLOOKUP(H2359,'Paloma Priority'!$F$3:$G$540,2,FALSE)</f>
        <v>#N/A</v>
      </c>
    </row>
    <row r="2360" spans="12:15" x14ac:dyDescent="0.25">
      <c r="L2360" s="1"/>
      <c r="O2360" t="e">
        <f>VLOOKUP(H2360,'Paloma Priority'!$F$3:$G$540,2,FALSE)</f>
        <v>#N/A</v>
      </c>
    </row>
    <row r="2361" spans="12:15" x14ac:dyDescent="0.25">
      <c r="L2361" s="1"/>
      <c r="O2361" t="e">
        <f>VLOOKUP(H2361,'Paloma Priority'!$F$3:$G$540,2,FALSE)</f>
        <v>#N/A</v>
      </c>
    </row>
    <row r="2362" spans="12:15" x14ac:dyDescent="0.25">
      <c r="L2362" s="1"/>
      <c r="O2362" t="e">
        <f>VLOOKUP(H2362,'Paloma Priority'!$F$3:$G$540,2,FALSE)</f>
        <v>#N/A</v>
      </c>
    </row>
    <row r="2363" spans="12:15" x14ac:dyDescent="0.25">
      <c r="L2363" s="1"/>
      <c r="M2363" s="1"/>
      <c r="O2363" t="e">
        <f>VLOOKUP(H2363,'Paloma Priority'!$F$3:$G$540,2,FALSE)</f>
        <v>#N/A</v>
      </c>
    </row>
    <row r="2364" spans="12:15" x14ac:dyDescent="0.25">
      <c r="L2364" s="1"/>
      <c r="M2364" s="1"/>
      <c r="O2364" t="e">
        <f>VLOOKUP(H2364,'Paloma Priority'!$F$3:$G$540,2,FALSE)</f>
        <v>#N/A</v>
      </c>
    </row>
    <row r="2365" spans="12:15" x14ac:dyDescent="0.25">
      <c r="L2365" s="1"/>
      <c r="M2365" s="1"/>
      <c r="O2365" t="e">
        <f>VLOOKUP(H2365,'Paloma Priority'!$F$3:$G$540,2,FALSE)</f>
        <v>#N/A</v>
      </c>
    </row>
    <row r="2366" spans="12:15" x14ac:dyDescent="0.25">
      <c r="L2366" s="1"/>
      <c r="M2366" s="1"/>
      <c r="O2366" t="e">
        <f>VLOOKUP(H2366,'Paloma Priority'!$F$3:$G$540,2,FALSE)</f>
        <v>#N/A</v>
      </c>
    </row>
    <row r="2367" spans="12:15" x14ac:dyDescent="0.25">
      <c r="L2367" s="1"/>
      <c r="M2367" s="1"/>
      <c r="O2367" t="e">
        <f>VLOOKUP(H2367,'Paloma Priority'!$F$3:$G$540,2,FALSE)</f>
        <v>#N/A</v>
      </c>
    </row>
    <row r="2368" spans="12:15" x14ac:dyDescent="0.25">
      <c r="L2368" s="1"/>
      <c r="O2368" t="e">
        <f>VLOOKUP(H2368,'Paloma Priority'!$F$3:$G$540,2,FALSE)</f>
        <v>#N/A</v>
      </c>
    </row>
    <row r="2369" spans="12:15" x14ac:dyDescent="0.25">
      <c r="L2369" s="1"/>
      <c r="M2369" s="1"/>
      <c r="O2369" t="e">
        <f>VLOOKUP(H2369,'Paloma Priority'!$F$3:$G$540,2,FALSE)</f>
        <v>#N/A</v>
      </c>
    </row>
    <row r="2370" spans="12:15" x14ac:dyDescent="0.25">
      <c r="L2370" s="1"/>
      <c r="M2370" s="1"/>
      <c r="O2370" t="e">
        <f>VLOOKUP(H2370,'Paloma Priority'!$F$3:$G$540,2,FALSE)</f>
        <v>#N/A</v>
      </c>
    </row>
    <row r="2371" spans="12:15" x14ac:dyDescent="0.25">
      <c r="L2371" s="1"/>
      <c r="M2371" s="1"/>
      <c r="O2371" t="e">
        <f>VLOOKUP(H2371,'Paloma Priority'!$F$3:$G$540,2,FALSE)</f>
        <v>#N/A</v>
      </c>
    </row>
    <row r="2372" spans="12:15" x14ac:dyDescent="0.25">
      <c r="L2372" s="1"/>
      <c r="M2372" s="1"/>
      <c r="O2372" t="e">
        <f>VLOOKUP(H2372,'Paloma Priority'!$F$3:$G$540,2,FALSE)</f>
        <v>#N/A</v>
      </c>
    </row>
    <row r="2373" spans="12:15" x14ac:dyDescent="0.25">
      <c r="L2373" s="1"/>
      <c r="M2373" s="1"/>
      <c r="O2373" t="e">
        <f>VLOOKUP(H2373,'Paloma Priority'!$F$3:$G$540,2,FALSE)</f>
        <v>#N/A</v>
      </c>
    </row>
    <row r="2374" spans="12:15" x14ac:dyDescent="0.25">
      <c r="L2374" s="1"/>
      <c r="M2374" s="1"/>
      <c r="O2374" t="e">
        <f>VLOOKUP(H2374,'Paloma Priority'!$F$3:$G$540,2,FALSE)</f>
        <v>#N/A</v>
      </c>
    </row>
    <row r="2375" spans="12:15" x14ac:dyDescent="0.25">
      <c r="L2375" s="1"/>
      <c r="M2375" s="1"/>
      <c r="O2375" t="e">
        <f>VLOOKUP(H2375,'Paloma Priority'!$F$3:$G$540,2,FALSE)</f>
        <v>#N/A</v>
      </c>
    </row>
    <row r="2376" spans="12:15" x14ac:dyDescent="0.25">
      <c r="L2376" s="1"/>
      <c r="M2376" s="1"/>
      <c r="O2376" t="e">
        <f>VLOOKUP(H2376,'Paloma Priority'!$F$3:$G$540,2,FALSE)</f>
        <v>#N/A</v>
      </c>
    </row>
    <row r="2377" spans="12:15" x14ac:dyDescent="0.25">
      <c r="L2377" s="1"/>
      <c r="M2377" s="1"/>
      <c r="O2377" t="e">
        <f>VLOOKUP(H2377,'Paloma Priority'!$F$3:$G$540,2,FALSE)</f>
        <v>#N/A</v>
      </c>
    </row>
    <row r="2378" spans="12:15" x14ac:dyDescent="0.25">
      <c r="L2378" s="1"/>
      <c r="M2378" s="1"/>
      <c r="O2378" t="e">
        <f>VLOOKUP(H2378,'Paloma Priority'!$F$3:$G$540,2,FALSE)</f>
        <v>#N/A</v>
      </c>
    </row>
    <row r="2379" spans="12:15" x14ac:dyDescent="0.25">
      <c r="L2379" s="1"/>
      <c r="M2379" s="1"/>
      <c r="O2379" t="e">
        <f>VLOOKUP(H2379,'Paloma Priority'!$F$3:$G$540,2,FALSE)</f>
        <v>#N/A</v>
      </c>
    </row>
    <row r="2380" spans="12:15" x14ac:dyDescent="0.25">
      <c r="L2380" s="1"/>
      <c r="M2380" s="1"/>
      <c r="O2380" t="e">
        <f>VLOOKUP(H2380,'Paloma Priority'!$F$3:$G$540,2,FALSE)</f>
        <v>#N/A</v>
      </c>
    </row>
    <row r="2381" spans="12:15" x14ac:dyDescent="0.25">
      <c r="L2381" s="1"/>
      <c r="M2381" s="1"/>
      <c r="O2381" t="e">
        <f>VLOOKUP(H2381,'Paloma Priority'!$F$3:$G$540,2,FALSE)</f>
        <v>#N/A</v>
      </c>
    </row>
    <row r="2382" spans="12:15" x14ac:dyDescent="0.25">
      <c r="L2382" s="1"/>
      <c r="O2382" t="e">
        <f>VLOOKUP(H2382,'Paloma Priority'!$F$3:$G$540,2,FALSE)</f>
        <v>#N/A</v>
      </c>
    </row>
    <row r="2383" spans="12:15" x14ac:dyDescent="0.25">
      <c r="L2383" s="1"/>
      <c r="O2383" t="e">
        <f>VLOOKUP(H2383,'Paloma Priority'!$F$3:$G$540,2,FALSE)</f>
        <v>#N/A</v>
      </c>
    </row>
    <row r="2384" spans="12:15" x14ac:dyDescent="0.25">
      <c r="L2384" s="1"/>
      <c r="O2384" t="e">
        <f>VLOOKUP(H2384,'Paloma Priority'!$F$3:$G$540,2,FALSE)</f>
        <v>#N/A</v>
      </c>
    </row>
    <row r="2385" spans="12:15" x14ac:dyDescent="0.25">
      <c r="L2385" s="1"/>
      <c r="O2385" t="e">
        <f>VLOOKUP(H2385,'Paloma Priority'!$F$3:$G$540,2,FALSE)</f>
        <v>#N/A</v>
      </c>
    </row>
    <row r="2386" spans="12:15" x14ac:dyDescent="0.25">
      <c r="L2386" s="1"/>
      <c r="M2386" s="1"/>
      <c r="O2386" t="e">
        <f>VLOOKUP(H2386,'Paloma Priority'!$F$3:$G$540,2,FALSE)</f>
        <v>#N/A</v>
      </c>
    </row>
    <row r="2387" spans="12:15" x14ac:dyDescent="0.25">
      <c r="L2387" s="1"/>
      <c r="O2387" t="e">
        <f>VLOOKUP(H2387,'Paloma Priority'!$F$3:$G$540,2,FALSE)</f>
        <v>#N/A</v>
      </c>
    </row>
    <row r="2388" spans="12:15" x14ac:dyDescent="0.25">
      <c r="L2388" s="1"/>
      <c r="M2388" s="1"/>
      <c r="O2388" t="e">
        <f>VLOOKUP(H2388,'Paloma Priority'!$F$3:$G$540,2,FALSE)</f>
        <v>#N/A</v>
      </c>
    </row>
    <row r="2389" spans="12:15" x14ac:dyDescent="0.25">
      <c r="L2389" s="1"/>
      <c r="M2389" s="1"/>
      <c r="O2389" t="e">
        <f>VLOOKUP(H2389,'Paloma Priority'!$F$3:$G$540,2,FALSE)</f>
        <v>#N/A</v>
      </c>
    </row>
    <row r="2390" spans="12:15" x14ac:dyDescent="0.25">
      <c r="L2390" s="1"/>
      <c r="M2390" s="1"/>
      <c r="O2390" t="e">
        <f>VLOOKUP(H2390,'Paloma Priority'!$F$3:$G$540,2,FALSE)</f>
        <v>#N/A</v>
      </c>
    </row>
    <row r="2391" spans="12:15" x14ac:dyDescent="0.25">
      <c r="L2391" s="1"/>
      <c r="M2391" s="1"/>
      <c r="O2391" t="e">
        <f>VLOOKUP(H2391,'Paloma Priority'!$F$3:$G$540,2,FALSE)</f>
        <v>#N/A</v>
      </c>
    </row>
    <row r="2392" spans="12:15" x14ac:dyDescent="0.25">
      <c r="L2392" s="1"/>
      <c r="M2392" s="1"/>
      <c r="O2392" t="e">
        <f>VLOOKUP(H2392,'Paloma Priority'!$F$3:$G$540,2,FALSE)</f>
        <v>#N/A</v>
      </c>
    </row>
    <row r="2393" spans="12:15" x14ac:dyDescent="0.25">
      <c r="L2393" s="1"/>
      <c r="M2393" s="1"/>
      <c r="O2393" t="e">
        <f>VLOOKUP(H2393,'Paloma Priority'!$F$3:$G$540,2,FALSE)</f>
        <v>#N/A</v>
      </c>
    </row>
    <row r="2394" spans="12:15" x14ac:dyDescent="0.25">
      <c r="L2394" s="1"/>
      <c r="M2394" s="1"/>
      <c r="O2394" t="e">
        <f>VLOOKUP(H2394,'Paloma Priority'!$F$3:$G$540,2,FALSE)</f>
        <v>#N/A</v>
      </c>
    </row>
    <row r="2395" spans="12:15" x14ac:dyDescent="0.25">
      <c r="L2395" s="1"/>
      <c r="M2395" s="1"/>
      <c r="O2395" t="e">
        <f>VLOOKUP(H2395,'Paloma Priority'!$F$3:$G$540,2,FALSE)</f>
        <v>#N/A</v>
      </c>
    </row>
    <row r="2396" spans="12:15" x14ac:dyDescent="0.25">
      <c r="L2396" s="1"/>
      <c r="M2396" s="1"/>
      <c r="O2396" t="e">
        <f>VLOOKUP(H2396,'Paloma Priority'!$F$3:$G$540,2,FALSE)</f>
        <v>#N/A</v>
      </c>
    </row>
    <row r="2397" spans="12:15" x14ac:dyDescent="0.25">
      <c r="L2397" s="1"/>
      <c r="M2397" s="1"/>
      <c r="O2397" t="e">
        <f>VLOOKUP(H2397,'Paloma Priority'!$F$3:$G$540,2,FALSE)</f>
        <v>#N/A</v>
      </c>
    </row>
    <row r="2398" spans="12:15" x14ac:dyDescent="0.25">
      <c r="L2398" s="1"/>
      <c r="M2398" s="1"/>
      <c r="O2398" t="e">
        <f>VLOOKUP(H2398,'Paloma Priority'!$F$3:$G$540,2,FALSE)</f>
        <v>#N/A</v>
      </c>
    </row>
    <row r="2399" spans="12:15" x14ac:dyDescent="0.25">
      <c r="L2399" s="1"/>
      <c r="M2399" s="1"/>
      <c r="O2399" t="e">
        <f>VLOOKUP(H2399,'Paloma Priority'!$F$3:$G$540,2,FALSE)</f>
        <v>#N/A</v>
      </c>
    </row>
    <row r="2400" spans="12:15" x14ac:dyDescent="0.25">
      <c r="L2400" s="1"/>
      <c r="M2400" s="1"/>
      <c r="O2400" t="e">
        <f>VLOOKUP(H2400,'Paloma Priority'!$F$3:$G$540,2,FALSE)</f>
        <v>#N/A</v>
      </c>
    </row>
    <row r="2401" spans="12:15" x14ac:dyDescent="0.25">
      <c r="L2401" s="1"/>
      <c r="M2401" s="1"/>
      <c r="O2401" t="e">
        <f>VLOOKUP(H2401,'Paloma Priority'!$F$3:$G$540,2,FALSE)</f>
        <v>#N/A</v>
      </c>
    </row>
    <row r="2402" spans="12:15" x14ac:dyDescent="0.25">
      <c r="L2402" s="1"/>
      <c r="M2402" s="1"/>
      <c r="O2402" t="e">
        <f>VLOOKUP(H2402,'Paloma Priority'!$F$3:$G$540,2,FALSE)</f>
        <v>#N/A</v>
      </c>
    </row>
    <row r="2403" spans="12:15" x14ac:dyDescent="0.25">
      <c r="L2403" s="1"/>
      <c r="M2403" s="1"/>
      <c r="O2403" t="e">
        <f>VLOOKUP(H2403,'Paloma Priority'!$F$3:$G$540,2,FALSE)</f>
        <v>#N/A</v>
      </c>
    </row>
    <row r="2404" spans="12:15" x14ac:dyDescent="0.25">
      <c r="L2404" s="1"/>
      <c r="M2404" s="1"/>
      <c r="O2404" t="e">
        <f>VLOOKUP(H2404,'Paloma Priority'!$F$3:$G$540,2,FALSE)</f>
        <v>#N/A</v>
      </c>
    </row>
    <row r="2405" spans="12:15" x14ac:dyDescent="0.25">
      <c r="L2405" s="1"/>
      <c r="M2405" s="1"/>
      <c r="O2405" t="e">
        <f>VLOOKUP(H2405,'Paloma Priority'!$F$3:$G$540,2,FALSE)</f>
        <v>#N/A</v>
      </c>
    </row>
    <row r="2406" spans="12:15" x14ac:dyDescent="0.25">
      <c r="L2406" s="1"/>
      <c r="M2406" s="1"/>
      <c r="O2406" t="e">
        <f>VLOOKUP(H2406,'Paloma Priority'!$F$3:$G$540,2,FALSE)</f>
        <v>#N/A</v>
      </c>
    </row>
    <row r="2407" spans="12:15" x14ac:dyDescent="0.25">
      <c r="L2407" s="1"/>
      <c r="M2407" s="1"/>
      <c r="O2407" t="e">
        <f>VLOOKUP(H2407,'Paloma Priority'!$F$3:$G$540,2,FALSE)</f>
        <v>#N/A</v>
      </c>
    </row>
    <row r="2408" spans="12:15" x14ac:dyDescent="0.25">
      <c r="L2408" s="1"/>
      <c r="M2408" s="1"/>
      <c r="O2408" t="e">
        <f>VLOOKUP(H2408,'Paloma Priority'!$F$3:$G$540,2,FALSE)</f>
        <v>#N/A</v>
      </c>
    </row>
    <row r="2409" spans="12:15" x14ac:dyDescent="0.25">
      <c r="L2409" s="1"/>
      <c r="M2409" s="1"/>
      <c r="O2409" t="e">
        <f>VLOOKUP(H2409,'Paloma Priority'!$F$3:$G$540,2,FALSE)</f>
        <v>#N/A</v>
      </c>
    </row>
    <row r="2410" spans="12:15" x14ac:dyDescent="0.25">
      <c r="L2410" s="1"/>
      <c r="O2410" t="e">
        <f>VLOOKUP(H2410,'Paloma Priority'!$F$3:$G$540,2,FALSE)</f>
        <v>#N/A</v>
      </c>
    </row>
    <row r="2411" spans="12:15" x14ac:dyDescent="0.25">
      <c r="L2411" s="1"/>
      <c r="M2411" s="1"/>
      <c r="O2411" t="e">
        <f>VLOOKUP(H2411,'Paloma Priority'!$F$3:$G$540,2,FALSE)</f>
        <v>#N/A</v>
      </c>
    </row>
    <row r="2412" spans="12:15" x14ac:dyDescent="0.25">
      <c r="L2412" s="1"/>
      <c r="M2412" s="1"/>
      <c r="O2412" t="e">
        <f>VLOOKUP(H2412,'Paloma Priority'!$F$3:$G$540,2,FALSE)</f>
        <v>#N/A</v>
      </c>
    </row>
    <row r="2413" spans="12:15" x14ac:dyDescent="0.25">
      <c r="L2413" s="1"/>
      <c r="O2413" t="e">
        <f>VLOOKUP(H2413,'Paloma Priority'!$F$3:$G$540,2,FALSE)</f>
        <v>#N/A</v>
      </c>
    </row>
    <row r="2414" spans="12:15" x14ac:dyDescent="0.25">
      <c r="L2414" s="1"/>
      <c r="M2414" s="1"/>
      <c r="O2414" t="e">
        <f>VLOOKUP(H2414,'Paloma Priority'!$F$3:$G$540,2,FALSE)</f>
        <v>#N/A</v>
      </c>
    </row>
    <row r="2415" spans="12:15" x14ac:dyDescent="0.25">
      <c r="L2415" s="1"/>
      <c r="O2415" t="e">
        <f>VLOOKUP(H2415,'Paloma Priority'!$F$3:$G$540,2,FALSE)</f>
        <v>#N/A</v>
      </c>
    </row>
    <row r="2416" spans="12:15" x14ac:dyDescent="0.25">
      <c r="L2416" s="1"/>
      <c r="O2416" t="e">
        <f>VLOOKUP(H2416,'Paloma Priority'!$F$3:$G$540,2,FALSE)</f>
        <v>#N/A</v>
      </c>
    </row>
    <row r="2417" spans="12:15" x14ac:dyDescent="0.25">
      <c r="L2417" s="1"/>
      <c r="M2417" s="1"/>
      <c r="O2417" t="e">
        <f>VLOOKUP(H2417,'Paloma Priority'!$F$3:$G$540,2,FALSE)</f>
        <v>#N/A</v>
      </c>
    </row>
    <row r="2418" spans="12:15" x14ac:dyDescent="0.25">
      <c r="L2418" s="1"/>
      <c r="M2418" s="1"/>
      <c r="O2418" t="e">
        <f>VLOOKUP(H2418,'Paloma Priority'!$F$3:$G$540,2,FALSE)</f>
        <v>#N/A</v>
      </c>
    </row>
    <row r="2419" spans="12:15" x14ac:dyDescent="0.25">
      <c r="L2419" s="1"/>
      <c r="M2419" s="1"/>
      <c r="O2419" t="e">
        <f>VLOOKUP(H2419,'Paloma Priority'!$F$3:$G$540,2,FALSE)</f>
        <v>#N/A</v>
      </c>
    </row>
    <row r="2420" spans="12:15" x14ac:dyDescent="0.25">
      <c r="L2420" s="1"/>
      <c r="M2420" s="1"/>
      <c r="O2420" t="e">
        <f>VLOOKUP(H2420,'Paloma Priority'!$F$3:$G$540,2,FALSE)</f>
        <v>#N/A</v>
      </c>
    </row>
    <row r="2421" spans="12:15" x14ac:dyDescent="0.25">
      <c r="L2421" s="1"/>
      <c r="M2421" s="1"/>
      <c r="O2421" t="e">
        <f>VLOOKUP(H2421,'Paloma Priority'!$F$3:$G$540,2,FALSE)</f>
        <v>#N/A</v>
      </c>
    </row>
    <row r="2422" spans="12:15" x14ac:dyDescent="0.25">
      <c r="L2422" s="1"/>
      <c r="M2422" s="1"/>
      <c r="O2422" t="e">
        <f>VLOOKUP(H2422,'Paloma Priority'!$F$3:$G$540,2,FALSE)</f>
        <v>#N/A</v>
      </c>
    </row>
    <row r="2423" spans="12:15" x14ac:dyDescent="0.25">
      <c r="L2423" s="1"/>
      <c r="M2423" s="1"/>
      <c r="O2423" t="e">
        <f>VLOOKUP(H2423,'Paloma Priority'!$F$3:$G$540,2,FALSE)</f>
        <v>#N/A</v>
      </c>
    </row>
    <row r="2424" spans="12:15" x14ac:dyDescent="0.25">
      <c r="L2424" s="1"/>
      <c r="M2424" s="1"/>
      <c r="O2424" t="e">
        <f>VLOOKUP(H2424,'Paloma Priority'!$F$3:$G$540,2,FALSE)</f>
        <v>#N/A</v>
      </c>
    </row>
    <row r="2425" spans="12:15" x14ac:dyDescent="0.25">
      <c r="L2425" s="1"/>
      <c r="M2425" s="1"/>
      <c r="O2425" t="e">
        <f>VLOOKUP(H2425,'Paloma Priority'!$F$3:$G$540,2,FALSE)</f>
        <v>#N/A</v>
      </c>
    </row>
    <row r="2426" spans="12:15" x14ac:dyDescent="0.25">
      <c r="L2426" s="1"/>
      <c r="M2426" s="1"/>
      <c r="O2426" t="e">
        <f>VLOOKUP(H2426,'Paloma Priority'!$F$3:$G$540,2,FALSE)</f>
        <v>#N/A</v>
      </c>
    </row>
    <row r="2427" spans="12:15" x14ac:dyDescent="0.25">
      <c r="L2427" s="1"/>
      <c r="M2427" s="1"/>
      <c r="O2427" t="e">
        <f>VLOOKUP(H2427,'Paloma Priority'!$F$3:$G$540,2,FALSE)</f>
        <v>#N/A</v>
      </c>
    </row>
    <row r="2428" spans="12:15" x14ac:dyDescent="0.25">
      <c r="L2428" s="1"/>
      <c r="M2428" s="1"/>
      <c r="O2428" t="e">
        <f>VLOOKUP(H2428,'Paloma Priority'!$F$3:$G$540,2,FALSE)</f>
        <v>#N/A</v>
      </c>
    </row>
    <row r="2429" spans="12:15" x14ac:dyDescent="0.25">
      <c r="L2429" s="1"/>
      <c r="O2429" t="e">
        <f>VLOOKUP(H2429,'Paloma Priority'!$F$3:$G$540,2,FALSE)</f>
        <v>#N/A</v>
      </c>
    </row>
    <row r="2430" spans="12:15" x14ac:dyDescent="0.25">
      <c r="L2430" s="1"/>
      <c r="O2430" t="e">
        <f>VLOOKUP(H2430,'Paloma Priority'!$F$3:$G$540,2,FALSE)</f>
        <v>#N/A</v>
      </c>
    </row>
    <row r="2431" spans="12:15" x14ac:dyDescent="0.25">
      <c r="L2431" s="1"/>
      <c r="O2431" t="e">
        <f>VLOOKUP(H2431,'Paloma Priority'!$F$3:$G$540,2,FALSE)</f>
        <v>#N/A</v>
      </c>
    </row>
    <row r="2432" spans="12:15" x14ac:dyDescent="0.25">
      <c r="L2432" s="1"/>
      <c r="O2432" t="e">
        <f>VLOOKUP(H2432,'Paloma Priority'!$F$3:$G$540,2,FALSE)</f>
        <v>#N/A</v>
      </c>
    </row>
    <row r="2433" spans="12:15" x14ac:dyDescent="0.25">
      <c r="L2433" s="1"/>
      <c r="O2433" t="e">
        <f>VLOOKUP(H2433,'Paloma Priority'!$F$3:$G$540,2,FALSE)</f>
        <v>#N/A</v>
      </c>
    </row>
    <row r="2434" spans="12:15" x14ac:dyDescent="0.25">
      <c r="L2434" s="1"/>
      <c r="O2434" t="e">
        <f>VLOOKUP(H2434,'Paloma Priority'!$F$3:$G$540,2,FALSE)</f>
        <v>#N/A</v>
      </c>
    </row>
    <row r="2435" spans="12:15" x14ac:dyDescent="0.25">
      <c r="L2435" s="1"/>
      <c r="O2435" t="e">
        <f>VLOOKUP(H2435,'Paloma Priority'!$F$3:$G$540,2,FALSE)</f>
        <v>#N/A</v>
      </c>
    </row>
    <row r="2436" spans="12:15" x14ac:dyDescent="0.25">
      <c r="O2436" t="e">
        <f>VLOOKUP(H2436,'Paloma Priority'!$F$3:$G$540,2,FALSE)</f>
        <v>#N/A</v>
      </c>
    </row>
    <row r="2437" spans="12:15" x14ac:dyDescent="0.25">
      <c r="L2437" s="1"/>
      <c r="M2437" s="1"/>
    </row>
    <row r="2438" spans="12:15" x14ac:dyDescent="0.25">
      <c r="L2438" s="1"/>
      <c r="M2438" s="1"/>
    </row>
    <row r="2439" spans="12:15" x14ac:dyDescent="0.25">
      <c r="L2439" s="1"/>
      <c r="M2439" s="1"/>
    </row>
    <row r="2440" spans="12:15" x14ac:dyDescent="0.25">
      <c r="L2440" s="1"/>
      <c r="M2440" s="1"/>
    </row>
    <row r="2441" spans="12:15" x14ac:dyDescent="0.25">
      <c r="L2441" s="1"/>
      <c r="M2441" s="1"/>
    </row>
    <row r="2442" spans="12:15" x14ac:dyDescent="0.25">
      <c r="L2442" s="1"/>
      <c r="M2442" s="1"/>
    </row>
    <row r="2443" spans="12:15" x14ac:dyDescent="0.25">
      <c r="L2443" s="1"/>
      <c r="M2443" s="1"/>
    </row>
    <row r="2444" spans="12:15" x14ac:dyDescent="0.25">
      <c r="L2444" s="1"/>
      <c r="M2444" s="1"/>
    </row>
    <row r="2445" spans="12:15" x14ac:dyDescent="0.25">
      <c r="L2445" s="1"/>
      <c r="M2445" s="1"/>
    </row>
    <row r="2446" spans="12:15" x14ac:dyDescent="0.25">
      <c r="L2446" s="1"/>
      <c r="M2446" s="1"/>
    </row>
    <row r="2447" spans="12:15" x14ac:dyDescent="0.25">
      <c r="L2447" s="1"/>
      <c r="M2447" s="1"/>
    </row>
    <row r="2448" spans="12:15" x14ac:dyDescent="0.25">
      <c r="L2448" s="1"/>
      <c r="M2448" s="1"/>
    </row>
    <row r="2449" spans="12:13" x14ac:dyDescent="0.25">
      <c r="L2449" s="1"/>
      <c r="M2449" s="1"/>
    </row>
    <row r="2450" spans="12:13" x14ac:dyDescent="0.25">
      <c r="L2450" s="1"/>
    </row>
    <row r="2451" spans="12:13" x14ac:dyDescent="0.25">
      <c r="L2451" s="1"/>
    </row>
    <row r="2452" spans="12:13" x14ac:dyDescent="0.25">
      <c r="L2452" s="1"/>
    </row>
    <row r="2453" spans="12:13" x14ac:dyDescent="0.25">
      <c r="L2453" s="1"/>
    </row>
    <row r="2454" spans="12:13" x14ac:dyDescent="0.25">
      <c r="L2454" s="1"/>
    </row>
    <row r="2455" spans="12:13" x14ac:dyDescent="0.25">
      <c r="L2455" s="1"/>
      <c r="M2455" s="1"/>
    </row>
    <row r="2456" spans="12:13" x14ac:dyDescent="0.25">
      <c r="L2456" s="1"/>
      <c r="M2456" s="1"/>
    </row>
    <row r="2457" spans="12:13" x14ac:dyDescent="0.25">
      <c r="L2457" s="1"/>
      <c r="M2457" s="1"/>
    </row>
    <row r="2458" spans="12:13" x14ac:dyDescent="0.25">
      <c r="L2458" s="1"/>
      <c r="M2458" s="1"/>
    </row>
    <row r="2459" spans="12:13" x14ac:dyDescent="0.25">
      <c r="L2459" s="1"/>
      <c r="M2459" s="1"/>
    </row>
    <row r="2460" spans="12:13" x14ac:dyDescent="0.25">
      <c r="L2460" s="1"/>
      <c r="M2460" s="1"/>
    </row>
    <row r="2461" spans="12:13" x14ac:dyDescent="0.25">
      <c r="L2461" s="1"/>
    </row>
    <row r="2462" spans="12:13" x14ac:dyDescent="0.25">
      <c r="L2462" s="1"/>
    </row>
    <row r="2463" spans="12:13" x14ac:dyDescent="0.25">
      <c r="L2463" s="1"/>
      <c r="M2463" s="1"/>
    </row>
    <row r="2464" spans="12:13" x14ac:dyDescent="0.25">
      <c r="L2464" s="1"/>
      <c r="M2464" s="1"/>
    </row>
    <row r="2465" spans="12:13" x14ac:dyDescent="0.25">
      <c r="L2465" s="1"/>
      <c r="M2465" s="1"/>
    </row>
    <row r="2466" spans="12:13" x14ac:dyDescent="0.25">
      <c r="L2466" s="1"/>
    </row>
    <row r="2467" spans="12:13" x14ac:dyDescent="0.25">
      <c r="L2467" s="1"/>
      <c r="M2467" s="1"/>
    </row>
    <row r="2468" spans="12:13" x14ac:dyDescent="0.25">
      <c r="L2468" s="1"/>
      <c r="M2468" s="1"/>
    </row>
    <row r="2469" spans="12:13" x14ac:dyDescent="0.25">
      <c r="L2469" s="1"/>
      <c r="M2469" s="1"/>
    </row>
    <row r="2470" spans="12:13" x14ac:dyDescent="0.25">
      <c r="L2470" s="1"/>
    </row>
    <row r="2471" spans="12:13" x14ac:dyDescent="0.25">
      <c r="L2471" s="1"/>
      <c r="M2471" s="1"/>
    </row>
    <row r="2472" spans="12:13" x14ac:dyDescent="0.25">
      <c r="L2472" s="1"/>
      <c r="M2472" s="1"/>
    </row>
    <row r="2473" spans="12:13" x14ac:dyDescent="0.25">
      <c r="L2473" s="1"/>
      <c r="M2473" s="1"/>
    </row>
    <row r="2474" spans="12:13" x14ac:dyDescent="0.25">
      <c r="L2474" s="1"/>
      <c r="M2474" s="1"/>
    </row>
    <row r="2475" spans="12:13" x14ac:dyDescent="0.25">
      <c r="L2475" s="1"/>
      <c r="M2475" s="1"/>
    </row>
    <row r="2476" spans="12:13" x14ac:dyDescent="0.25">
      <c r="L2476" s="1"/>
      <c r="M2476" s="1"/>
    </row>
    <row r="2477" spans="12:13" x14ac:dyDescent="0.25">
      <c r="L2477" s="1"/>
      <c r="M2477" s="1"/>
    </row>
    <row r="2478" spans="12:13" x14ac:dyDescent="0.25">
      <c r="L2478" s="1"/>
      <c r="M2478" s="1"/>
    </row>
    <row r="2479" spans="12:13" x14ac:dyDescent="0.25">
      <c r="L2479" s="1"/>
    </row>
    <row r="2480" spans="12:13" x14ac:dyDescent="0.25">
      <c r="L2480" s="1"/>
      <c r="M2480" s="1"/>
    </row>
    <row r="2481" spans="12:13" x14ac:dyDescent="0.25">
      <c r="L2481" s="1"/>
      <c r="M2481" s="1"/>
    </row>
    <row r="2482" spans="12:13" x14ac:dyDescent="0.25">
      <c r="L2482" s="1"/>
      <c r="M2482" s="1"/>
    </row>
    <row r="2483" spans="12:13" x14ac:dyDescent="0.25">
      <c r="L2483" s="1"/>
    </row>
    <row r="2484" spans="12:13" x14ac:dyDescent="0.25">
      <c r="L2484" s="1"/>
      <c r="M2484" s="1"/>
    </row>
    <row r="2485" spans="12:13" x14ac:dyDescent="0.25">
      <c r="L2485" s="1"/>
    </row>
    <row r="2486" spans="12:13" x14ac:dyDescent="0.25">
      <c r="L2486" s="1"/>
    </row>
    <row r="2487" spans="12:13" x14ac:dyDescent="0.25">
      <c r="L2487" s="1"/>
    </row>
    <row r="2488" spans="12:13" x14ac:dyDescent="0.25">
      <c r="L2488" s="1"/>
    </row>
    <row r="2489" spans="12:13" x14ac:dyDescent="0.25">
      <c r="L2489" s="1"/>
    </row>
    <row r="2490" spans="12:13" x14ac:dyDescent="0.25">
      <c r="L2490" s="1"/>
    </row>
    <row r="2491" spans="12:13" x14ac:dyDescent="0.25">
      <c r="L2491" s="1"/>
    </row>
    <row r="2492" spans="12:13" x14ac:dyDescent="0.25">
      <c r="L2492" s="1"/>
    </row>
    <row r="2493" spans="12:13" x14ac:dyDescent="0.25">
      <c r="L2493" s="1"/>
    </row>
    <row r="2494" spans="12:13" x14ac:dyDescent="0.25">
      <c r="L2494" s="1"/>
    </row>
    <row r="2495" spans="12:13" x14ac:dyDescent="0.25">
      <c r="L2495" s="1"/>
    </row>
    <row r="2496" spans="12:13" x14ac:dyDescent="0.25">
      <c r="L2496" s="1"/>
    </row>
    <row r="2497" spans="12:13" x14ac:dyDescent="0.25">
      <c r="L2497" s="1"/>
    </row>
    <row r="2498" spans="12:13" x14ac:dyDescent="0.25">
      <c r="L2498" s="1"/>
    </row>
    <row r="2499" spans="12:13" x14ac:dyDescent="0.25">
      <c r="L2499" s="1"/>
      <c r="M2499" s="1"/>
    </row>
    <row r="2500" spans="12:13" x14ac:dyDescent="0.25">
      <c r="L2500" s="1"/>
      <c r="M2500" s="1"/>
    </row>
    <row r="2501" spans="12:13" x14ac:dyDescent="0.25">
      <c r="L2501" s="1"/>
      <c r="M2501" s="1"/>
    </row>
    <row r="2502" spans="12:13" x14ac:dyDescent="0.25">
      <c r="L2502" s="1"/>
      <c r="M2502" s="1"/>
    </row>
    <row r="2503" spans="12:13" x14ac:dyDescent="0.25">
      <c r="L2503" s="1"/>
      <c r="M2503" s="1"/>
    </row>
    <row r="2504" spans="12:13" x14ac:dyDescent="0.25">
      <c r="L2504" s="1"/>
      <c r="M2504" s="1"/>
    </row>
    <row r="2505" spans="12:13" x14ac:dyDescent="0.25">
      <c r="L2505" s="1"/>
    </row>
    <row r="2506" spans="12:13" x14ac:dyDescent="0.25">
      <c r="L2506" s="1"/>
    </row>
    <row r="2507" spans="12:13" x14ac:dyDescent="0.25">
      <c r="L2507" s="1"/>
    </row>
    <row r="2508" spans="12:13" x14ac:dyDescent="0.25">
      <c r="L2508" s="1"/>
    </row>
    <row r="2509" spans="12:13" x14ac:dyDescent="0.25">
      <c r="L2509" s="1"/>
    </row>
    <row r="2510" spans="12:13" x14ac:dyDescent="0.25">
      <c r="L2510" s="1"/>
    </row>
    <row r="2511" spans="12:13" x14ac:dyDescent="0.25">
      <c r="L2511" s="1"/>
    </row>
    <row r="2512" spans="12:13" x14ac:dyDescent="0.25">
      <c r="L2512" s="1"/>
    </row>
    <row r="2513" spans="12:13" x14ac:dyDescent="0.25">
      <c r="L2513" s="1"/>
    </row>
    <row r="2514" spans="12:13" x14ac:dyDescent="0.25">
      <c r="L2514" s="1"/>
    </row>
    <row r="2515" spans="12:13" x14ac:dyDescent="0.25">
      <c r="L2515" s="1"/>
    </row>
    <row r="2516" spans="12:13" x14ac:dyDescent="0.25">
      <c r="L2516" s="1"/>
    </row>
    <row r="2517" spans="12:13" x14ac:dyDescent="0.25">
      <c r="L2517" s="1"/>
    </row>
    <row r="2518" spans="12:13" x14ac:dyDescent="0.25">
      <c r="L2518" s="1"/>
    </row>
    <row r="2519" spans="12:13" x14ac:dyDescent="0.25">
      <c r="L2519" s="1"/>
    </row>
    <row r="2520" spans="12:13" x14ac:dyDescent="0.25">
      <c r="L2520" s="1"/>
    </row>
    <row r="2521" spans="12:13" x14ac:dyDescent="0.25">
      <c r="L2521" s="1"/>
    </row>
    <row r="2522" spans="12:13" x14ac:dyDescent="0.25">
      <c r="L2522" s="1"/>
    </row>
    <row r="2523" spans="12:13" x14ac:dyDescent="0.25">
      <c r="L2523" s="1"/>
    </row>
    <row r="2524" spans="12:13" x14ac:dyDescent="0.25">
      <c r="L2524" s="1"/>
      <c r="M2524" s="1"/>
    </row>
    <row r="2525" spans="12:13" x14ac:dyDescent="0.25">
      <c r="L2525" s="1"/>
      <c r="M2525" s="1"/>
    </row>
    <row r="2526" spans="12:13" x14ac:dyDescent="0.25">
      <c r="L2526" s="1"/>
      <c r="M2526" s="1"/>
    </row>
    <row r="2527" spans="12:13" x14ac:dyDescent="0.25">
      <c r="L2527" s="1"/>
    </row>
    <row r="2528" spans="12:13" x14ac:dyDescent="0.25">
      <c r="L2528" s="1"/>
      <c r="M2528" s="1"/>
    </row>
    <row r="2529" spans="12:13" x14ac:dyDescent="0.25">
      <c r="L2529" s="1"/>
    </row>
    <row r="2530" spans="12:13" x14ac:dyDescent="0.25">
      <c r="L2530" s="1"/>
      <c r="M2530" s="1"/>
    </row>
    <row r="2531" spans="12:13" x14ac:dyDescent="0.25">
      <c r="L2531" s="1"/>
      <c r="M2531" s="1"/>
    </row>
    <row r="2532" spans="12:13" x14ac:dyDescent="0.25">
      <c r="L2532" s="1"/>
      <c r="M2532" s="1"/>
    </row>
    <row r="2533" spans="12:13" x14ac:dyDescent="0.25">
      <c r="L2533" s="1"/>
      <c r="M2533" s="1"/>
    </row>
    <row r="2534" spans="12:13" x14ac:dyDescent="0.25">
      <c r="L2534" s="1"/>
      <c r="M2534" s="1"/>
    </row>
    <row r="2535" spans="12:13" x14ac:dyDescent="0.25">
      <c r="L2535" s="1"/>
    </row>
    <row r="2536" spans="12:13" x14ac:dyDescent="0.25">
      <c r="L2536" s="1"/>
    </row>
    <row r="2537" spans="12:13" x14ac:dyDescent="0.25">
      <c r="L2537" s="1"/>
      <c r="M2537" s="1"/>
    </row>
    <row r="2538" spans="12:13" x14ac:dyDescent="0.25">
      <c r="L2538" s="1"/>
      <c r="M2538" s="1"/>
    </row>
    <row r="2539" spans="12:13" x14ac:dyDescent="0.25">
      <c r="L2539" s="1"/>
      <c r="M2539" s="1"/>
    </row>
    <row r="2540" spans="12:13" x14ac:dyDescent="0.25">
      <c r="L2540" s="1"/>
      <c r="M2540" s="1"/>
    </row>
    <row r="2541" spans="12:13" x14ac:dyDescent="0.25">
      <c r="L2541" s="1"/>
      <c r="M2541" s="1"/>
    </row>
    <row r="2542" spans="12:13" x14ac:dyDescent="0.25">
      <c r="L2542" s="1"/>
      <c r="M2542" s="1"/>
    </row>
    <row r="2543" spans="12:13" x14ac:dyDescent="0.25">
      <c r="L2543" s="1"/>
    </row>
    <row r="2544" spans="12:13" x14ac:dyDescent="0.25">
      <c r="L2544" s="1"/>
    </row>
    <row r="2545" spans="12:13" x14ac:dyDescent="0.25">
      <c r="L2545" s="1"/>
      <c r="M2545" s="1"/>
    </row>
    <row r="2546" spans="12:13" x14ac:dyDescent="0.25">
      <c r="L2546" s="1"/>
      <c r="M2546" s="1"/>
    </row>
    <row r="2547" spans="12:13" x14ac:dyDescent="0.25">
      <c r="L2547" s="1"/>
      <c r="M2547" s="1"/>
    </row>
    <row r="2548" spans="12:13" x14ac:dyDescent="0.25">
      <c r="L2548" s="1"/>
      <c r="M2548" s="1"/>
    </row>
    <row r="2549" spans="12:13" x14ac:dyDescent="0.25">
      <c r="L2549" s="1"/>
      <c r="M2549" s="1"/>
    </row>
    <row r="2550" spans="12:13" x14ac:dyDescent="0.25">
      <c r="L2550" s="1"/>
    </row>
    <row r="2551" spans="12:13" x14ac:dyDescent="0.25">
      <c r="L2551" s="1"/>
      <c r="M2551" s="1"/>
    </row>
    <row r="2552" spans="12:13" x14ac:dyDescent="0.25">
      <c r="L2552" s="1"/>
      <c r="M2552" s="1"/>
    </row>
    <row r="2553" spans="12:13" x14ac:dyDescent="0.25">
      <c r="L2553" s="1"/>
      <c r="M2553" s="1"/>
    </row>
    <row r="2554" spans="12:13" x14ac:dyDescent="0.25">
      <c r="L2554" s="1"/>
      <c r="M2554" s="1"/>
    </row>
    <row r="2555" spans="12:13" x14ac:dyDescent="0.25">
      <c r="L2555" s="1"/>
      <c r="M2555" s="1"/>
    </row>
    <row r="2556" spans="12:13" x14ac:dyDescent="0.25">
      <c r="L2556" s="1"/>
      <c r="M2556" s="1"/>
    </row>
    <row r="2557" spans="12:13" x14ac:dyDescent="0.25">
      <c r="L2557" s="1"/>
    </row>
    <row r="2558" spans="12:13" x14ac:dyDescent="0.25">
      <c r="L2558" s="1"/>
      <c r="M2558" s="1"/>
    </row>
    <row r="2559" spans="12:13" x14ac:dyDescent="0.25">
      <c r="L2559" s="1"/>
    </row>
    <row r="2560" spans="12:13" x14ac:dyDescent="0.25">
      <c r="L2560" s="1"/>
      <c r="M2560" s="1"/>
    </row>
    <row r="2561" spans="12:13" x14ac:dyDescent="0.25">
      <c r="L2561" s="1"/>
      <c r="M2561" s="1"/>
    </row>
    <row r="2562" spans="12:13" x14ac:dyDescent="0.25">
      <c r="L2562" s="1"/>
    </row>
    <row r="2563" spans="12:13" x14ac:dyDescent="0.25">
      <c r="L2563" s="1"/>
      <c r="M2563" s="1"/>
    </row>
    <row r="2564" spans="12:13" x14ac:dyDescent="0.25">
      <c r="L2564" s="1"/>
      <c r="M2564" s="1"/>
    </row>
    <row r="2565" spans="12:13" x14ac:dyDescent="0.25">
      <c r="L2565" s="1"/>
    </row>
    <row r="2566" spans="12:13" x14ac:dyDescent="0.25">
      <c r="L2566" s="1"/>
      <c r="M2566" s="1"/>
    </row>
    <row r="2567" spans="12:13" x14ac:dyDescent="0.25">
      <c r="L2567" s="1"/>
      <c r="M2567" s="1"/>
    </row>
    <row r="2568" spans="12:13" x14ac:dyDescent="0.25">
      <c r="L2568" s="1"/>
      <c r="M2568" s="1"/>
    </row>
    <row r="2569" spans="12:13" x14ac:dyDescent="0.25">
      <c r="L2569" s="1"/>
      <c r="M2569" s="1"/>
    </row>
    <row r="2570" spans="12:13" x14ac:dyDescent="0.25">
      <c r="L2570" s="1"/>
      <c r="M2570" s="1"/>
    </row>
    <row r="2571" spans="12:13" x14ac:dyDescent="0.25">
      <c r="L2571" s="1"/>
      <c r="M2571" s="1"/>
    </row>
    <row r="2572" spans="12:13" x14ac:dyDescent="0.25">
      <c r="L2572" s="1"/>
    </row>
    <row r="2573" spans="12:13" x14ac:dyDescent="0.25">
      <c r="L2573" s="1"/>
    </row>
    <row r="2574" spans="12:13" x14ac:dyDescent="0.25">
      <c r="L2574" s="1"/>
    </row>
    <row r="2575" spans="12:13" x14ac:dyDescent="0.25">
      <c r="L2575" s="1"/>
      <c r="M2575" s="1"/>
    </row>
    <row r="2576" spans="12:13" x14ac:dyDescent="0.25">
      <c r="L2576" s="1"/>
    </row>
    <row r="2577" spans="12:13" x14ac:dyDescent="0.25">
      <c r="L2577" s="1"/>
      <c r="M2577" s="1"/>
    </row>
    <row r="2578" spans="12:13" x14ac:dyDescent="0.25">
      <c r="L2578" s="1"/>
      <c r="M2578" s="1"/>
    </row>
    <row r="2579" spans="12:13" x14ac:dyDescent="0.25">
      <c r="L2579" s="1"/>
    </row>
    <row r="2580" spans="12:13" x14ac:dyDescent="0.25">
      <c r="L2580" s="1"/>
      <c r="M2580" s="1"/>
    </row>
    <row r="2581" spans="12:13" x14ac:dyDescent="0.25">
      <c r="L2581" s="1"/>
      <c r="M2581" s="1"/>
    </row>
    <row r="2582" spans="12:13" x14ac:dyDescent="0.25">
      <c r="L2582" s="1"/>
      <c r="M2582" s="1"/>
    </row>
    <row r="2583" spans="12:13" x14ac:dyDescent="0.25">
      <c r="L2583" s="1"/>
      <c r="M2583" s="1"/>
    </row>
    <row r="2584" spans="12:13" x14ac:dyDescent="0.25">
      <c r="L2584" s="1"/>
      <c r="M2584" s="1"/>
    </row>
    <row r="2585" spans="12:13" x14ac:dyDescent="0.25">
      <c r="L2585" s="1"/>
    </row>
    <row r="2586" spans="12:13" x14ac:dyDescent="0.25">
      <c r="L2586" s="1"/>
      <c r="M2586" s="1"/>
    </row>
    <row r="2587" spans="12:13" x14ac:dyDescent="0.25">
      <c r="L2587" s="1"/>
      <c r="M2587" s="1"/>
    </row>
    <row r="2588" spans="12:13" x14ac:dyDescent="0.25">
      <c r="L2588" s="1"/>
      <c r="M2588" s="1"/>
    </row>
    <row r="2589" spans="12:13" x14ac:dyDescent="0.25">
      <c r="L2589" s="1"/>
      <c r="M2589" s="1"/>
    </row>
    <row r="2590" spans="12:13" x14ac:dyDescent="0.25">
      <c r="L2590" s="1"/>
      <c r="M2590" s="1"/>
    </row>
    <row r="2591" spans="12:13" x14ac:dyDescent="0.25">
      <c r="L2591" s="1"/>
      <c r="M2591" s="1"/>
    </row>
    <row r="2592" spans="12:13" x14ac:dyDescent="0.25">
      <c r="L2592" s="1"/>
      <c r="M2592" s="1"/>
    </row>
    <row r="2593" spans="12:13" x14ac:dyDescent="0.25">
      <c r="L2593" s="1"/>
      <c r="M2593" s="1"/>
    </row>
    <row r="2594" spans="12:13" x14ac:dyDescent="0.25">
      <c r="L2594" s="1"/>
      <c r="M2594" s="1"/>
    </row>
    <row r="2595" spans="12:13" x14ac:dyDescent="0.25">
      <c r="L2595" s="1"/>
    </row>
    <row r="2596" spans="12:13" x14ac:dyDescent="0.25">
      <c r="L2596" s="1"/>
      <c r="M2596" s="1"/>
    </row>
    <row r="2597" spans="12:13" x14ac:dyDescent="0.25">
      <c r="L2597" s="1"/>
    </row>
    <row r="2598" spans="12:13" x14ac:dyDescent="0.25">
      <c r="L2598" s="1"/>
    </row>
    <row r="2599" spans="12:13" x14ac:dyDescent="0.25">
      <c r="L2599" s="1"/>
      <c r="M2599" s="1"/>
    </row>
    <row r="2600" spans="12:13" x14ac:dyDescent="0.25">
      <c r="L2600" s="1"/>
      <c r="M2600" s="1"/>
    </row>
    <row r="2601" spans="12:13" x14ac:dyDescent="0.25">
      <c r="L2601" s="1"/>
      <c r="M2601" s="1"/>
    </row>
    <row r="2602" spans="12:13" x14ac:dyDescent="0.25">
      <c r="L2602" s="1"/>
      <c r="M2602" s="1"/>
    </row>
    <row r="2603" spans="12:13" x14ac:dyDescent="0.25">
      <c r="L2603" s="1"/>
      <c r="M2603" s="1"/>
    </row>
    <row r="2604" spans="12:13" x14ac:dyDescent="0.25">
      <c r="L2604" s="1"/>
      <c r="M2604" s="1"/>
    </row>
    <row r="2605" spans="12:13" x14ac:dyDescent="0.25">
      <c r="L2605" s="1"/>
      <c r="M2605" s="1"/>
    </row>
    <row r="2606" spans="12:13" x14ac:dyDescent="0.25">
      <c r="L2606" s="1"/>
      <c r="M2606" s="1"/>
    </row>
    <row r="2607" spans="12:13" x14ac:dyDescent="0.25">
      <c r="L2607" s="1"/>
      <c r="M2607" s="1"/>
    </row>
    <row r="2608" spans="12:13" x14ac:dyDescent="0.25">
      <c r="L2608" s="1"/>
      <c r="M2608" s="1"/>
    </row>
    <row r="2609" spans="12:13" x14ac:dyDescent="0.25">
      <c r="L2609" s="1"/>
      <c r="M2609" s="1"/>
    </row>
    <row r="2610" spans="12:13" x14ac:dyDescent="0.25">
      <c r="L2610" s="1"/>
      <c r="M2610" s="1"/>
    </row>
    <row r="2611" spans="12:13" x14ac:dyDescent="0.25">
      <c r="L2611" s="1"/>
      <c r="M2611" s="1"/>
    </row>
    <row r="2612" spans="12:13" x14ac:dyDescent="0.25">
      <c r="L2612" s="1"/>
      <c r="M2612" s="1"/>
    </row>
    <row r="2613" spans="12:13" x14ac:dyDescent="0.25">
      <c r="L2613" s="1"/>
      <c r="M2613" s="1"/>
    </row>
    <row r="2614" spans="12:13" x14ac:dyDescent="0.25">
      <c r="L2614" s="1"/>
      <c r="M2614" s="1"/>
    </row>
    <row r="2615" spans="12:13" x14ac:dyDescent="0.25">
      <c r="L2615" s="1"/>
      <c r="M2615" s="1"/>
    </row>
    <row r="2616" spans="12:13" x14ac:dyDescent="0.25">
      <c r="L2616" s="1"/>
      <c r="M2616" s="1"/>
    </row>
    <row r="2617" spans="12:13" x14ac:dyDescent="0.25">
      <c r="L2617" s="1"/>
    </row>
    <row r="2618" spans="12:13" x14ac:dyDescent="0.25">
      <c r="L2618" s="1"/>
    </row>
    <row r="2619" spans="12:13" x14ac:dyDescent="0.25">
      <c r="L2619" s="1"/>
      <c r="M2619" s="1"/>
    </row>
    <row r="2620" spans="12:13" x14ac:dyDescent="0.25">
      <c r="L2620" s="1"/>
      <c r="M2620" s="1"/>
    </row>
    <row r="2621" spans="12:13" x14ac:dyDescent="0.25">
      <c r="L2621" s="1"/>
      <c r="M2621" s="1"/>
    </row>
    <row r="2622" spans="12:13" x14ac:dyDescent="0.25">
      <c r="L2622" s="1"/>
      <c r="M2622" s="1"/>
    </row>
    <row r="2623" spans="12:13" x14ac:dyDescent="0.25">
      <c r="L2623" s="1"/>
    </row>
    <row r="2624" spans="12:13" x14ac:dyDescent="0.25">
      <c r="L2624" s="1"/>
      <c r="M2624" s="1"/>
    </row>
    <row r="2625" spans="12:13" x14ac:dyDescent="0.25">
      <c r="L2625" s="1"/>
      <c r="M2625" s="1"/>
    </row>
    <row r="2626" spans="12:13" x14ac:dyDescent="0.25">
      <c r="L2626" s="1"/>
      <c r="M2626" s="1"/>
    </row>
    <row r="2627" spans="12:13" x14ac:dyDescent="0.25">
      <c r="L2627" s="1"/>
    </row>
    <row r="2628" spans="12:13" x14ac:dyDescent="0.25">
      <c r="L2628" s="1"/>
      <c r="M2628" s="1"/>
    </row>
    <row r="2629" spans="12:13" x14ac:dyDescent="0.25">
      <c r="L2629" s="1"/>
      <c r="M2629" s="1"/>
    </row>
    <row r="2630" spans="12:13" x14ac:dyDescent="0.25">
      <c r="L2630" s="1"/>
      <c r="M2630" s="1"/>
    </row>
    <row r="2631" spans="12:13" x14ac:dyDescent="0.25">
      <c r="L2631" s="1"/>
      <c r="M2631" s="1"/>
    </row>
    <row r="2632" spans="12:13" x14ac:dyDescent="0.25">
      <c r="L2632" s="1"/>
      <c r="M2632" s="1"/>
    </row>
    <row r="2633" spans="12:13" x14ac:dyDescent="0.25">
      <c r="L2633" s="1"/>
    </row>
    <row r="2634" spans="12:13" x14ac:dyDescent="0.25">
      <c r="L2634" s="1"/>
    </row>
    <row r="2635" spans="12:13" x14ac:dyDescent="0.25">
      <c r="L2635" s="1"/>
      <c r="M2635" s="1"/>
    </row>
    <row r="2636" spans="12:13" x14ac:dyDescent="0.25">
      <c r="L2636" s="1"/>
    </row>
    <row r="2637" spans="12:13" x14ac:dyDescent="0.25">
      <c r="L2637" s="1"/>
      <c r="M2637" s="1"/>
    </row>
    <row r="2638" spans="12:13" x14ac:dyDescent="0.25">
      <c r="L2638" s="1"/>
      <c r="M2638" s="1"/>
    </row>
    <row r="2639" spans="12:13" x14ac:dyDescent="0.25">
      <c r="L2639" s="1"/>
      <c r="M2639" s="1"/>
    </row>
    <row r="2640" spans="12:13" x14ac:dyDescent="0.25">
      <c r="L2640" s="1"/>
      <c r="M2640" s="1"/>
    </row>
    <row r="2641" spans="12:13" x14ac:dyDescent="0.25">
      <c r="L2641" s="1"/>
      <c r="M2641" s="1"/>
    </row>
    <row r="2642" spans="12:13" x14ac:dyDescent="0.25">
      <c r="L2642" s="1"/>
      <c r="M2642" s="1"/>
    </row>
    <row r="2643" spans="12:13" x14ac:dyDescent="0.25">
      <c r="L2643" s="1"/>
    </row>
    <row r="2644" spans="12:13" x14ac:dyDescent="0.25">
      <c r="L2644" s="1"/>
      <c r="M2644" s="1"/>
    </row>
    <row r="2645" spans="12:13" x14ac:dyDescent="0.25">
      <c r="L2645" s="1"/>
    </row>
    <row r="2646" spans="12:13" x14ac:dyDescent="0.25">
      <c r="L2646" s="1"/>
      <c r="M2646" s="1"/>
    </row>
    <row r="2647" spans="12:13" x14ac:dyDescent="0.25">
      <c r="L2647" s="1"/>
      <c r="M2647" s="1"/>
    </row>
    <row r="2648" spans="12:13" x14ac:dyDescent="0.25">
      <c r="L2648" s="1"/>
      <c r="M2648" s="1"/>
    </row>
    <row r="2649" spans="12:13" x14ac:dyDescent="0.25">
      <c r="L2649" s="1"/>
    </row>
    <row r="2650" spans="12:13" x14ac:dyDescent="0.25">
      <c r="L2650" s="1"/>
      <c r="M2650" s="1"/>
    </row>
    <row r="2651" spans="12:13" x14ac:dyDescent="0.25">
      <c r="L2651" s="1"/>
      <c r="M2651" s="1"/>
    </row>
    <row r="2652" spans="12:13" x14ac:dyDescent="0.25">
      <c r="L2652" s="1"/>
      <c r="M2652" s="1"/>
    </row>
    <row r="2653" spans="12:13" x14ac:dyDescent="0.25">
      <c r="L2653" s="1"/>
    </row>
    <row r="2654" spans="12:13" x14ac:dyDescent="0.25">
      <c r="L2654" s="1"/>
      <c r="M2654" s="1"/>
    </row>
    <row r="2655" spans="12:13" x14ac:dyDescent="0.25">
      <c r="L2655" s="1"/>
      <c r="M2655" s="1"/>
    </row>
    <row r="2656" spans="12:13" x14ac:dyDescent="0.25">
      <c r="L2656" s="1"/>
      <c r="M2656" s="1"/>
    </row>
    <row r="2657" spans="12:13" x14ac:dyDescent="0.25">
      <c r="L2657" s="1"/>
      <c r="M2657" s="1"/>
    </row>
    <row r="2658" spans="12:13" x14ac:dyDescent="0.25">
      <c r="L2658" s="1"/>
      <c r="M2658" s="1"/>
    </row>
    <row r="2659" spans="12:13" x14ac:dyDescent="0.25">
      <c r="L2659" s="1"/>
      <c r="M2659" s="1"/>
    </row>
    <row r="2660" spans="12:13" x14ac:dyDescent="0.25">
      <c r="L2660" s="1"/>
    </row>
    <row r="2661" spans="12:13" x14ac:dyDescent="0.25">
      <c r="L2661" s="1"/>
    </row>
    <row r="2662" spans="12:13" x14ac:dyDescent="0.25">
      <c r="L2662" s="1"/>
      <c r="M2662" s="1"/>
    </row>
    <row r="2663" spans="12:13" x14ac:dyDescent="0.25">
      <c r="L2663" s="1"/>
      <c r="M2663" s="1"/>
    </row>
    <row r="2664" spans="12:13" x14ac:dyDescent="0.25">
      <c r="L2664" s="1"/>
      <c r="M2664" s="1"/>
    </row>
    <row r="2665" spans="12:13" x14ac:dyDescent="0.25">
      <c r="L2665" s="1"/>
      <c r="M2665" s="1"/>
    </row>
    <row r="2666" spans="12:13" x14ac:dyDescent="0.25">
      <c r="L2666" s="1"/>
    </row>
    <row r="2667" spans="12:13" x14ac:dyDescent="0.25">
      <c r="L2667" s="1"/>
      <c r="M2667" s="1"/>
    </row>
    <row r="2668" spans="12:13" x14ac:dyDescent="0.25">
      <c r="L2668" s="1"/>
      <c r="M2668" s="1"/>
    </row>
    <row r="2669" spans="12:13" x14ac:dyDescent="0.25">
      <c r="L2669" s="1"/>
      <c r="M2669" s="1"/>
    </row>
    <row r="2670" spans="12:13" x14ac:dyDescent="0.25">
      <c r="L2670" s="1"/>
      <c r="M2670" s="1"/>
    </row>
    <row r="2671" spans="12:13" x14ac:dyDescent="0.25">
      <c r="L2671" s="1"/>
    </row>
    <row r="2672" spans="12:13" x14ac:dyDescent="0.25">
      <c r="L2672" s="1"/>
      <c r="M2672" s="1"/>
    </row>
    <row r="2673" spans="12:13" x14ac:dyDescent="0.25">
      <c r="L2673" s="1"/>
      <c r="M2673" s="1"/>
    </row>
    <row r="2674" spans="12:13" x14ac:dyDescent="0.25">
      <c r="L2674" s="1"/>
    </row>
    <row r="2675" spans="12:13" x14ac:dyDescent="0.25">
      <c r="L2675" s="1"/>
      <c r="M2675" s="1"/>
    </row>
    <row r="2676" spans="12:13" x14ac:dyDescent="0.25">
      <c r="L2676" s="1"/>
    </row>
    <row r="2677" spans="12:13" x14ac:dyDescent="0.25">
      <c r="L2677" s="1"/>
    </row>
    <row r="2678" spans="12:13" x14ac:dyDescent="0.25">
      <c r="L2678" s="1"/>
      <c r="M2678" s="1"/>
    </row>
    <row r="2679" spans="12:13" x14ac:dyDescent="0.25">
      <c r="L2679" s="1"/>
      <c r="M2679" s="1"/>
    </row>
    <row r="2680" spans="12:13" x14ac:dyDescent="0.25">
      <c r="L2680" s="1"/>
      <c r="M2680" s="1"/>
    </row>
    <row r="2681" spans="12:13" x14ac:dyDescent="0.25">
      <c r="L2681" s="1"/>
      <c r="M2681" s="1"/>
    </row>
    <row r="2682" spans="12:13" x14ac:dyDescent="0.25">
      <c r="L2682" s="1"/>
      <c r="M2682" s="1"/>
    </row>
    <row r="2683" spans="12:13" x14ac:dyDescent="0.25">
      <c r="L2683" s="1"/>
      <c r="M2683" s="1"/>
    </row>
    <row r="2684" spans="12:13" x14ac:dyDescent="0.25">
      <c r="L2684" s="1"/>
      <c r="M2684" s="1"/>
    </row>
    <row r="2685" spans="12:13" x14ac:dyDescent="0.25">
      <c r="L2685" s="1"/>
      <c r="M2685" s="1"/>
    </row>
    <row r="2686" spans="12:13" x14ac:dyDescent="0.25">
      <c r="L2686" s="1"/>
      <c r="M2686" s="1"/>
    </row>
    <row r="2687" spans="12:13" x14ac:dyDescent="0.25">
      <c r="L2687" s="1"/>
      <c r="M2687" s="1"/>
    </row>
    <row r="2688" spans="12:13" x14ac:dyDescent="0.25">
      <c r="L2688" s="1"/>
    </row>
    <row r="2689" spans="12:13" x14ac:dyDescent="0.25">
      <c r="L2689" s="1"/>
      <c r="M2689" s="1"/>
    </row>
    <row r="2690" spans="12:13" x14ac:dyDescent="0.25">
      <c r="L2690" s="1"/>
    </row>
    <row r="2691" spans="12:13" x14ac:dyDescent="0.25">
      <c r="L2691" s="1"/>
    </row>
    <row r="2692" spans="12:13" x14ac:dyDescent="0.25">
      <c r="L2692" s="1"/>
      <c r="M2692" s="1"/>
    </row>
    <row r="2693" spans="12:13" x14ac:dyDescent="0.25">
      <c r="L2693" s="1"/>
      <c r="M2693" s="1"/>
    </row>
    <row r="2694" spans="12:13" x14ac:dyDescent="0.25">
      <c r="L2694" s="1"/>
    </row>
    <row r="2695" spans="12:13" x14ac:dyDescent="0.25">
      <c r="L2695" s="1"/>
      <c r="M2695" s="1"/>
    </row>
    <row r="2696" spans="12:13" x14ac:dyDescent="0.25">
      <c r="L2696" s="1"/>
      <c r="M2696" s="1"/>
    </row>
    <row r="2697" spans="12:13" x14ac:dyDescent="0.25">
      <c r="L2697" s="1"/>
      <c r="M2697" s="1"/>
    </row>
    <row r="2698" spans="12:13" x14ac:dyDescent="0.25">
      <c r="L2698" s="1"/>
    </row>
    <row r="2699" spans="12:13" x14ac:dyDescent="0.25">
      <c r="L2699" s="1"/>
      <c r="M2699" s="1"/>
    </row>
    <row r="2700" spans="12:13" x14ac:dyDescent="0.25">
      <c r="L2700" s="1"/>
      <c r="M2700" s="1"/>
    </row>
    <row r="2701" spans="12:13" x14ac:dyDescent="0.25">
      <c r="L2701" s="1"/>
      <c r="M2701" s="1"/>
    </row>
    <row r="2702" spans="12:13" x14ac:dyDescent="0.25">
      <c r="L2702" s="1"/>
      <c r="M2702" s="1"/>
    </row>
    <row r="2703" spans="12:13" x14ac:dyDescent="0.25">
      <c r="L2703" s="1"/>
    </row>
    <row r="2704" spans="12:13" x14ac:dyDescent="0.25">
      <c r="L2704" s="1"/>
    </row>
    <row r="2705" spans="12:13" x14ac:dyDescent="0.25">
      <c r="L2705" s="1"/>
      <c r="M2705" s="1"/>
    </row>
    <row r="2706" spans="12:13" x14ac:dyDescent="0.25">
      <c r="L2706" s="1"/>
      <c r="M2706" s="1"/>
    </row>
    <row r="2707" spans="12:13" x14ac:dyDescent="0.25">
      <c r="L2707" s="1"/>
      <c r="M2707" s="1"/>
    </row>
    <row r="2708" spans="12:13" x14ac:dyDescent="0.25">
      <c r="L2708" s="1"/>
      <c r="M2708" s="1"/>
    </row>
    <row r="2709" spans="12:13" x14ac:dyDescent="0.25">
      <c r="L2709" s="1"/>
      <c r="M2709" s="1"/>
    </row>
    <row r="2710" spans="12:13" x14ac:dyDescent="0.25">
      <c r="L2710" s="1"/>
      <c r="M2710" s="1"/>
    </row>
    <row r="2711" spans="12:13" x14ac:dyDescent="0.25">
      <c r="L2711" s="1"/>
      <c r="M2711" s="1"/>
    </row>
    <row r="2712" spans="12:13" x14ac:dyDescent="0.25">
      <c r="L2712" s="1"/>
      <c r="M2712" s="1"/>
    </row>
    <row r="2713" spans="12:13" x14ac:dyDescent="0.25">
      <c r="L2713" s="1"/>
    </row>
    <row r="2714" spans="12:13" x14ac:dyDescent="0.25">
      <c r="L2714" s="1"/>
      <c r="M2714" s="1"/>
    </row>
    <row r="2715" spans="12:13" x14ac:dyDescent="0.25">
      <c r="L2715" s="1"/>
    </row>
    <row r="2716" spans="12:13" x14ac:dyDescent="0.25">
      <c r="L2716" s="1"/>
    </row>
    <row r="2717" spans="12:13" x14ac:dyDescent="0.25">
      <c r="L2717" s="1"/>
      <c r="M2717" s="1"/>
    </row>
    <row r="2718" spans="12:13" x14ac:dyDescent="0.25">
      <c r="L2718" s="1"/>
    </row>
    <row r="2719" spans="12:13" x14ac:dyDescent="0.25">
      <c r="L2719" s="1"/>
      <c r="M2719" s="1"/>
    </row>
    <row r="2720" spans="12:13" x14ac:dyDescent="0.25">
      <c r="L2720" s="1"/>
      <c r="M2720" s="1"/>
    </row>
    <row r="2721" spans="12:13" x14ac:dyDescent="0.25">
      <c r="L2721" s="1"/>
      <c r="M2721" s="1"/>
    </row>
    <row r="2722" spans="12:13" x14ac:dyDescent="0.25">
      <c r="L2722" s="1"/>
      <c r="M2722" s="1"/>
    </row>
    <row r="2723" spans="12:13" x14ac:dyDescent="0.25">
      <c r="L2723" s="1"/>
      <c r="M2723" s="1"/>
    </row>
    <row r="2724" spans="12:13" x14ac:dyDescent="0.25">
      <c r="L2724" s="1"/>
      <c r="M2724" s="1"/>
    </row>
    <row r="2725" spans="12:13" x14ac:dyDescent="0.25">
      <c r="L2725" s="1"/>
      <c r="M2725" s="1"/>
    </row>
    <row r="2726" spans="12:13" x14ac:dyDescent="0.25">
      <c r="L2726" s="1"/>
      <c r="M2726" s="1"/>
    </row>
    <row r="2727" spans="12:13" x14ac:dyDescent="0.25">
      <c r="L2727" s="1"/>
      <c r="M2727" s="1"/>
    </row>
    <row r="2728" spans="12:13" x14ac:dyDescent="0.25">
      <c r="L2728" s="1"/>
      <c r="M2728" s="1"/>
    </row>
    <row r="2729" spans="12:13" x14ac:dyDescent="0.25">
      <c r="L2729" s="1"/>
      <c r="M2729" s="1"/>
    </row>
    <row r="2730" spans="12:13" x14ac:dyDescent="0.25">
      <c r="L2730" s="1"/>
      <c r="M2730" s="1"/>
    </row>
    <row r="2731" spans="12:13" x14ac:dyDescent="0.25">
      <c r="L2731" s="1"/>
      <c r="M2731" s="1"/>
    </row>
    <row r="2732" spans="12:13" x14ac:dyDescent="0.25">
      <c r="L2732" s="1"/>
    </row>
    <row r="2733" spans="12:13" x14ac:dyDescent="0.25">
      <c r="L2733" s="1"/>
    </row>
    <row r="2734" spans="12:13" x14ac:dyDescent="0.25">
      <c r="L2734" s="1"/>
      <c r="M2734" s="1"/>
    </row>
    <row r="2735" spans="12:13" x14ac:dyDescent="0.25">
      <c r="L2735" s="1"/>
      <c r="M2735" s="1"/>
    </row>
    <row r="2736" spans="12:13" x14ac:dyDescent="0.25">
      <c r="L2736" s="1"/>
    </row>
    <row r="2737" spans="12:13" x14ac:dyDescent="0.25">
      <c r="L2737" s="1"/>
      <c r="M2737" s="1"/>
    </row>
    <row r="2738" spans="12:13" x14ac:dyDescent="0.25">
      <c r="L2738" s="1"/>
      <c r="M2738" s="1"/>
    </row>
    <row r="2739" spans="12:13" x14ac:dyDescent="0.25">
      <c r="L2739" s="1"/>
    </row>
    <row r="2740" spans="12:13" x14ac:dyDescent="0.25">
      <c r="L2740" s="1"/>
      <c r="M2740" s="1"/>
    </row>
    <row r="2741" spans="12:13" x14ac:dyDescent="0.25">
      <c r="L2741" s="1"/>
      <c r="M2741" s="1"/>
    </row>
    <row r="2742" spans="12:13" x14ac:dyDescent="0.25">
      <c r="L2742" s="1"/>
      <c r="M2742" s="1"/>
    </row>
    <row r="2743" spans="12:13" x14ac:dyDescent="0.25">
      <c r="L2743" s="1"/>
      <c r="M2743" s="1"/>
    </row>
    <row r="2744" spans="12:13" x14ac:dyDescent="0.25">
      <c r="L2744" s="1"/>
      <c r="M2744" s="1"/>
    </row>
    <row r="2745" spans="12:13" x14ac:dyDescent="0.25">
      <c r="L2745" s="1"/>
    </row>
    <row r="2746" spans="12:13" x14ac:dyDescent="0.25">
      <c r="L2746" s="1"/>
    </row>
    <row r="2747" spans="12:13" x14ac:dyDescent="0.25">
      <c r="L2747" s="1"/>
      <c r="M2747" s="1"/>
    </row>
    <row r="2748" spans="12:13" x14ac:dyDescent="0.25">
      <c r="L2748" s="1"/>
      <c r="M2748" s="1"/>
    </row>
    <row r="2749" spans="12:13" x14ac:dyDescent="0.25">
      <c r="L2749" s="1"/>
    </row>
    <row r="2750" spans="12:13" x14ac:dyDescent="0.25">
      <c r="L2750" s="1"/>
      <c r="M2750" s="1"/>
    </row>
    <row r="2751" spans="12:13" x14ac:dyDescent="0.25">
      <c r="L2751" s="1"/>
      <c r="M2751" s="1"/>
    </row>
    <row r="2752" spans="12:13" x14ac:dyDescent="0.25">
      <c r="L2752" s="1"/>
      <c r="M2752" s="1"/>
    </row>
    <row r="2753" spans="12:13" x14ac:dyDescent="0.25">
      <c r="L2753" s="1"/>
      <c r="M2753" s="1"/>
    </row>
    <row r="2754" spans="12:13" x14ac:dyDescent="0.25">
      <c r="L2754" s="1"/>
      <c r="M2754" s="1"/>
    </row>
    <row r="2755" spans="12:13" x14ac:dyDescent="0.25">
      <c r="L2755" s="1"/>
      <c r="M2755" s="1"/>
    </row>
    <row r="2756" spans="12:13" x14ac:dyDescent="0.25">
      <c r="L2756" s="1"/>
      <c r="M2756" s="1"/>
    </row>
    <row r="2757" spans="12:13" x14ac:dyDescent="0.25">
      <c r="L2757" s="1"/>
    </row>
    <row r="2758" spans="12:13" x14ac:dyDescent="0.25">
      <c r="L2758" s="1"/>
    </row>
    <row r="2759" spans="12:13" x14ac:dyDescent="0.25">
      <c r="L2759" s="1"/>
      <c r="M2759" s="1"/>
    </row>
    <row r="2760" spans="12:13" x14ac:dyDescent="0.25">
      <c r="L2760" s="1"/>
      <c r="M2760" s="1"/>
    </row>
    <row r="2761" spans="12:13" x14ac:dyDescent="0.25">
      <c r="L2761" s="1"/>
      <c r="M2761" s="1"/>
    </row>
    <row r="2762" spans="12:13" x14ac:dyDescent="0.25">
      <c r="L2762" s="1"/>
      <c r="M2762" s="1"/>
    </row>
    <row r="2763" spans="12:13" x14ac:dyDescent="0.25">
      <c r="L2763" s="1"/>
    </row>
    <row r="2764" spans="12:13" x14ac:dyDescent="0.25">
      <c r="L2764" s="1"/>
      <c r="M2764" s="1"/>
    </row>
    <row r="2765" spans="12:13" x14ac:dyDescent="0.25">
      <c r="L2765" s="1"/>
    </row>
    <row r="2766" spans="12:13" x14ac:dyDescent="0.25">
      <c r="L2766" s="1"/>
      <c r="M2766" s="1"/>
    </row>
    <row r="2767" spans="12:13" x14ac:dyDescent="0.25">
      <c r="L2767" s="1"/>
    </row>
    <row r="2768" spans="12:13" x14ac:dyDescent="0.25">
      <c r="L2768" s="1"/>
      <c r="M2768" s="1"/>
    </row>
    <row r="2769" spans="12:13" x14ac:dyDescent="0.25">
      <c r="L2769" s="1"/>
      <c r="M2769" s="1"/>
    </row>
    <row r="2770" spans="12:13" x14ac:dyDescent="0.25">
      <c r="L2770" s="1"/>
      <c r="M2770" s="1"/>
    </row>
    <row r="2771" spans="12:13" x14ac:dyDescent="0.25">
      <c r="L2771" s="1"/>
      <c r="M2771" s="1"/>
    </row>
    <row r="2772" spans="12:13" x14ac:dyDescent="0.25">
      <c r="L2772" s="1"/>
      <c r="M2772" s="1"/>
    </row>
    <row r="2773" spans="12:13" x14ac:dyDescent="0.25">
      <c r="L2773" s="1"/>
    </row>
    <row r="2774" spans="12:13" x14ac:dyDescent="0.25">
      <c r="L2774" s="1"/>
      <c r="M2774" s="1"/>
    </row>
    <row r="2775" spans="12:13" x14ac:dyDescent="0.25">
      <c r="L2775" s="1"/>
      <c r="M2775" s="1"/>
    </row>
    <row r="2776" spans="12:13" x14ac:dyDescent="0.25">
      <c r="L2776" s="1"/>
    </row>
    <row r="2777" spans="12:13" x14ac:dyDescent="0.25">
      <c r="L2777" s="1"/>
      <c r="M2777" s="1"/>
    </row>
    <row r="2778" spans="12:13" x14ac:dyDescent="0.25">
      <c r="L2778" s="1"/>
      <c r="M2778" s="1"/>
    </row>
    <row r="2779" spans="12:13" x14ac:dyDescent="0.25">
      <c r="L2779" s="1"/>
      <c r="M2779" s="1"/>
    </row>
    <row r="2780" spans="12:13" x14ac:dyDescent="0.25">
      <c r="L2780" s="1"/>
      <c r="M2780" s="1"/>
    </row>
    <row r="2781" spans="12:13" x14ac:dyDescent="0.25">
      <c r="L2781" s="1"/>
      <c r="M2781" s="1"/>
    </row>
    <row r="2782" spans="12:13" x14ac:dyDescent="0.25">
      <c r="L2782" s="1"/>
    </row>
    <row r="2783" spans="12:13" x14ac:dyDescent="0.25">
      <c r="L2783" s="1"/>
      <c r="M2783" s="1"/>
    </row>
    <row r="2784" spans="12:13" x14ac:dyDescent="0.25">
      <c r="L2784" s="1"/>
      <c r="M2784" s="1"/>
    </row>
    <row r="2785" spans="12:13" x14ac:dyDescent="0.25">
      <c r="L2785" s="1"/>
      <c r="M2785" s="1"/>
    </row>
    <row r="2786" spans="12:13" x14ac:dyDescent="0.25">
      <c r="L2786" s="1"/>
      <c r="M2786" s="1"/>
    </row>
    <row r="2787" spans="12:13" x14ac:dyDescent="0.25">
      <c r="L2787" s="1"/>
    </row>
    <row r="2788" spans="12:13" x14ac:dyDescent="0.25">
      <c r="L2788" s="1"/>
      <c r="M2788" s="1"/>
    </row>
    <row r="2789" spans="12:13" x14ac:dyDescent="0.25">
      <c r="L2789" s="1"/>
      <c r="M2789" s="1"/>
    </row>
    <row r="2790" spans="12:13" x14ac:dyDescent="0.25">
      <c r="L2790" s="1"/>
      <c r="M2790" s="1"/>
    </row>
    <row r="2791" spans="12:13" x14ac:dyDescent="0.25">
      <c r="L2791" s="1"/>
      <c r="M2791" s="1"/>
    </row>
    <row r="2792" spans="12:13" x14ac:dyDescent="0.25">
      <c r="L2792" s="1"/>
      <c r="M2792" s="1"/>
    </row>
    <row r="2793" spans="12:13" x14ac:dyDescent="0.25">
      <c r="L2793" s="1"/>
      <c r="M2793" s="1"/>
    </row>
    <row r="2794" spans="12:13" x14ac:dyDescent="0.25">
      <c r="L2794" s="1"/>
      <c r="M2794" s="1"/>
    </row>
    <row r="2795" spans="12:13" x14ac:dyDescent="0.25">
      <c r="L2795" s="1"/>
      <c r="M2795" s="1"/>
    </row>
    <row r="2796" spans="12:13" x14ac:dyDescent="0.25">
      <c r="L2796" s="1"/>
      <c r="M2796" s="1"/>
    </row>
    <row r="2797" spans="12:13" x14ac:dyDescent="0.25">
      <c r="L2797" s="1"/>
      <c r="M2797" s="1"/>
    </row>
    <row r="2798" spans="12:13" x14ac:dyDescent="0.25">
      <c r="L2798" s="1"/>
      <c r="M2798" s="1"/>
    </row>
    <row r="2799" spans="12:13" x14ac:dyDescent="0.25">
      <c r="L2799" s="1"/>
      <c r="M2799" s="1"/>
    </row>
    <row r="2800" spans="12:13" x14ac:dyDescent="0.25">
      <c r="L2800" s="1"/>
      <c r="M2800" s="1"/>
    </row>
    <row r="2801" spans="12:13" x14ac:dyDescent="0.25">
      <c r="L2801" s="1"/>
      <c r="M2801" s="1"/>
    </row>
    <row r="2802" spans="12:13" x14ac:dyDescent="0.25">
      <c r="L2802" s="1"/>
      <c r="M2802" s="1"/>
    </row>
    <row r="2803" spans="12:13" x14ac:dyDescent="0.25">
      <c r="L2803" s="1"/>
      <c r="M2803" s="1"/>
    </row>
    <row r="2804" spans="12:13" x14ac:dyDescent="0.25">
      <c r="L2804" s="1"/>
    </row>
    <row r="2805" spans="12:13" x14ac:dyDescent="0.25">
      <c r="L2805" s="1"/>
    </row>
    <row r="2806" spans="12:13" x14ac:dyDescent="0.25">
      <c r="L2806" s="1"/>
      <c r="M2806" s="1"/>
    </row>
    <row r="2807" spans="12:13" x14ac:dyDescent="0.25">
      <c r="L2807" s="1"/>
    </row>
    <row r="2808" spans="12:13" x14ac:dyDescent="0.25">
      <c r="L2808" s="1"/>
      <c r="M2808" s="1"/>
    </row>
    <row r="2809" spans="12:13" x14ac:dyDescent="0.25">
      <c r="L2809" s="1"/>
      <c r="M2809" s="1"/>
    </row>
    <row r="2810" spans="12:13" x14ac:dyDescent="0.25">
      <c r="L2810" s="1"/>
      <c r="M2810" s="1"/>
    </row>
    <row r="2811" spans="12:13" x14ac:dyDescent="0.25">
      <c r="L2811" s="1"/>
    </row>
    <row r="2812" spans="12:13" x14ac:dyDescent="0.25">
      <c r="L2812" s="1"/>
      <c r="M2812" s="1"/>
    </row>
    <row r="2813" spans="12:13" x14ac:dyDescent="0.25">
      <c r="L2813" s="1"/>
      <c r="M2813" s="1"/>
    </row>
    <row r="2814" spans="12:13" x14ac:dyDescent="0.25">
      <c r="L2814" s="1"/>
      <c r="M2814" s="1"/>
    </row>
    <row r="2815" spans="12:13" x14ac:dyDescent="0.25">
      <c r="L2815" s="1"/>
      <c r="M2815" s="1"/>
    </row>
    <row r="2816" spans="12:13" x14ac:dyDescent="0.25">
      <c r="L2816" s="1"/>
      <c r="M2816" s="1"/>
    </row>
    <row r="2817" spans="12:13" x14ac:dyDescent="0.25">
      <c r="L2817" s="1"/>
      <c r="M2817" s="1"/>
    </row>
    <row r="2818" spans="12:13" x14ac:dyDescent="0.25">
      <c r="L2818" s="1"/>
      <c r="M2818" s="1"/>
    </row>
    <row r="2819" spans="12:13" x14ac:dyDescent="0.25">
      <c r="L2819" s="1"/>
    </row>
    <row r="2820" spans="12:13" x14ac:dyDescent="0.25">
      <c r="L2820" s="1"/>
      <c r="M2820" s="1"/>
    </row>
    <row r="2821" spans="12:13" x14ac:dyDescent="0.25">
      <c r="L2821" s="1"/>
      <c r="M2821" s="1"/>
    </row>
    <row r="2822" spans="12:13" x14ac:dyDescent="0.25">
      <c r="L2822" s="1"/>
      <c r="M2822" s="1"/>
    </row>
    <row r="2823" spans="12:13" x14ac:dyDescent="0.25">
      <c r="L2823" s="1"/>
    </row>
    <row r="2824" spans="12:13" x14ac:dyDescent="0.25">
      <c r="L2824" s="1"/>
      <c r="M2824" s="1"/>
    </row>
    <row r="2825" spans="12:13" x14ac:dyDescent="0.25">
      <c r="L2825" s="1"/>
      <c r="M2825" s="1"/>
    </row>
    <row r="2826" spans="12:13" x14ac:dyDescent="0.25">
      <c r="L2826" s="1"/>
      <c r="M2826" s="1"/>
    </row>
    <row r="2827" spans="12:13" x14ac:dyDescent="0.25">
      <c r="L2827" s="1"/>
      <c r="M2827" s="1"/>
    </row>
    <row r="2828" spans="12:13" x14ac:dyDescent="0.25">
      <c r="L2828" s="1"/>
      <c r="M2828" s="1"/>
    </row>
    <row r="2829" spans="12:13" x14ac:dyDescent="0.25">
      <c r="L2829" s="1"/>
      <c r="M2829" s="1"/>
    </row>
    <row r="2830" spans="12:13" x14ac:dyDescent="0.25">
      <c r="L2830" s="1"/>
      <c r="M2830" s="1"/>
    </row>
    <row r="2831" spans="12:13" x14ac:dyDescent="0.25">
      <c r="L2831" s="1"/>
      <c r="M2831" s="1"/>
    </row>
    <row r="2832" spans="12:13" x14ac:dyDescent="0.25">
      <c r="L2832" s="1"/>
      <c r="M2832" s="1"/>
    </row>
    <row r="2833" spans="12:13" x14ac:dyDescent="0.25">
      <c r="L2833" s="1"/>
      <c r="M2833" s="1"/>
    </row>
    <row r="2834" spans="12:13" x14ac:dyDescent="0.25">
      <c r="L2834" s="1"/>
      <c r="M2834" s="1"/>
    </row>
    <row r="2835" spans="12:13" x14ac:dyDescent="0.25">
      <c r="L2835" s="1"/>
      <c r="M2835" s="1"/>
    </row>
    <row r="2836" spans="12:13" x14ac:dyDescent="0.25">
      <c r="L2836" s="1"/>
      <c r="M2836" s="1"/>
    </row>
    <row r="2837" spans="12:13" x14ac:dyDescent="0.25">
      <c r="L2837" s="1"/>
    </row>
    <row r="2838" spans="12:13" x14ac:dyDescent="0.25">
      <c r="L2838" s="1"/>
      <c r="M2838" s="1"/>
    </row>
    <row r="2839" spans="12:13" x14ac:dyDescent="0.25">
      <c r="L2839" s="1"/>
      <c r="M2839" s="1"/>
    </row>
    <row r="2840" spans="12:13" x14ac:dyDescent="0.25">
      <c r="L2840" s="1"/>
      <c r="M2840" s="1"/>
    </row>
    <row r="2841" spans="12:13" x14ac:dyDescent="0.25">
      <c r="L2841" s="1"/>
      <c r="M2841" s="1"/>
    </row>
    <row r="2842" spans="12:13" x14ac:dyDescent="0.25">
      <c r="L2842" s="1"/>
      <c r="M2842" s="1"/>
    </row>
    <row r="2843" spans="12:13" x14ac:dyDescent="0.25">
      <c r="L2843" s="1"/>
      <c r="M2843" s="1"/>
    </row>
    <row r="2844" spans="12:13" x14ac:dyDescent="0.25">
      <c r="L2844" s="1"/>
    </row>
    <row r="2845" spans="12:13" x14ac:dyDescent="0.25">
      <c r="L2845" s="1"/>
      <c r="M2845" s="1"/>
    </row>
    <row r="2846" spans="12:13" x14ac:dyDescent="0.25">
      <c r="L2846" s="1"/>
      <c r="M2846" s="1"/>
    </row>
    <row r="2847" spans="12:13" x14ac:dyDescent="0.25">
      <c r="L2847" s="1"/>
      <c r="M2847" s="1"/>
    </row>
    <row r="2848" spans="12:13" x14ac:dyDescent="0.25">
      <c r="L2848" s="1"/>
      <c r="M2848" s="1"/>
    </row>
    <row r="2849" spans="12:13" x14ac:dyDescent="0.25">
      <c r="L2849" s="1"/>
      <c r="M2849" s="1"/>
    </row>
    <row r="2850" spans="12:13" x14ac:dyDescent="0.25">
      <c r="L2850" s="1"/>
      <c r="M2850" s="1"/>
    </row>
    <row r="2851" spans="12:13" x14ac:dyDescent="0.25">
      <c r="L2851" s="1"/>
      <c r="M2851" s="1"/>
    </row>
    <row r="2852" spans="12:13" x14ac:dyDescent="0.25">
      <c r="L2852" s="1"/>
      <c r="M2852" s="1"/>
    </row>
    <row r="2853" spans="12:13" x14ac:dyDescent="0.25">
      <c r="L2853" s="1"/>
      <c r="M2853" s="1"/>
    </row>
    <row r="2854" spans="12:13" x14ac:dyDescent="0.25">
      <c r="L2854" s="1"/>
    </row>
    <row r="2855" spans="12:13" x14ac:dyDescent="0.25">
      <c r="L2855" s="1"/>
      <c r="M2855" s="1"/>
    </row>
    <row r="2856" spans="12:13" x14ac:dyDescent="0.25">
      <c r="L2856" s="1"/>
      <c r="M2856" s="1"/>
    </row>
    <row r="2857" spans="12:13" x14ac:dyDescent="0.25">
      <c r="L2857" s="1"/>
      <c r="M2857" s="1"/>
    </row>
    <row r="2858" spans="12:13" x14ac:dyDescent="0.25">
      <c r="L2858" s="1"/>
      <c r="M2858" s="1"/>
    </row>
    <row r="2860" spans="12:13" x14ac:dyDescent="0.25">
      <c r="L2860" s="1"/>
      <c r="M2860" s="1"/>
    </row>
    <row r="2861" spans="12:13" x14ac:dyDescent="0.25">
      <c r="L2861" s="1"/>
      <c r="M2861" s="1"/>
    </row>
    <row r="2862" spans="12:13" x14ac:dyDescent="0.25">
      <c r="L2862" s="1"/>
      <c r="M2862" s="1"/>
    </row>
    <row r="2863" spans="12:13" x14ac:dyDescent="0.25">
      <c r="L2863" s="1"/>
    </row>
    <row r="2864" spans="12:13" x14ac:dyDescent="0.25">
      <c r="L2864" s="1"/>
      <c r="M2864" s="1"/>
    </row>
    <row r="2865" spans="12:13" x14ac:dyDescent="0.25">
      <c r="L2865" s="1"/>
    </row>
    <row r="2866" spans="12:13" x14ac:dyDescent="0.25">
      <c r="L2866" s="1"/>
      <c r="M2866" s="1"/>
    </row>
    <row r="2867" spans="12:13" x14ac:dyDescent="0.25">
      <c r="L2867" s="1"/>
      <c r="M2867" s="1"/>
    </row>
    <row r="2868" spans="12:13" x14ac:dyDescent="0.25">
      <c r="L2868" s="1"/>
      <c r="M2868" s="1"/>
    </row>
    <row r="2869" spans="12:13" x14ac:dyDescent="0.25">
      <c r="L2869" s="1"/>
      <c r="M2869" s="1"/>
    </row>
    <row r="2870" spans="12:13" x14ac:dyDescent="0.25">
      <c r="L2870" s="1"/>
    </row>
    <row r="2871" spans="12:13" x14ac:dyDescent="0.25">
      <c r="L2871" s="1"/>
    </row>
    <row r="2872" spans="12:13" x14ac:dyDescent="0.25">
      <c r="L2872" s="1"/>
      <c r="M2872" s="1"/>
    </row>
    <row r="2873" spans="12:13" x14ac:dyDescent="0.25">
      <c r="L2873" s="1"/>
      <c r="M2873" s="1"/>
    </row>
    <row r="2874" spans="12:13" x14ac:dyDescent="0.25">
      <c r="L2874" s="1"/>
      <c r="M2874" s="1"/>
    </row>
    <row r="2875" spans="12:13" x14ac:dyDescent="0.25">
      <c r="L2875" s="1"/>
      <c r="M2875" s="1"/>
    </row>
    <row r="2876" spans="12:13" x14ac:dyDescent="0.25">
      <c r="L2876" s="1"/>
      <c r="M2876" s="1"/>
    </row>
    <row r="2877" spans="12:13" x14ac:dyDescent="0.25">
      <c r="L2877" s="1"/>
      <c r="M2877" s="1"/>
    </row>
    <row r="2878" spans="12:13" x14ac:dyDescent="0.25">
      <c r="L2878" s="1"/>
      <c r="M2878" s="1"/>
    </row>
    <row r="2879" spans="12:13" x14ac:dyDescent="0.25">
      <c r="L2879" s="1"/>
      <c r="M2879" s="1"/>
    </row>
    <row r="2880" spans="12:13" x14ac:dyDescent="0.25">
      <c r="L2880" s="1"/>
    </row>
    <row r="2881" spans="12:13" x14ac:dyDescent="0.25">
      <c r="L2881" s="1"/>
      <c r="M2881" s="1"/>
    </row>
    <row r="2882" spans="12:13" x14ac:dyDescent="0.25">
      <c r="L2882" s="1"/>
      <c r="M2882" s="1"/>
    </row>
    <row r="2883" spans="12:13" x14ac:dyDescent="0.25">
      <c r="L2883" s="1"/>
    </row>
    <row r="2884" spans="12:13" x14ac:dyDescent="0.25">
      <c r="L2884" s="1"/>
      <c r="M2884" s="1"/>
    </row>
    <row r="2885" spans="12:13" x14ac:dyDescent="0.25">
      <c r="L2885" s="1"/>
      <c r="M2885" s="1"/>
    </row>
    <row r="2886" spans="12:13" x14ac:dyDescent="0.25">
      <c r="L2886" s="1"/>
      <c r="M2886" s="1"/>
    </row>
    <row r="2887" spans="12:13" x14ac:dyDescent="0.25">
      <c r="L2887" s="1"/>
      <c r="M2887" s="1"/>
    </row>
    <row r="2888" spans="12:13" x14ac:dyDescent="0.25">
      <c r="L2888" s="1"/>
      <c r="M2888" s="1"/>
    </row>
    <row r="2889" spans="12:13" x14ac:dyDescent="0.25">
      <c r="L2889" s="1"/>
      <c r="M2889" s="1"/>
    </row>
    <row r="2890" spans="12:13" x14ac:dyDescent="0.25">
      <c r="L2890" s="1"/>
      <c r="M2890" s="1"/>
    </row>
    <row r="2891" spans="12:13" x14ac:dyDescent="0.25">
      <c r="L2891" s="1"/>
      <c r="M2891" s="1"/>
    </row>
    <row r="2892" spans="12:13" x14ac:dyDescent="0.25">
      <c r="L2892" s="1"/>
      <c r="M2892" s="1"/>
    </row>
    <row r="2893" spans="12:13" x14ac:dyDescent="0.25">
      <c r="L2893" s="1"/>
      <c r="M2893" s="1"/>
    </row>
    <row r="2894" spans="12:13" x14ac:dyDescent="0.25">
      <c r="L2894" s="1"/>
      <c r="M2894" s="1"/>
    </row>
    <row r="2895" spans="12:13" x14ac:dyDescent="0.25">
      <c r="L2895" s="1"/>
      <c r="M2895" s="1"/>
    </row>
    <row r="2896" spans="12:13" x14ac:dyDescent="0.25">
      <c r="L2896" s="1"/>
      <c r="M2896" s="1"/>
    </row>
    <row r="2897" spans="12:13" x14ac:dyDescent="0.25">
      <c r="L2897" s="1"/>
      <c r="M2897" s="1"/>
    </row>
    <row r="2898" spans="12:13" x14ac:dyDescent="0.25">
      <c r="L2898" s="1"/>
      <c r="M2898" s="1"/>
    </row>
    <row r="2899" spans="12:13" x14ac:dyDescent="0.25">
      <c r="L2899" s="1"/>
      <c r="M2899" s="1"/>
    </row>
    <row r="2900" spans="12:13" x14ac:dyDescent="0.25">
      <c r="L2900" s="1"/>
      <c r="M2900" s="1"/>
    </row>
    <row r="2901" spans="12:13" x14ac:dyDescent="0.25">
      <c r="L2901" s="1"/>
      <c r="M2901" s="1"/>
    </row>
    <row r="2902" spans="12:13" x14ac:dyDescent="0.25">
      <c r="L2902" s="1"/>
      <c r="M2902" s="1"/>
    </row>
    <row r="2903" spans="12:13" x14ac:dyDescent="0.25">
      <c r="L2903" s="1"/>
      <c r="M2903" s="1"/>
    </row>
    <row r="2904" spans="12:13" x14ac:dyDescent="0.25">
      <c r="L2904" s="1"/>
      <c r="M2904" s="1"/>
    </row>
    <row r="2905" spans="12:13" x14ac:dyDescent="0.25">
      <c r="L2905" s="1"/>
      <c r="M2905" s="1"/>
    </row>
    <row r="2906" spans="12:13" x14ac:dyDescent="0.25">
      <c r="L2906" s="1"/>
    </row>
    <row r="2907" spans="12:13" x14ac:dyDescent="0.25">
      <c r="L2907" s="1"/>
      <c r="M2907" s="1"/>
    </row>
    <row r="2908" spans="12:13" x14ac:dyDescent="0.25">
      <c r="L2908" s="1"/>
    </row>
    <row r="2909" spans="12:13" x14ac:dyDescent="0.25">
      <c r="L2909" s="1"/>
    </row>
    <row r="2910" spans="12:13" x14ac:dyDescent="0.25">
      <c r="L2910" s="1"/>
      <c r="M2910" s="1"/>
    </row>
    <row r="2911" spans="12:13" x14ac:dyDescent="0.25">
      <c r="L2911" s="1"/>
      <c r="M2911" s="1"/>
    </row>
    <row r="2912" spans="12:13" x14ac:dyDescent="0.25">
      <c r="L2912" s="1"/>
      <c r="M2912" s="1"/>
    </row>
    <row r="2913" spans="12:13" x14ac:dyDescent="0.25">
      <c r="L2913" s="1"/>
      <c r="M2913" s="1"/>
    </row>
    <row r="2914" spans="12:13" x14ac:dyDescent="0.25">
      <c r="L2914" s="1"/>
      <c r="M2914" s="1"/>
    </row>
    <row r="2915" spans="12:13" x14ac:dyDescent="0.25">
      <c r="L2915" s="1"/>
      <c r="M2915" s="1"/>
    </row>
    <row r="2916" spans="12:13" x14ac:dyDescent="0.25">
      <c r="L2916" s="1"/>
      <c r="M2916" s="1"/>
    </row>
    <row r="2917" spans="12:13" x14ac:dyDescent="0.25">
      <c r="L2917" s="1"/>
      <c r="M2917" s="1"/>
    </row>
    <row r="2918" spans="12:13" x14ac:dyDescent="0.25">
      <c r="L2918" s="1"/>
      <c r="M2918" s="1"/>
    </row>
    <row r="2919" spans="12:13" x14ac:dyDescent="0.25">
      <c r="L2919" s="1"/>
    </row>
    <row r="2920" spans="12:13" x14ac:dyDescent="0.25">
      <c r="L2920" s="1"/>
      <c r="M2920" s="1"/>
    </row>
    <row r="2921" spans="12:13" x14ac:dyDescent="0.25">
      <c r="L2921" s="1"/>
    </row>
    <row r="2922" spans="12:13" x14ac:dyDescent="0.25">
      <c r="L2922" s="1"/>
    </row>
    <row r="2923" spans="12:13" x14ac:dyDescent="0.25">
      <c r="L2923" s="1"/>
      <c r="M2923" s="1"/>
    </row>
    <row r="2924" spans="12:13" x14ac:dyDescent="0.25">
      <c r="L2924" s="1"/>
      <c r="M2924" s="1"/>
    </row>
    <row r="2925" spans="12:13" x14ac:dyDescent="0.25">
      <c r="L2925" s="1"/>
    </row>
    <row r="2926" spans="12:13" x14ac:dyDescent="0.25">
      <c r="L2926" s="1"/>
      <c r="M2926" s="1"/>
    </row>
    <row r="2927" spans="12:13" x14ac:dyDescent="0.25">
      <c r="L2927" s="1"/>
      <c r="M2927" s="1"/>
    </row>
    <row r="2928" spans="12:13" x14ac:dyDescent="0.25">
      <c r="L2928" s="1"/>
    </row>
    <row r="2929" spans="12:13" x14ac:dyDescent="0.25">
      <c r="L2929" s="1"/>
      <c r="M2929" s="1"/>
    </row>
    <row r="2930" spans="12:13" x14ac:dyDescent="0.25">
      <c r="L2930" s="1"/>
      <c r="M2930" s="1"/>
    </row>
    <row r="2931" spans="12:13" x14ac:dyDescent="0.25">
      <c r="L2931" s="1"/>
      <c r="M2931" s="1"/>
    </row>
    <row r="2932" spans="12:13" x14ac:dyDescent="0.25">
      <c r="L2932" s="1"/>
    </row>
    <row r="2933" spans="12:13" x14ac:dyDescent="0.25">
      <c r="L2933" s="1"/>
    </row>
    <row r="2934" spans="12:13" x14ac:dyDescent="0.25">
      <c r="L2934" s="1"/>
    </row>
    <row r="2935" spans="12:13" x14ac:dyDescent="0.25">
      <c r="L2935" s="1"/>
    </row>
    <row r="2936" spans="12:13" x14ac:dyDescent="0.25">
      <c r="L2936" s="1"/>
      <c r="M2936" s="1"/>
    </row>
    <row r="2937" spans="12:13" x14ac:dyDescent="0.25">
      <c r="L2937" s="1"/>
      <c r="M2937" s="1"/>
    </row>
    <row r="2938" spans="12:13" x14ac:dyDescent="0.25">
      <c r="L2938" s="1"/>
      <c r="M2938" s="1"/>
    </row>
    <row r="2939" spans="12:13" x14ac:dyDescent="0.25">
      <c r="L2939" s="1"/>
      <c r="M2939" s="1"/>
    </row>
    <row r="2940" spans="12:13" x14ac:dyDescent="0.25">
      <c r="L2940" s="1"/>
      <c r="M2940" s="1"/>
    </row>
    <row r="2941" spans="12:13" x14ac:dyDescent="0.25">
      <c r="L2941" s="1"/>
    </row>
    <row r="2942" spans="12:13" x14ac:dyDescent="0.25">
      <c r="L2942" s="1"/>
      <c r="M2942" s="1"/>
    </row>
    <row r="2943" spans="12:13" x14ac:dyDescent="0.25">
      <c r="L2943" s="1"/>
      <c r="M2943" s="1"/>
    </row>
    <row r="2944" spans="12:13" x14ac:dyDescent="0.25">
      <c r="L2944" s="1"/>
    </row>
    <row r="2945" spans="12:13" x14ac:dyDescent="0.25">
      <c r="L2945" s="1"/>
      <c r="M2945" s="1"/>
    </row>
    <row r="2946" spans="12:13" x14ac:dyDescent="0.25">
      <c r="L2946" s="1"/>
      <c r="M2946" s="1"/>
    </row>
    <row r="2947" spans="12:13" x14ac:dyDescent="0.25">
      <c r="L2947" s="1"/>
      <c r="M2947" s="1"/>
    </row>
    <row r="2948" spans="12:13" x14ac:dyDescent="0.25">
      <c r="L2948" s="1"/>
      <c r="M2948" s="1"/>
    </row>
    <row r="2949" spans="12:13" x14ac:dyDescent="0.25">
      <c r="L2949" s="1"/>
      <c r="M2949" s="1"/>
    </row>
    <row r="2950" spans="12:13" x14ac:dyDescent="0.25">
      <c r="L2950" s="1"/>
      <c r="M2950" s="1"/>
    </row>
    <row r="2951" spans="12:13" x14ac:dyDescent="0.25">
      <c r="L2951" s="1"/>
      <c r="M2951" s="1"/>
    </row>
    <row r="2952" spans="12:13" x14ac:dyDescent="0.25">
      <c r="L2952" s="1"/>
      <c r="M2952" s="1"/>
    </row>
    <row r="2953" spans="12:13" x14ac:dyDescent="0.25">
      <c r="L2953" s="1"/>
      <c r="M2953" s="1"/>
    </row>
    <row r="2954" spans="12:13" x14ac:dyDescent="0.25">
      <c r="L2954" s="1"/>
      <c r="M2954" s="1"/>
    </row>
    <row r="2955" spans="12:13" x14ac:dyDescent="0.25">
      <c r="L2955" s="1"/>
      <c r="M2955" s="1"/>
    </row>
    <row r="2956" spans="12:13" x14ac:dyDescent="0.25">
      <c r="L2956" s="1"/>
      <c r="M2956" s="1"/>
    </row>
    <row r="2957" spans="12:13" x14ac:dyDescent="0.25">
      <c r="L2957" s="1"/>
      <c r="M2957" s="1"/>
    </row>
    <row r="2958" spans="12:13" x14ac:dyDescent="0.25">
      <c r="L2958" s="1"/>
      <c r="M2958" s="1"/>
    </row>
    <row r="2959" spans="12:13" x14ac:dyDescent="0.25">
      <c r="L2959" s="1"/>
      <c r="M2959" s="1"/>
    </row>
    <row r="2960" spans="12:13" x14ac:dyDescent="0.25">
      <c r="L2960" s="1"/>
    </row>
    <row r="2961" spans="12:13" x14ac:dyDescent="0.25">
      <c r="L2961" s="1"/>
      <c r="M2961" s="1"/>
    </row>
    <row r="2962" spans="12:13" x14ac:dyDescent="0.25">
      <c r="L2962" s="1"/>
    </row>
    <row r="2963" spans="12:13" x14ac:dyDescent="0.25">
      <c r="L2963" s="1"/>
    </row>
    <row r="2964" spans="12:13" x14ac:dyDescent="0.25">
      <c r="L2964" s="1"/>
      <c r="M2964" s="1"/>
    </row>
    <row r="2965" spans="12:13" x14ac:dyDescent="0.25">
      <c r="L2965" s="1"/>
    </row>
    <row r="2966" spans="12:13" x14ac:dyDescent="0.25">
      <c r="L2966" s="1"/>
      <c r="M2966" s="1"/>
    </row>
    <row r="2967" spans="12:13" x14ac:dyDescent="0.25">
      <c r="L2967" s="1"/>
      <c r="M2967" s="1"/>
    </row>
    <row r="2968" spans="12:13" x14ac:dyDescent="0.25">
      <c r="L2968" s="1"/>
    </row>
    <row r="2969" spans="12:13" x14ac:dyDescent="0.25">
      <c r="L2969" s="1"/>
      <c r="M2969" s="1"/>
    </row>
    <row r="2970" spans="12:13" x14ac:dyDescent="0.25">
      <c r="L2970" s="1"/>
      <c r="M2970" s="1"/>
    </row>
    <row r="2971" spans="12:13" x14ac:dyDescent="0.25">
      <c r="L2971" s="1"/>
    </row>
    <row r="2972" spans="12:13" x14ac:dyDescent="0.25">
      <c r="L2972" s="1"/>
      <c r="M2972" s="1"/>
    </row>
    <row r="2973" spans="12:13" x14ac:dyDescent="0.25">
      <c r="L2973" s="1"/>
    </row>
    <row r="2974" spans="12:13" x14ac:dyDescent="0.25">
      <c r="L2974" s="1"/>
    </row>
    <row r="2975" spans="12:13" x14ac:dyDescent="0.25">
      <c r="L2975" s="1"/>
      <c r="M2975" s="1"/>
    </row>
    <row r="2976" spans="12:13" x14ac:dyDescent="0.25">
      <c r="L2976" s="1"/>
      <c r="M2976" s="1"/>
    </row>
    <row r="2977" spans="12:13" x14ac:dyDescent="0.25">
      <c r="L2977" s="1"/>
      <c r="M2977" s="1"/>
    </row>
    <row r="2978" spans="12:13" x14ac:dyDescent="0.25">
      <c r="L2978" s="1"/>
      <c r="M2978" s="1"/>
    </row>
    <row r="2979" spans="12:13" x14ac:dyDescent="0.25">
      <c r="L2979" s="1"/>
      <c r="M2979" s="1"/>
    </row>
    <row r="2980" spans="12:13" x14ac:dyDescent="0.25">
      <c r="L2980" s="1"/>
    </row>
    <row r="2981" spans="12:13" x14ac:dyDescent="0.25">
      <c r="L2981" s="1"/>
      <c r="M2981" s="1"/>
    </row>
    <row r="2982" spans="12:13" x14ac:dyDescent="0.25">
      <c r="L2982" s="1"/>
      <c r="M2982" s="1"/>
    </row>
    <row r="2983" spans="12:13" x14ac:dyDescent="0.25">
      <c r="L2983" s="1"/>
    </row>
    <row r="2984" spans="12:13" x14ac:dyDescent="0.25">
      <c r="L2984" s="1"/>
      <c r="M2984" s="1"/>
    </row>
    <row r="2985" spans="12:13" x14ac:dyDescent="0.25">
      <c r="L2985" s="1"/>
      <c r="M2985" s="1"/>
    </row>
    <row r="2986" spans="12:13" x14ac:dyDescent="0.25">
      <c r="L2986" s="1"/>
      <c r="M2986" s="1"/>
    </row>
    <row r="2987" spans="12:13" x14ac:dyDescent="0.25">
      <c r="L2987" s="1"/>
      <c r="M2987" s="1"/>
    </row>
    <row r="2988" spans="12:13" x14ac:dyDescent="0.25">
      <c r="L2988" s="1"/>
      <c r="M2988" s="1"/>
    </row>
    <row r="2989" spans="12:13" x14ac:dyDescent="0.25">
      <c r="L2989" s="1"/>
      <c r="M2989" s="1"/>
    </row>
    <row r="2990" spans="12:13" x14ac:dyDescent="0.25">
      <c r="L2990" s="1"/>
      <c r="M2990" s="1"/>
    </row>
    <row r="2991" spans="12:13" x14ac:dyDescent="0.25">
      <c r="L2991" s="1"/>
      <c r="M2991" s="1"/>
    </row>
    <row r="2992" spans="12:13" x14ac:dyDescent="0.25">
      <c r="L2992" s="1"/>
      <c r="M2992" s="1"/>
    </row>
    <row r="2993" spans="12:13" x14ac:dyDescent="0.25">
      <c r="L2993" s="1"/>
      <c r="M2993" s="1"/>
    </row>
    <row r="2996" spans="12:13" x14ac:dyDescent="0.25">
      <c r="L2996" s="1"/>
      <c r="M2996" s="1"/>
    </row>
    <row r="2997" spans="12:13" x14ac:dyDescent="0.25">
      <c r="L2997" s="1"/>
      <c r="M2997" s="1"/>
    </row>
    <row r="2998" spans="12:13" x14ac:dyDescent="0.25">
      <c r="L2998" s="1"/>
      <c r="M2998" s="1"/>
    </row>
    <row r="2999" spans="12:13" x14ac:dyDescent="0.25">
      <c r="L2999" s="1"/>
      <c r="M2999" s="1"/>
    </row>
    <row r="3000" spans="12:13" x14ac:dyDescent="0.25">
      <c r="L3000" s="1"/>
      <c r="M3000" s="1"/>
    </row>
    <row r="3013" spans="12:13" x14ac:dyDescent="0.25">
      <c r="L3013" s="1"/>
      <c r="M3013" s="1"/>
    </row>
    <row r="3014" spans="12:13" x14ac:dyDescent="0.25">
      <c r="L3014" s="1"/>
    </row>
    <row r="3015" spans="12:13" x14ac:dyDescent="0.25">
      <c r="L3015" s="1"/>
      <c r="M3015" s="1"/>
    </row>
    <row r="3016" spans="12:13" x14ac:dyDescent="0.25">
      <c r="L3016" s="1"/>
      <c r="M3016" s="1"/>
    </row>
    <row r="3017" spans="12:13" x14ac:dyDescent="0.25">
      <c r="L3017" s="1"/>
      <c r="M3017" s="1"/>
    </row>
    <row r="3018" spans="12:13" x14ac:dyDescent="0.25">
      <c r="L3018" s="1"/>
      <c r="M3018" s="1"/>
    </row>
    <row r="3019" spans="12:13" x14ac:dyDescent="0.25">
      <c r="L3019" s="1"/>
      <c r="M3019" s="1"/>
    </row>
    <row r="3020" spans="12:13" x14ac:dyDescent="0.25">
      <c r="L3020" s="1"/>
      <c r="M3020" s="1"/>
    </row>
    <row r="3021" spans="12:13" x14ac:dyDescent="0.25">
      <c r="L3021" s="1"/>
      <c r="M3021" s="1"/>
    </row>
    <row r="3022" spans="12:13" x14ac:dyDescent="0.25">
      <c r="L3022" s="1"/>
      <c r="M3022" s="1"/>
    </row>
    <row r="3023" spans="12:13" x14ac:dyDescent="0.25">
      <c r="L3023" s="1"/>
      <c r="M3023" s="1"/>
    </row>
    <row r="3024" spans="12:13" x14ac:dyDescent="0.25">
      <c r="L3024" s="1"/>
      <c r="M3024" s="1"/>
    </row>
    <row r="3025" spans="12:13" x14ac:dyDescent="0.25">
      <c r="L3025" s="1"/>
      <c r="M3025" s="1"/>
    </row>
    <row r="3026" spans="12:13" x14ac:dyDescent="0.25">
      <c r="L3026" s="1"/>
      <c r="M3026" s="1"/>
    </row>
    <row r="3027" spans="12:13" x14ac:dyDescent="0.25">
      <c r="L3027" s="1"/>
      <c r="M3027" s="1"/>
    </row>
    <row r="3028" spans="12:13" x14ac:dyDescent="0.25">
      <c r="L3028" s="1"/>
      <c r="M3028" s="1"/>
    </row>
    <row r="3029" spans="12:13" x14ac:dyDescent="0.25">
      <c r="L3029" s="1"/>
      <c r="M3029" s="1"/>
    </row>
    <row r="3030" spans="12:13" x14ac:dyDescent="0.25">
      <c r="L3030" s="1"/>
      <c r="M3030" s="1"/>
    </row>
    <row r="3031" spans="12:13" x14ac:dyDescent="0.25">
      <c r="L3031" s="1"/>
      <c r="M3031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40"/>
  <sheetViews>
    <sheetView workbookViewId="0"/>
  </sheetViews>
  <sheetFormatPr defaultRowHeight="15" x14ac:dyDescent="0.25"/>
  <cols>
    <col min="5" max="5" width="9.140625" style="2"/>
    <col min="6" max="6" width="11.5703125" customWidth="1"/>
  </cols>
  <sheetData>
    <row r="1" spans="1:7" x14ac:dyDescent="0.25">
      <c r="A1" t="s">
        <v>8</v>
      </c>
      <c r="C1" t="s">
        <v>9</v>
      </c>
      <c r="E1" s="2" t="s">
        <v>10</v>
      </c>
      <c r="F1" s="2" t="s">
        <v>7</v>
      </c>
      <c r="G1" t="s">
        <v>18</v>
      </c>
    </row>
    <row r="3" spans="1:7" x14ac:dyDescent="0.25">
      <c r="A3" s="2">
        <v>13</v>
      </c>
      <c r="B3" s="2" t="s">
        <v>28</v>
      </c>
      <c r="C3" s="2" t="s">
        <v>17</v>
      </c>
      <c r="D3" s="2" t="s">
        <v>28</v>
      </c>
      <c r="E3" s="2" t="s">
        <v>22</v>
      </c>
      <c r="F3" s="3" t="str">
        <f>_xlfn.CONCAT(A3:E3)</f>
        <v>13-16N-11W</v>
      </c>
      <c r="G3">
        <v>1</v>
      </c>
    </row>
    <row r="4" spans="1:7" x14ac:dyDescent="0.25">
      <c r="A4" s="2">
        <v>14</v>
      </c>
      <c r="B4" s="2" t="s">
        <v>28</v>
      </c>
      <c r="C4" s="2" t="s">
        <v>17</v>
      </c>
      <c r="D4" s="2" t="s">
        <v>28</v>
      </c>
      <c r="E4" s="2" t="s">
        <v>22</v>
      </c>
      <c r="F4" s="3" t="str">
        <f t="shared" ref="F4:F26" si="0">_xlfn.CONCAT(A4:E4)</f>
        <v>14-16N-11W</v>
      </c>
      <c r="G4">
        <v>1</v>
      </c>
    </row>
    <row r="5" spans="1:7" x14ac:dyDescent="0.25">
      <c r="A5" s="2">
        <v>15</v>
      </c>
      <c r="B5" s="2" t="s">
        <v>28</v>
      </c>
      <c r="C5" s="2" t="s">
        <v>17</v>
      </c>
      <c r="D5" s="2" t="s">
        <v>28</v>
      </c>
      <c r="E5" s="2" t="s">
        <v>22</v>
      </c>
      <c r="F5" s="3" t="str">
        <f t="shared" si="0"/>
        <v>15-16N-11W</v>
      </c>
      <c r="G5">
        <v>1</v>
      </c>
    </row>
    <row r="6" spans="1:7" x14ac:dyDescent="0.25">
      <c r="A6" s="2">
        <v>16</v>
      </c>
      <c r="B6" s="2" t="s">
        <v>28</v>
      </c>
      <c r="C6" s="2" t="s">
        <v>17</v>
      </c>
      <c r="D6" s="2" t="s">
        <v>28</v>
      </c>
      <c r="E6" s="2" t="s">
        <v>22</v>
      </c>
      <c r="F6" s="3" t="str">
        <f t="shared" si="0"/>
        <v>16-16N-11W</v>
      </c>
      <c r="G6">
        <v>1</v>
      </c>
    </row>
    <row r="7" spans="1:7" x14ac:dyDescent="0.25">
      <c r="A7" s="2">
        <v>17</v>
      </c>
      <c r="B7" s="2" t="s">
        <v>28</v>
      </c>
      <c r="C7" s="2" t="s">
        <v>17</v>
      </c>
      <c r="D7" s="2" t="s">
        <v>28</v>
      </c>
      <c r="E7" s="2" t="s">
        <v>22</v>
      </c>
      <c r="F7" s="3" t="str">
        <f t="shared" si="0"/>
        <v>17-16N-11W</v>
      </c>
      <c r="G7">
        <v>1</v>
      </c>
    </row>
    <row r="8" spans="1:7" x14ac:dyDescent="0.25">
      <c r="A8" s="2">
        <v>18</v>
      </c>
      <c r="B8" s="2" t="s">
        <v>28</v>
      </c>
      <c r="C8" s="2" t="s">
        <v>17</v>
      </c>
      <c r="D8" s="2" t="s">
        <v>28</v>
      </c>
      <c r="E8" s="2" t="s">
        <v>22</v>
      </c>
      <c r="F8" s="3" t="str">
        <f t="shared" si="0"/>
        <v>18-16N-11W</v>
      </c>
      <c r="G8">
        <v>1</v>
      </c>
    </row>
    <row r="9" spans="1:7" x14ac:dyDescent="0.25">
      <c r="A9" s="2">
        <v>19</v>
      </c>
      <c r="B9" s="2" t="s">
        <v>28</v>
      </c>
      <c r="C9" s="2" t="s">
        <v>17</v>
      </c>
      <c r="D9" s="2" t="s">
        <v>28</v>
      </c>
      <c r="E9" s="2" t="s">
        <v>22</v>
      </c>
      <c r="F9" s="3" t="str">
        <f t="shared" si="0"/>
        <v>19-16N-11W</v>
      </c>
      <c r="G9">
        <v>1</v>
      </c>
    </row>
    <row r="10" spans="1:7" x14ac:dyDescent="0.25">
      <c r="A10" s="2">
        <v>20</v>
      </c>
      <c r="B10" s="2" t="s">
        <v>28</v>
      </c>
      <c r="C10" s="2" t="s">
        <v>17</v>
      </c>
      <c r="D10" s="2" t="s">
        <v>28</v>
      </c>
      <c r="E10" s="2" t="s">
        <v>22</v>
      </c>
      <c r="F10" s="3" t="str">
        <f t="shared" si="0"/>
        <v>20-16N-11W</v>
      </c>
      <c r="G10">
        <v>1</v>
      </c>
    </row>
    <row r="11" spans="1:7" x14ac:dyDescent="0.25">
      <c r="A11" s="2">
        <v>21</v>
      </c>
      <c r="B11" s="2" t="s">
        <v>28</v>
      </c>
      <c r="C11" s="2" t="s">
        <v>17</v>
      </c>
      <c r="D11" s="2" t="s">
        <v>28</v>
      </c>
      <c r="E11" s="2" t="s">
        <v>22</v>
      </c>
      <c r="F11" s="3" t="str">
        <f t="shared" si="0"/>
        <v>21-16N-11W</v>
      </c>
      <c r="G11">
        <v>1</v>
      </c>
    </row>
    <row r="12" spans="1:7" x14ac:dyDescent="0.25">
      <c r="A12" s="2">
        <v>22</v>
      </c>
      <c r="B12" s="2" t="s">
        <v>28</v>
      </c>
      <c r="C12" s="2" t="s">
        <v>17</v>
      </c>
      <c r="D12" s="2" t="s">
        <v>28</v>
      </c>
      <c r="E12" s="2" t="s">
        <v>22</v>
      </c>
      <c r="F12" s="3" t="str">
        <f t="shared" si="0"/>
        <v>22-16N-11W</v>
      </c>
      <c r="G12">
        <v>1</v>
      </c>
    </row>
    <row r="13" spans="1:7" x14ac:dyDescent="0.25">
      <c r="A13" s="2">
        <v>23</v>
      </c>
      <c r="B13" s="2" t="s">
        <v>28</v>
      </c>
      <c r="C13" s="2" t="s">
        <v>17</v>
      </c>
      <c r="D13" s="2" t="s">
        <v>28</v>
      </c>
      <c r="E13" s="2" t="s">
        <v>22</v>
      </c>
      <c r="F13" s="3" t="str">
        <f t="shared" si="0"/>
        <v>23-16N-11W</v>
      </c>
      <c r="G13">
        <v>1</v>
      </c>
    </row>
    <row r="14" spans="1:7" x14ac:dyDescent="0.25">
      <c r="A14" s="2">
        <v>24</v>
      </c>
      <c r="B14" s="2" t="s">
        <v>28</v>
      </c>
      <c r="C14" s="2" t="s">
        <v>17</v>
      </c>
      <c r="D14" s="2" t="s">
        <v>28</v>
      </c>
      <c r="E14" s="2" t="s">
        <v>22</v>
      </c>
      <c r="F14" s="3" t="str">
        <f t="shared" si="0"/>
        <v>24-16N-11W</v>
      </c>
      <c r="G14">
        <v>1</v>
      </c>
    </row>
    <row r="15" spans="1:7" x14ac:dyDescent="0.25">
      <c r="A15" s="2">
        <v>25</v>
      </c>
      <c r="B15" s="2" t="s">
        <v>28</v>
      </c>
      <c r="C15" s="2" t="s">
        <v>17</v>
      </c>
      <c r="D15" s="2" t="s">
        <v>28</v>
      </c>
      <c r="E15" s="2" t="s">
        <v>22</v>
      </c>
      <c r="F15" s="3" t="str">
        <f t="shared" si="0"/>
        <v>25-16N-11W</v>
      </c>
      <c r="G15">
        <v>1</v>
      </c>
    </row>
    <row r="16" spans="1:7" x14ac:dyDescent="0.25">
      <c r="A16" s="2">
        <v>26</v>
      </c>
      <c r="B16" s="2" t="s">
        <v>28</v>
      </c>
      <c r="C16" s="2" t="s">
        <v>17</v>
      </c>
      <c r="D16" s="2" t="s">
        <v>28</v>
      </c>
      <c r="E16" s="2" t="s">
        <v>22</v>
      </c>
      <c r="F16" s="3" t="str">
        <f t="shared" si="0"/>
        <v>26-16N-11W</v>
      </c>
      <c r="G16">
        <v>1</v>
      </c>
    </row>
    <row r="17" spans="1:7" x14ac:dyDescent="0.25">
      <c r="A17" s="2">
        <v>27</v>
      </c>
      <c r="B17" s="2" t="s">
        <v>28</v>
      </c>
      <c r="C17" s="2" t="s">
        <v>17</v>
      </c>
      <c r="D17" s="2" t="s">
        <v>28</v>
      </c>
      <c r="E17" s="2" t="s">
        <v>22</v>
      </c>
      <c r="F17" s="3" t="str">
        <f t="shared" si="0"/>
        <v>27-16N-11W</v>
      </c>
      <c r="G17">
        <v>1</v>
      </c>
    </row>
    <row r="18" spans="1:7" x14ac:dyDescent="0.25">
      <c r="A18" s="2">
        <v>28</v>
      </c>
      <c r="B18" s="2" t="s">
        <v>28</v>
      </c>
      <c r="C18" s="2" t="s">
        <v>17</v>
      </c>
      <c r="D18" s="2" t="s">
        <v>28</v>
      </c>
      <c r="E18" s="2" t="s">
        <v>22</v>
      </c>
      <c r="F18" s="3" t="str">
        <f t="shared" si="0"/>
        <v>28-16N-11W</v>
      </c>
      <c r="G18">
        <v>1</v>
      </c>
    </row>
    <row r="19" spans="1:7" x14ac:dyDescent="0.25">
      <c r="A19" s="2">
        <v>29</v>
      </c>
      <c r="B19" s="2" t="s">
        <v>28</v>
      </c>
      <c r="C19" s="2" t="s">
        <v>17</v>
      </c>
      <c r="D19" s="2" t="s">
        <v>28</v>
      </c>
      <c r="E19" s="2" t="s">
        <v>22</v>
      </c>
      <c r="F19" s="3" t="str">
        <f t="shared" si="0"/>
        <v>29-16N-11W</v>
      </c>
      <c r="G19">
        <v>1</v>
      </c>
    </row>
    <row r="20" spans="1:7" x14ac:dyDescent="0.25">
      <c r="A20" s="2">
        <v>30</v>
      </c>
      <c r="B20" s="2" t="s">
        <v>28</v>
      </c>
      <c r="C20" s="2" t="s">
        <v>17</v>
      </c>
      <c r="D20" s="2" t="s">
        <v>28</v>
      </c>
      <c r="E20" s="2" t="s">
        <v>22</v>
      </c>
      <c r="F20" s="3" t="str">
        <f t="shared" si="0"/>
        <v>30-16N-11W</v>
      </c>
      <c r="G20">
        <v>1</v>
      </c>
    </row>
    <row r="21" spans="1:7" x14ac:dyDescent="0.25">
      <c r="A21" s="2">
        <v>31</v>
      </c>
      <c r="B21" s="2" t="s">
        <v>28</v>
      </c>
      <c r="C21" s="2" t="s">
        <v>17</v>
      </c>
      <c r="D21" s="2" t="s">
        <v>28</v>
      </c>
      <c r="E21" s="2" t="s">
        <v>22</v>
      </c>
      <c r="F21" s="3" t="str">
        <f t="shared" si="0"/>
        <v>31-16N-11W</v>
      </c>
      <c r="G21">
        <v>1</v>
      </c>
    </row>
    <row r="22" spans="1:7" x14ac:dyDescent="0.25">
      <c r="A22" s="2">
        <v>32</v>
      </c>
      <c r="B22" s="2" t="s">
        <v>28</v>
      </c>
      <c r="C22" s="2" t="s">
        <v>17</v>
      </c>
      <c r="D22" s="2" t="s">
        <v>28</v>
      </c>
      <c r="E22" s="2" t="s">
        <v>22</v>
      </c>
      <c r="F22" s="3" t="str">
        <f t="shared" si="0"/>
        <v>32-16N-11W</v>
      </c>
      <c r="G22">
        <v>1</v>
      </c>
    </row>
    <row r="23" spans="1:7" x14ac:dyDescent="0.25">
      <c r="A23" s="2">
        <v>33</v>
      </c>
      <c r="B23" s="2" t="s">
        <v>28</v>
      </c>
      <c r="C23" s="2" t="s">
        <v>17</v>
      </c>
      <c r="D23" s="2" t="s">
        <v>28</v>
      </c>
      <c r="E23" s="2" t="s">
        <v>22</v>
      </c>
      <c r="F23" s="3" t="str">
        <f t="shared" si="0"/>
        <v>33-16N-11W</v>
      </c>
      <c r="G23">
        <v>1</v>
      </c>
    </row>
    <row r="24" spans="1:7" x14ac:dyDescent="0.25">
      <c r="A24" s="2">
        <v>34</v>
      </c>
      <c r="B24" s="2" t="s">
        <v>28</v>
      </c>
      <c r="C24" s="2" t="s">
        <v>17</v>
      </c>
      <c r="D24" s="2" t="s">
        <v>28</v>
      </c>
      <c r="E24" s="2" t="s">
        <v>22</v>
      </c>
      <c r="F24" s="3" t="str">
        <f t="shared" si="0"/>
        <v>34-16N-11W</v>
      </c>
      <c r="G24">
        <v>1</v>
      </c>
    </row>
    <row r="25" spans="1:7" x14ac:dyDescent="0.25">
      <c r="A25" s="2">
        <v>35</v>
      </c>
      <c r="B25" s="2" t="s">
        <v>28</v>
      </c>
      <c r="C25" s="2" t="s">
        <v>17</v>
      </c>
      <c r="D25" s="2" t="s">
        <v>28</v>
      </c>
      <c r="E25" s="2" t="s">
        <v>22</v>
      </c>
      <c r="F25" s="3" t="str">
        <f t="shared" si="0"/>
        <v>35-16N-11W</v>
      </c>
      <c r="G25">
        <v>1</v>
      </c>
    </row>
    <row r="26" spans="1:7" x14ac:dyDescent="0.25">
      <c r="A26" s="2">
        <v>36</v>
      </c>
      <c r="B26" s="2" t="s">
        <v>28</v>
      </c>
      <c r="C26" s="2" t="s">
        <v>17</v>
      </c>
      <c r="D26" s="2" t="s">
        <v>28</v>
      </c>
      <c r="E26" s="2" t="s">
        <v>22</v>
      </c>
      <c r="F26" s="3" t="str">
        <f t="shared" si="0"/>
        <v>36-16N-11W</v>
      </c>
      <c r="G26">
        <v>1</v>
      </c>
    </row>
    <row r="27" spans="1:7" x14ac:dyDescent="0.25">
      <c r="A27" s="4" t="s">
        <v>29</v>
      </c>
      <c r="B27" s="2" t="s">
        <v>28</v>
      </c>
      <c r="C27" s="2" t="s">
        <v>19</v>
      </c>
      <c r="D27" s="2" t="s">
        <v>28</v>
      </c>
      <c r="E27" s="2" t="s">
        <v>22</v>
      </c>
      <c r="F27" s="3" t="str">
        <f>_xlfn.CONCAT(A27:E27)</f>
        <v>01-15N-11W</v>
      </c>
      <c r="G27">
        <v>1</v>
      </c>
    </row>
    <row r="28" spans="1:7" x14ac:dyDescent="0.25">
      <c r="A28" s="4" t="s">
        <v>30</v>
      </c>
      <c r="B28" s="2" t="s">
        <v>28</v>
      </c>
      <c r="C28" s="2" t="s">
        <v>19</v>
      </c>
      <c r="D28" s="2" t="s">
        <v>28</v>
      </c>
      <c r="E28" s="2" t="s">
        <v>22</v>
      </c>
      <c r="F28" s="3" t="str">
        <f t="shared" ref="F28:F91" si="1">_xlfn.CONCAT(A28:E28)</f>
        <v>02-15N-11W</v>
      </c>
      <c r="G28">
        <v>1</v>
      </c>
    </row>
    <row r="29" spans="1:7" x14ac:dyDescent="0.25">
      <c r="A29" s="4" t="s">
        <v>31</v>
      </c>
      <c r="B29" s="2" t="s">
        <v>28</v>
      </c>
      <c r="C29" s="2" t="s">
        <v>19</v>
      </c>
      <c r="D29" s="2" t="s">
        <v>28</v>
      </c>
      <c r="E29" s="2" t="s">
        <v>22</v>
      </c>
      <c r="F29" s="3" t="str">
        <f t="shared" si="1"/>
        <v>03-15N-11W</v>
      </c>
      <c r="G29">
        <v>1</v>
      </c>
    </row>
    <row r="30" spans="1:7" x14ac:dyDescent="0.25">
      <c r="A30" s="4" t="s">
        <v>32</v>
      </c>
      <c r="B30" s="2" t="s">
        <v>28</v>
      </c>
      <c r="C30" s="2" t="s">
        <v>19</v>
      </c>
      <c r="D30" s="2" t="s">
        <v>28</v>
      </c>
      <c r="E30" s="2" t="s">
        <v>22</v>
      </c>
      <c r="F30" s="3" t="str">
        <f t="shared" si="1"/>
        <v>04-15N-11W</v>
      </c>
      <c r="G30">
        <v>1</v>
      </c>
    </row>
    <row r="31" spans="1:7" x14ac:dyDescent="0.25">
      <c r="A31" s="4" t="s">
        <v>33</v>
      </c>
      <c r="B31" s="2" t="s">
        <v>28</v>
      </c>
      <c r="C31" s="2" t="s">
        <v>19</v>
      </c>
      <c r="D31" s="2" t="s">
        <v>28</v>
      </c>
      <c r="E31" s="2" t="s">
        <v>22</v>
      </c>
      <c r="F31" s="3" t="str">
        <f t="shared" si="1"/>
        <v>05-15N-11W</v>
      </c>
      <c r="G31">
        <v>1</v>
      </c>
    </row>
    <row r="32" spans="1:7" x14ac:dyDescent="0.25">
      <c r="A32" s="4" t="s">
        <v>34</v>
      </c>
      <c r="B32" s="2" t="s">
        <v>28</v>
      </c>
      <c r="C32" s="2" t="s">
        <v>19</v>
      </c>
      <c r="D32" s="2" t="s">
        <v>28</v>
      </c>
      <c r="E32" s="2" t="s">
        <v>22</v>
      </c>
      <c r="F32" s="3" t="str">
        <f t="shared" si="1"/>
        <v>06-15N-11W</v>
      </c>
      <c r="G32">
        <v>1</v>
      </c>
    </row>
    <row r="33" spans="1:7" x14ac:dyDescent="0.25">
      <c r="A33" s="4" t="s">
        <v>35</v>
      </c>
      <c r="B33" s="2" t="s">
        <v>28</v>
      </c>
      <c r="C33" s="2" t="s">
        <v>19</v>
      </c>
      <c r="D33" s="2" t="s">
        <v>28</v>
      </c>
      <c r="E33" s="2" t="s">
        <v>22</v>
      </c>
      <c r="F33" s="3" t="str">
        <f t="shared" si="1"/>
        <v>07-15N-11W</v>
      </c>
      <c r="G33">
        <v>1</v>
      </c>
    </row>
    <row r="34" spans="1:7" x14ac:dyDescent="0.25">
      <c r="A34" s="4" t="s">
        <v>36</v>
      </c>
      <c r="B34" s="2" t="s">
        <v>28</v>
      </c>
      <c r="C34" s="2" t="s">
        <v>19</v>
      </c>
      <c r="D34" s="2" t="s">
        <v>28</v>
      </c>
      <c r="E34" s="2" t="s">
        <v>22</v>
      </c>
      <c r="F34" s="3" t="str">
        <f t="shared" si="1"/>
        <v>08-15N-11W</v>
      </c>
      <c r="G34">
        <v>1</v>
      </c>
    </row>
    <row r="35" spans="1:7" x14ac:dyDescent="0.25">
      <c r="A35" s="4" t="s">
        <v>37</v>
      </c>
      <c r="B35" s="2" t="s">
        <v>28</v>
      </c>
      <c r="C35" s="2" t="s">
        <v>19</v>
      </c>
      <c r="D35" s="2" t="s">
        <v>28</v>
      </c>
      <c r="E35" s="2" t="s">
        <v>22</v>
      </c>
      <c r="F35" s="3" t="str">
        <f t="shared" si="1"/>
        <v>09-15N-11W</v>
      </c>
      <c r="G35">
        <v>1</v>
      </c>
    </row>
    <row r="36" spans="1:7" x14ac:dyDescent="0.25">
      <c r="A36" s="2">
        <v>10</v>
      </c>
      <c r="B36" s="2" t="s">
        <v>28</v>
      </c>
      <c r="C36" s="2" t="s">
        <v>19</v>
      </c>
      <c r="D36" s="2" t="s">
        <v>28</v>
      </c>
      <c r="E36" s="2" t="s">
        <v>22</v>
      </c>
      <c r="F36" s="3" t="str">
        <f t="shared" si="1"/>
        <v>10-15N-11W</v>
      </c>
      <c r="G36">
        <v>1</v>
      </c>
    </row>
    <row r="37" spans="1:7" x14ac:dyDescent="0.25">
      <c r="A37" s="2">
        <v>11</v>
      </c>
      <c r="B37" s="2" t="s">
        <v>28</v>
      </c>
      <c r="C37" s="2" t="s">
        <v>19</v>
      </c>
      <c r="D37" s="2" t="s">
        <v>28</v>
      </c>
      <c r="E37" s="2" t="s">
        <v>22</v>
      </c>
      <c r="F37" s="3" t="str">
        <f t="shared" si="1"/>
        <v>11-15N-11W</v>
      </c>
      <c r="G37">
        <v>1</v>
      </c>
    </row>
    <row r="38" spans="1:7" x14ac:dyDescent="0.25">
      <c r="A38" s="2">
        <v>12</v>
      </c>
      <c r="B38" s="2" t="s">
        <v>28</v>
      </c>
      <c r="C38" s="2" t="s">
        <v>19</v>
      </c>
      <c r="D38" s="2" t="s">
        <v>28</v>
      </c>
      <c r="E38" s="2" t="s">
        <v>22</v>
      </c>
      <c r="F38" s="3" t="str">
        <f t="shared" si="1"/>
        <v>12-15N-11W</v>
      </c>
      <c r="G38">
        <v>1</v>
      </c>
    </row>
    <row r="39" spans="1:7" x14ac:dyDescent="0.25">
      <c r="A39" s="2">
        <v>13</v>
      </c>
      <c r="B39" s="2" t="s">
        <v>28</v>
      </c>
      <c r="C39" s="2" t="s">
        <v>19</v>
      </c>
      <c r="D39" s="2" t="s">
        <v>28</v>
      </c>
      <c r="E39" s="2" t="s">
        <v>22</v>
      </c>
      <c r="F39" s="3" t="str">
        <f t="shared" si="1"/>
        <v>13-15N-11W</v>
      </c>
      <c r="G39">
        <v>1</v>
      </c>
    </row>
    <row r="40" spans="1:7" x14ac:dyDescent="0.25">
      <c r="A40" s="2">
        <v>14</v>
      </c>
      <c r="B40" s="2" t="s">
        <v>28</v>
      </c>
      <c r="C40" s="2" t="s">
        <v>19</v>
      </c>
      <c r="D40" s="2" t="s">
        <v>28</v>
      </c>
      <c r="E40" s="2" t="s">
        <v>22</v>
      </c>
      <c r="F40" s="3" t="str">
        <f t="shared" si="1"/>
        <v>14-15N-11W</v>
      </c>
      <c r="G40">
        <v>1</v>
      </c>
    </row>
    <row r="41" spans="1:7" x14ac:dyDescent="0.25">
      <c r="A41" s="2">
        <v>15</v>
      </c>
      <c r="B41" s="2" t="s">
        <v>28</v>
      </c>
      <c r="C41" s="2" t="s">
        <v>19</v>
      </c>
      <c r="D41" s="2" t="s">
        <v>28</v>
      </c>
      <c r="E41" s="2" t="s">
        <v>22</v>
      </c>
      <c r="F41" s="3" t="str">
        <f t="shared" si="1"/>
        <v>15-15N-11W</v>
      </c>
      <c r="G41">
        <v>1</v>
      </c>
    </row>
    <row r="42" spans="1:7" x14ac:dyDescent="0.25">
      <c r="A42" s="2">
        <v>16</v>
      </c>
      <c r="B42" s="2" t="s">
        <v>28</v>
      </c>
      <c r="C42" s="2" t="s">
        <v>19</v>
      </c>
      <c r="D42" s="2" t="s">
        <v>28</v>
      </c>
      <c r="E42" s="2" t="s">
        <v>22</v>
      </c>
      <c r="F42" s="3" t="str">
        <f t="shared" si="1"/>
        <v>16-15N-11W</v>
      </c>
      <c r="G42">
        <v>1</v>
      </c>
    </row>
    <row r="43" spans="1:7" x14ac:dyDescent="0.25">
      <c r="A43" s="2">
        <v>17</v>
      </c>
      <c r="B43" s="2" t="s">
        <v>28</v>
      </c>
      <c r="C43" s="2" t="s">
        <v>19</v>
      </c>
      <c r="D43" s="2" t="s">
        <v>28</v>
      </c>
      <c r="E43" s="2" t="s">
        <v>22</v>
      </c>
      <c r="F43" s="3" t="str">
        <f t="shared" si="1"/>
        <v>17-15N-11W</v>
      </c>
      <c r="G43">
        <v>1</v>
      </c>
    </row>
    <row r="44" spans="1:7" x14ac:dyDescent="0.25">
      <c r="A44" s="2">
        <v>18</v>
      </c>
      <c r="B44" s="2" t="s">
        <v>28</v>
      </c>
      <c r="C44" s="2" t="s">
        <v>19</v>
      </c>
      <c r="D44" s="2" t="s">
        <v>28</v>
      </c>
      <c r="E44" s="2" t="s">
        <v>22</v>
      </c>
      <c r="F44" s="3" t="str">
        <f t="shared" si="1"/>
        <v>18-15N-11W</v>
      </c>
      <c r="G44">
        <v>1</v>
      </c>
    </row>
    <row r="45" spans="1:7" x14ac:dyDescent="0.25">
      <c r="A45" s="2">
        <v>19</v>
      </c>
      <c r="B45" s="2" t="s">
        <v>28</v>
      </c>
      <c r="C45" s="2" t="s">
        <v>19</v>
      </c>
      <c r="D45" s="2" t="s">
        <v>28</v>
      </c>
      <c r="E45" s="2" t="s">
        <v>22</v>
      </c>
      <c r="F45" s="3" t="str">
        <f t="shared" si="1"/>
        <v>19-15N-11W</v>
      </c>
      <c r="G45">
        <v>1</v>
      </c>
    </row>
    <row r="46" spans="1:7" x14ac:dyDescent="0.25">
      <c r="A46" s="2">
        <v>20</v>
      </c>
      <c r="B46" s="2" t="s">
        <v>28</v>
      </c>
      <c r="C46" s="2" t="s">
        <v>19</v>
      </c>
      <c r="D46" s="2" t="s">
        <v>28</v>
      </c>
      <c r="E46" s="2" t="s">
        <v>22</v>
      </c>
      <c r="F46" s="3" t="str">
        <f t="shared" si="1"/>
        <v>20-15N-11W</v>
      </c>
      <c r="G46">
        <v>1</v>
      </c>
    </row>
    <row r="47" spans="1:7" x14ac:dyDescent="0.25">
      <c r="A47" s="2">
        <v>21</v>
      </c>
      <c r="B47" s="2" t="s">
        <v>28</v>
      </c>
      <c r="C47" s="2" t="s">
        <v>19</v>
      </c>
      <c r="D47" s="2" t="s">
        <v>28</v>
      </c>
      <c r="E47" s="2" t="s">
        <v>22</v>
      </c>
      <c r="F47" s="3" t="str">
        <f t="shared" si="1"/>
        <v>21-15N-11W</v>
      </c>
      <c r="G47">
        <v>1</v>
      </c>
    </row>
    <row r="48" spans="1:7" x14ac:dyDescent="0.25">
      <c r="A48" s="2">
        <v>22</v>
      </c>
      <c r="B48" s="2" t="s">
        <v>28</v>
      </c>
      <c r="C48" s="2" t="s">
        <v>19</v>
      </c>
      <c r="D48" s="2" t="s">
        <v>28</v>
      </c>
      <c r="E48" s="2" t="s">
        <v>22</v>
      </c>
      <c r="F48" s="3" t="str">
        <f t="shared" si="1"/>
        <v>22-15N-11W</v>
      </c>
      <c r="G48">
        <v>1</v>
      </c>
    </row>
    <row r="49" spans="1:7" x14ac:dyDescent="0.25">
      <c r="A49" s="2">
        <v>23</v>
      </c>
      <c r="B49" s="2" t="s">
        <v>28</v>
      </c>
      <c r="C49" s="2" t="s">
        <v>19</v>
      </c>
      <c r="D49" s="2" t="s">
        <v>28</v>
      </c>
      <c r="E49" s="2" t="s">
        <v>22</v>
      </c>
      <c r="F49" s="3" t="str">
        <f t="shared" si="1"/>
        <v>23-15N-11W</v>
      </c>
      <c r="G49">
        <v>1</v>
      </c>
    </row>
    <row r="50" spans="1:7" x14ac:dyDescent="0.25">
      <c r="A50" s="2">
        <v>24</v>
      </c>
      <c r="B50" s="2" t="s">
        <v>28</v>
      </c>
      <c r="C50" s="2" t="s">
        <v>19</v>
      </c>
      <c r="D50" s="2" t="s">
        <v>28</v>
      </c>
      <c r="E50" s="2" t="s">
        <v>22</v>
      </c>
      <c r="F50" s="3" t="str">
        <f t="shared" si="1"/>
        <v>24-15N-11W</v>
      </c>
      <c r="G50">
        <v>1</v>
      </c>
    </row>
    <row r="51" spans="1:7" x14ac:dyDescent="0.25">
      <c r="A51" s="2">
        <v>25</v>
      </c>
      <c r="B51" s="2" t="s">
        <v>28</v>
      </c>
      <c r="C51" s="2" t="s">
        <v>19</v>
      </c>
      <c r="D51" s="2" t="s">
        <v>28</v>
      </c>
      <c r="E51" s="2" t="s">
        <v>22</v>
      </c>
      <c r="F51" s="3" t="str">
        <f t="shared" si="1"/>
        <v>25-15N-11W</v>
      </c>
      <c r="G51">
        <v>1</v>
      </c>
    </row>
    <row r="52" spans="1:7" x14ac:dyDescent="0.25">
      <c r="A52" s="2">
        <v>26</v>
      </c>
      <c r="B52" s="2" t="s">
        <v>28</v>
      </c>
      <c r="C52" s="2" t="s">
        <v>19</v>
      </c>
      <c r="D52" s="2" t="s">
        <v>28</v>
      </c>
      <c r="E52" s="2" t="s">
        <v>22</v>
      </c>
      <c r="F52" s="3" t="str">
        <f t="shared" si="1"/>
        <v>26-15N-11W</v>
      </c>
      <c r="G52">
        <v>1</v>
      </c>
    </row>
    <row r="53" spans="1:7" x14ac:dyDescent="0.25">
      <c r="A53" s="2">
        <v>27</v>
      </c>
      <c r="B53" s="2" t="s">
        <v>28</v>
      </c>
      <c r="C53" s="2" t="s">
        <v>19</v>
      </c>
      <c r="D53" s="2" t="s">
        <v>28</v>
      </c>
      <c r="E53" s="2" t="s">
        <v>22</v>
      </c>
      <c r="F53" s="3" t="str">
        <f t="shared" si="1"/>
        <v>27-15N-11W</v>
      </c>
      <c r="G53">
        <v>1</v>
      </c>
    </row>
    <row r="54" spans="1:7" x14ac:dyDescent="0.25">
      <c r="A54" s="2">
        <v>28</v>
      </c>
      <c r="B54" s="2" t="s">
        <v>28</v>
      </c>
      <c r="C54" s="2" t="s">
        <v>19</v>
      </c>
      <c r="D54" s="2" t="s">
        <v>28</v>
      </c>
      <c r="E54" s="2" t="s">
        <v>22</v>
      </c>
      <c r="F54" s="3" t="str">
        <f t="shared" si="1"/>
        <v>28-15N-11W</v>
      </c>
      <c r="G54">
        <v>1</v>
      </c>
    </row>
    <row r="55" spans="1:7" x14ac:dyDescent="0.25">
      <c r="A55" s="2">
        <v>29</v>
      </c>
      <c r="B55" s="2" t="s">
        <v>28</v>
      </c>
      <c r="C55" s="2" t="s">
        <v>19</v>
      </c>
      <c r="D55" s="2" t="s">
        <v>28</v>
      </c>
      <c r="E55" s="2" t="s">
        <v>22</v>
      </c>
      <c r="F55" s="3" t="str">
        <f t="shared" si="1"/>
        <v>29-15N-11W</v>
      </c>
      <c r="G55">
        <v>1</v>
      </c>
    </row>
    <row r="56" spans="1:7" x14ac:dyDescent="0.25">
      <c r="A56" s="2">
        <v>30</v>
      </c>
      <c r="B56" s="2" t="s">
        <v>28</v>
      </c>
      <c r="C56" s="2" t="s">
        <v>19</v>
      </c>
      <c r="D56" s="2" t="s">
        <v>28</v>
      </c>
      <c r="E56" s="2" t="s">
        <v>22</v>
      </c>
      <c r="F56" s="3" t="str">
        <f t="shared" si="1"/>
        <v>30-15N-11W</v>
      </c>
      <c r="G56">
        <v>1</v>
      </c>
    </row>
    <row r="57" spans="1:7" x14ac:dyDescent="0.25">
      <c r="A57" s="2">
        <v>31</v>
      </c>
      <c r="B57" s="2" t="s">
        <v>28</v>
      </c>
      <c r="C57" s="2" t="s">
        <v>19</v>
      </c>
      <c r="D57" s="2" t="s">
        <v>28</v>
      </c>
      <c r="E57" s="2" t="s">
        <v>22</v>
      </c>
      <c r="F57" s="3" t="str">
        <f t="shared" si="1"/>
        <v>31-15N-11W</v>
      </c>
      <c r="G57">
        <v>1</v>
      </c>
    </row>
    <row r="58" spans="1:7" x14ac:dyDescent="0.25">
      <c r="A58" s="2">
        <v>32</v>
      </c>
      <c r="B58" s="2" t="s">
        <v>28</v>
      </c>
      <c r="C58" s="2" t="s">
        <v>19</v>
      </c>
      <c r="D58" s="2" t="s">
        <v>28</v>
      </c>
      <c r="E58" s="2" t="s">
        <v>22</v>
      </c>
      <c r="F58" s="3" t="str">
        <f t="shared" si="1"/>
        <v>32-15N-11W</v>
      </c>
      <c r="G58">
        <v>1</v>
      </c>
    </row>
    <row r="59" spans="1:7" x14ac:dyDescent="0.25">
      <c r="A59" s="2">
        <v>33</v>
      </c>
      <c r="B59" s="2" t="s">
        <v>28</v>
      </c>
      <c r="C59" s="2" t="s">
        <v>19</v>
      </c>
      <c r="D59" s="2" t="s">
        <v>28</v>
      </c>
      <c r="E59" s="2" t="s">
        <v>22</v>
      </c>
      <c r="F59" s="3" t="str">
        <f t="shared" si="1"/>
        <v>33-15N-11W</v>
      </c>
      <c r="G59">
        <v>1</v>
      </c>
    </row>
    <row r="60" spans="1:7" x14ac:dyDescent="0.25">
      <c r="A60" s="2">
        <v>34</v>
      </c>
      <c r="B60" s="2" t="s">
        <v>28</v>
      </c>
      <c r="C60" s="2" t="s">
        <v>19</v>
      </c>
      <c r="D60" s="2" t="s">
        <v>28</v>
      </c>
      <c r="E60" s="2" t="s">
        <v>22</v>
      </c>
      <c r="F60" s="3" t="str">
        <f t="shared" si="1"/>
        <v>34-15N-11W</v>
      </c>
      <c r="G60">
        <v>1</v>
      </c>
    </row>
    <row r="61" spans="1:7" x14ac:dyDescent="0.25">
      <c r="A61" s="2">
        <v>35</v>
      </c>
      <c r="B61" s="2" t="s">
        <v>28</v>
      </c>
      <c r="C61" s="2" t="s">
        <v>19</v>
      </c>
      <c r="D61" s="2" t="s">
        <v>28</v>
      </c>
      <c r="E61" s="2" t="s">
        <v>22</v>
      </c>
      <c r="F61" s="3" t="str">
        <f t="shared" si="1"/>
        <v>35-15N-11W</v>
      </c>
      <c r="G61">
        <v>1</v>
      </c>
    </row>
    <row r="62" spans="1:7" x14ac:dyDescent="0.25">
      <c r="A62" s="2">
        <v>36</v>
      </c>
      <c r="B62" s="2" t="s">
        <v>28</v>
      </c>
      <c r="C62" s="2" t="s">
        <v>19</v>
      </c>
      <c r="D62" s="2" t="s">
        <v>28</v>
      </c>
      <c r="E62" s="2" t="s">
        <v>22</v>
      </c>
      <c r="F62" s="5" t="str">
        <f t="shared" si="1"/>
        <v>36-15N-11W</v>
      </c>
      <c r="G62">
        <v>1</v>
      </c>
    </row>
    <row r="63" spans="1:7" x14ac:dyDescent="0.25">
      <c r="A63" s="4" t="s">
        <v>29</v>
      </c>
      <c r="B63" s="2" t="s">
        <v>28</v>
      </c>
      <c r="C63" t="s">
        <v>21</v>
      </c>
      <c r="D63" s="2" t="s">
        <v>28</v>
      </c>
      <c r="E63" s="2" t="s">
        <v>22</v>
      </c>
      <c r="F63" s="3" t="str">
        <f t="shared" si="1"/>
        <v>01-14N-11W</v>
      </c>
      <c r="G63">
        <v>1</v>
      </c>
    </row>
    <row r="64" spans="1:7" x14ac:dyDescent="0.25">
      <c r="A64" s="4" t="s">
        <v>30</v>
      </c>
      <c r="B64" s="2" t="s">
        <v>28</v>
      </c>
      <c r="C64" t="s">
        <v>21</v>
      </c>
      <c r="D64" s="2" t="s">
        <v>28</v>
      </c>
      <c r="E64" s="2" t="s">
        <v>22</v>
      </c>
      <c r="F64" s="3" t="str">
        <f t="shared" si="1"/>
        <v>02-14N-11W</v>
      </c>
      <c r="G64">
        <v>1</v>
      </c>
    </row>
    <row r="65" spans="1:7" x14ac:dyDescent="0.25">
      <c r="A65" s="4" t="s">
        <v>31</v>
      </c>
      <c r="B65" s="2" t="s">
        <v>28</v>
      </c>
      <c r="C65" t="s">
        <v>21</v>
      </c>
      <c r="D65" s="2" t="s">
        <v>28</v>
      </c>
      <c r="E65" s="2" t="s">
        <v>22</v>
      </c>
      <c r="F65" s="3" t="str">
        <f t="shared" si="1"/>
        <v>03-14N-11W</v>
      </c>
      <c r="G65">
        <v>1</v>
      </c>
    </row>
    <row r="66" spans="1:7" x14ac:dyDescent="0.25">
      <c r="A66" s="4" t="s">
        <v>32</v>
      </c>
      <c r="B66" s="2" t="s">
        <v>28</v>
      </c>
      <c r="C66" t="s">
        <v>21</v>
      </c>
      <c r="D66" s="2" t="s">
        <v>28</v>
      </c>
      <c r="E66" s="2" t="s">
        <v>22</v>
      </c>
      <c r="F66" s="3" t="str">
        <f t="shared" si="1"/>
        <v>04-14N-11W</v>
      </c>
      <c r="G66">
        <v>1</v>
      </c>
    </row>
    <row r="67" spans="1:7" x14ac:dyDescent="0.25">
      <c r="A67" s="4" t="s">
        <v>33</v>
      </c>
      <c r="B67" s="2" t="s">
        <v>28</v>
      </c>
      <c r="C67" t="s">
        <v>21</v>
      </c>
      <c r="D67" s="2" t="s">
        <v>28</v>
      </c>
      <c r="E67" s="2" t="s">
        <v>22</v>
      </c>
      <c r="F67" s="3" t="str">
        <f t="shared" si="1"/>
        <v>05-14N-11W</v>
      </c>
      <c r="G67">
        <v>1</v>
      </c>
    </row>
    <row r="68" spans="1:7" x14ac:dyDescent="0.25">
      <c r="A68" s="4" t="s">
        <v>34</v>
      </c>
      <c r="B68" s="2" t="s">
        <v>28</v>
      </c>
      <c r="C68" t="s">
        <v>21</v>
      </c>
      <c r="D68" s="2" t="s">
        <v>28</v>
      </c>
      <c r="E68" s="2" t="s">
        <v>22</v>
      </c>
      <c r="F68" s="3" t="str">
        <f t="shared" si="1"/>
        <v>06-14N-11W</v>
      </c>
      <c r="G68">
        <v>1</v>
      </c>
    </row>
    <row r="69" spans="1:7" x14ac:dyDescent="0.25">
      <c r="A69" s="2">
        <v>13</v>
      </c>
      <c r="B69" s="2" t="s">
        <v>28</v>
      </c>
      <c r="C69" s="2" t="s">
        <v>17</v>
      </c>
      <c r="D69" s="2" t="s">
        <v>28</v>
      </c>
      <c r="E69" s="2" t="s">
        <v>20</v>
      </c>
      <c r="F69" s="3" t="str">
        <f t="shared" si="1"/>
        <v>13-16N-10W</v>
      </c>
      <c r="G69">
        <v>1</v>
      </c>
    </row>
    <row r="70" spans="1:7" x14ac:dyDescent="0.25">
      <c r="A70" s="2">
        <v>14</v>
      </c>
      <c r="B70" s="2" t="s">
        <v>28</v>
      </c>
      <c r="C70" s="2" t="s">
        <v>17</v>
      </c>
      <c r="D70" s="2" t="s">
        <v>28</v>
      </c>
      <c r="E70" s="2" t="s">
        <v>20</v>
      </c>
      <c r="F70" s="3" t="str">
        <f t="shared" si="1"/>
        <v>14-16N-10W</v>
      </c>
      <c r="G70">
        <v>1</v>
      </c>
    </row>
    <row r="71" spans="1:7" x14ac:dyDescent="0.25">
      <c r="A71" s="2">
        <v>15</v>
      </c>
      <c r="B71" s="2" t="s">
        <v>28</v>
      </c>
      <c r="C71" s="2" t="s">
        <v>17</v>
      </c>
      <c r="D71" s="2" t="s">
        <v>28</v>
      </c>
      <c r="E71" s="2" t="s">
        <v>20</v>
      </c>
      <c r="F71" s="3" t="str">
        <f t="shared" si="1"/>
        <v>15-16N-10W</v>
      </c>
      <c r="G71">
        <v>1</v>
      </c>
    </row>
    <row r="72" spans="1:7" x14ac:dyDescent="0.25">
      <c r="A72" s="2">
        <v>16</v>
      </c>
      <c r="B72" s="2" t="s">
        <v>28</v>
      </c>
      <c r="C72" s="2" t="s">
        <v>17</v>
      </c>
      <c r="D72" s="2" t="s">
        <v>28</v>
      </c>
      <c r="E72" s="2" t="s">
        <v>20</v>
      </c>
      <c r="F72" s="3" t="str">
        <f t="shared" si="1"/>
        <v>16-16N-10W</v>
      </c>
      <c r="G72">
        <v>1</v>
      </c>
    </row>
    <row r="73" spans="1:7" x14ac:dyDescent="0.25">
      <c r="A73" s="2">
        <v>17</v>
      </c>
      <c r="B73" s="2" t="s">
        <v>28</v>
      </c>
      <c r="C73" s="2" t="s">
        <v>17</v>
      </c>
      <c r="D73" s="2" t="s">
        <v>28</v>
      </c>
      <c r="E73" s="2" t="s">
        <v>20</v>
      </c>
      <c r="F73" s="3" t="str">
        <f t="shared" si="1"/>
        <v>17-16N-10W</v>
      </c>
      <c r="G73">
        <v>1</v>
      </c>
    </row>
    <row r="74" spans="1:7" x14ac:dyDescent="0.25">
      <c r="A74" s="2">
        <v>18</v>
      </c>
      <c r="B74" s="2" t="s">
        <v>28</v>
      </c>
      <c r="C74" s="2" t="s">
        <v>17</v>
      </c>
      <c r="D74" s="2" t="s">
        <v>28</v>
      </c>
      <c r="E74" s="2" t="s">
        <v>20</v>
      </c>
      <c r="F74" s="3" t="str">
        <f t="shared" si="1"/>
        <v>18-16N-10W</v>
      </c>
      <c r="G74">
        <v>1</v>
      </c>
    </row>
    <row r="75" spans="1:7" x14ac:dyDescent="0.25">
      <c r="A75" s="2">
        <v>19</v>
      </c>
      <c r="B75" s="2" t="s">
        <v>28</v>
      </c>
      <c r="C75" s="2" t="s">
        <v>17</v>
      </c>
      <c r="D75" s="2" t="s">
        <v>28</v>
      </c>
      <c r="E75" s="2" t="s">
        <v>20</v>
      </c>
      <c r="F75" s="3" t="str">
        <f t="shared" si="1"/>
        <v>19-16N-10W</v>
      </c>
      <c r="G75">
        <v>1</v>
      </c>
    </row>
    <row r="76" spans="1:7" x14ac:dyDescent="0.25">
      <c r="A76" s="2">
        <v>20</v>
      </c>
      <c r="B76" s="2" t="s">
        <v>28</v>
      </c>
      <c r="C76" s="2" t="s">
        <v>17</v>
      </c>
      <c r="D76" s="2" t="s">
        <v>28</v>
      </c>
      <c r="E76" s="2" t="s">
        <v>20</v>
      </c>
      <c r="F76" s="3" t="str">
        <f t="shared" si="1"/>
        <v>20-16N-10W</v>
      </c>
      <c r="G76">
        <v>1</v>
      </c>
    </row>
    <row r="77" spans="1:7" x14ac:dyDescent="0.25">
      <c r="A77" s="2">
        <v>21</v>
      </c>
      <c r="B77" s="2" t="s">
        <v>28</v>
      </c>
      <c r="C77" s="2" t="s">
        <v>17</v>
      </c>
      <c r="D77" s="2" t="s">
        <v>28</v>
      </c>
      <c r="E77" s="2" t="s">
        <v>20</v>
      </c>
      <c r="F77" s="3" t="str">
        <f t="shared" si="1"/>
        <v>21-16N-10W</v>
      </c>
      <c r="G77">
        <v>1</v>
      </c>
    </row>
    <row r="78" spans="1:7" x14ac:dyDescent="0.25">
      <c r="A78" s="2">
        <v>22</v>
      </c>
      <c r="B78" s="2" t="s">
        <v>28</v>
      </c>
      <c r="C78" s="2" t="s">
        <v>17</v>
      </c>
      <c r="D78" s="2" t="s">
        <v>28</v>
      </c>
      <c r="E78" s="2" t="s">
        <v>20</v>
      </c>
      <c r="F78" s="3" t="str">
        <f t="shared" si="1"/>
        <v>22-16N-10W</v>
      </c>
      <c r="G78">
        <v>1</v>
      </c>
    </row>
    <row r="79" spans="1:7" x14ac:dyDescent="0.25">
      <c r="A79" s="2">
        <v>23</v>
      </c>
      <c r="B79" s="2" t="s">
        <v>28</v>
      </c>
      <c r="C79" s="2" t="s">
        <v>17</v>
      </c>
      <c r="D79" s="2" t="s">
        <v>28</v>
      </c>
      <c r="E79" s="2" t="s">
        <v>20</v>
      </c>
      <c r="F79" s="3" t="str">
        <f t="shared" si="1"/>
        <v>23-16N-10W</v>
      </c>
      <c r="G79">
        <v>1</v>
      </c>
    </row>
    <row r="80" spans="1:7" x14ac:dyDescent="0.25">
      <c r="A80" s="2">
        <v>24</v>
      </c>
      <c r="B80" s="2" t="s">
        <v>28</v>
      </c>
      <c r="C80" s="2" t="s">
        <v>17</v>
      </c>
      <c r="D80" s="2" t="s">
        <v>28</v>
      </c>
      <c r="E80" s="2" t="s">
        <v>20</v>
      </c>
      <c r="F80" s="3" t="str">
        <f t="shared" si="1"/>
        <v>24-16N-10W</v>
      </c>
      <c r="G80">
        <v>1</v>
      </c>
    </row>
    <row r="81" spans="1:7" x14ac:dyDescent="0.25">
      <c r="A81" s="2">
        <v>25</v>
      </c>
      <c r="B81" s="2" t="s">
        <v>28</v>
      </c>
      <c r="C81" s="2" t="s">
        <v>17</v>
      </c>
      <c r="D81" s="2" t="s">
        <v>28</v>
      </c>
      <c r="E81" s="2" t="s">
        <v>20</v>
      </c>
      <c r="F81" s="3" t="str">
        <f t="shared" si="1"/>
        <v>25-16N-10W</v>
      </c>
      <c r="G81">
        <v>1</v>
      </c>
    </row>
    <row r="82" spans="1:7" x14ac:dyDescent="0.25">
      <c r="A82" s="2">
        <v>26</v>
      </c>
      <c r="B82" s="2" t="s">
        <v>28</v>
      </c>
      <c r="C82" s="2" t="s">
        <v>17</v>
      </c>
      <c r="D82" s="2" t="s">
        <v>28</v>
      </c>
      <c r="E82" s="2" t="s">
        <v>20</v>
      </c>
      <c r="F82" s="3" t="str">
        <f t="shared" si="1"/>
        <v>26-16N-10W</v>
      </c>
      <c r="G82">
        <v>1</v>
      </c>
    </row>
    <row r="83" spans="1:7" x14ac:dyDescent="0.25">
      <c r="A83" s="2">
        <v>27</v>
      </c>
      <c r="B83" s="2" t="s">
        <v>28</v>
      </c>
      <c r="C83" s="2" t="s">
        <v>17</v>
      </c>
      <c r="D83" s="2" t="s">
        <v>28</v>
      </c>
      <c r="E83" s="2" t="s">
        <v>20</v>
      </c>
      <c r="F83" s="3" t="str">
        <f t="shared" si="1"/>
        <v>27-16N-10W</v>
      </c>
      <c r="G83">
        <v>1</v>
      </c>
    </row>
    <row r="84" spans="1:7" x14ac:dyDescent="0.25">
      <c r="A84" s="2">
        <v>28</v>
      </c>
      <c r="B84" s="2" t="s">
        <v>28</v>
      </c>
      <c r="C84" s="2" t="s">
        <v>17</v>
      </c>
      <c r="D84" s="2" t="s">
        <v>28</v>
      </c>
      <c r="E84" s="2" t="s">
        <v>20</v>
      </c>
      <c r="F84" s="3" t="str">
        <f t="shared" si="1"/>
        <v>28-16N-10W</v>
      </c>
      <c r="G84">
        <v>1</v>
      </c>
    </row>
    <row r="85" spans="1:7" x14ac:dyDescent="0.25">
      <c r="A85" s="2">
        <v>29</v>
      </c>
      <c r="B85" s="2" t="s">
        <v>28</v>
      </c>
      <c r="C85" s="2" t="s">
        <v>17</v>
      </c>
      <c r="D85" s="2" t="s">
        <v>28</v>
      </c>
      <c r="E85" s="2" t="s">
        <v>20</v>
      </c>
      <c r="F85" s="3" t="str">
        <f t="shared" si="1"/>
        <v>29-16N-10W</v>
      </c>
      <c r="G85">
        <v>1</v>
      </c>
    </row>
    <row r="86" spans="1:7" x14ac:dyDescent="0.25">
      <c r="A86" s="2">
        <v>30</v>
      </c>
      <c r="B86" s="2" t="s">
        <v>28</v>
      </c>
      <c r="C86" s="2" t="s">
        <v>17</v>
      </c>
      <c r="D86" s="2" t="s">
        <v>28</v>
      </c>
      <c r="E86" s="2" t="s">
        <v>20</v>
      </c>
      <c r="F86" s="3" t="str">
        <f t="shared" si="1"/>
        <v>30-16N-10W</v>
      </c>
      <c r="G86">
        <v>1</v>
      </c>
    </row>
    <row r="87" spans="1:7" x14ac:dyDescent="0.25">
      <c r="A87" s="2">
        <v>31</v>
      </c>
      <c r="B87" s="2" t="s">
        <v>28</v>
      </c>
      <c r="C87" s="2" t="s">
        <v>17</v>
      </c>
      <c r="D87" s="2" t="s">
        <v>28</v>
      </c>
      <c r="E87" s="2" t="s">
        <v>20</v>
      </c>
      <c r="F87" s="3" t="str">
        <f t="shared" si="1"/>
        <v>31-16N-10W</v>
      </c>
      <c r="G87">
        <v>1</v>
      </c>
    </row>
    <row r="88" spans="1:7" x14ac:dyDescent="0.25">
      <c r="A88" s="2">
        <v>32</v>
      </c>
      <c r="B88" s="2" t="s">
        <v>28</v>
      </c>
      <c r="C88" s="2" t="s">
        <v>17</v>
      </c>
      <c r="D88" s="2" t="s">
        <v>28</v>
      </c>
      <c r="E88" s="2" t="s">
        <v>20</v>
      </c>
      <c r="F88" s="3" t="str">
        <f t="shared" si="1"/>
        <v>32-16N-10W</v>
      </c>
      <c r="G88">
        <v>1</v>
      </c>
    </row>
    <row r="89" spans="1:7" x14ac:dyDescent="0.25">
      <c r="A89" s="2">
        <v>33</v>
      </c>
      <c r="B89" s="2" t="s">
        <v>28</v>
      </c>
      <c r="C89" s="2" t="s">
        <v>17</v>
      </c>
      <c r="D89" s="2" t="s">
        <v>28</v>
      </c>
      <c r="E89" s="2" t="s">
        <v>20</v>
      </c>
      <c r="F89" s="3" t="str">
        <f t="shared" si="1"/>
        <v>33-16N-10W</v>
      </c>
      <c r="G89">
        <v>1</v>
      </c>
    </row>
    <row r="90" spans="1:7" x14ac:dyDescent="0.25">
      <c r="A90" s="2">
        <v>34</v>
      </c>
      <c r="B90" s="2" t="s">
        <v>28</v>
      </c>
      <c r="C90" s="2" t="s">
        <v>17</v>
      </c>
      <c r="D90" s="2" t="s">
        <v>28</v>
      </c>
      <c r="E90" s="2" t="s">
        <v>20</v>
      </c>
      <c r="F90" s="3" t="str">
        <f t="shared" si="1"/>
        <v>34-16N-10W</v>
      </c>
      <c r="G90">
        <v>1</v>
      </c>
    </row>
    <row r="91" spans="1:7" x14ac:dyDescent="0.25">
      <c r="A91" s="2">
        <v>35</v>
      </c>
      <c r="B91" s="2" t="s">
        <v>28</v>
      </c>
      <c r="C91" s="2" t="s">
        <v>17</v>
      </c>
      <c r="D91" s="2" t="s">
        <v>28</v>
      </c>
      <c r="E91" s="2" t="s">
        <v>20</v>
      </c>
      <c r="F91" s="3" t="str">
        <f t="shared" si="1"/>
        <v>35-16N-10W</v>
      </c>
      <c r="G91">
        <v>1</v>
      </c>
    </row>
    <row r="92" spans="1:7" x14ac:dyDescent="0.25">
      <c r="A92" s="2">
        <v>36</v>
      </c>
      <c r="B92" s="2" t="s">
        <v>28</v>
      </c>
      <c r="C92" s="2" t="s">
        <v>17</v>
      </c>
      <c r="D92" s="2" t="s">
        <v>28</v>
      </c>
      <c r="E92" s="2" t="s">
        <v>20</v>
      </c>
      <c r="F92" s="3" t="str">
        <f t="shared" ref="F92:F155" si="2">_xlfn.CONCAT(A92:E92)</f>
        <v>36-16N-10W</v>
      </c>
      <c r="G92">
        <v>1</v>
      </c>
    </row>
    <row r="93" spans="1:7" x14ac:dyDescent="0.25">
      <c r="A93" s="4" t="s">
        <v>29</v>
      </c>
      <c r="B93" s="2" t="s">
        <v>28</v>
      </c>
      <c r="C93" s="2" t="s">
        <v>19</v>
      </c>
      <c r="D93" s="2" t="s">
        <v>28</v>
      </c>
      <c r="E93" s="2" t="s">
        <v>20</v>
      </c>
      <c r="F93" s="3" t="str">
        <f t="shared" si="2"/>
        <v>01-15N-10W</v>
      </c>
      <c r="G93">
        <v>1</v>
      </c>
    </row>
    <row r="94" spans="1:7" x14ac:dyDescent="0.25">
      <c r="A94" s="4" t="s">
        <v>30</v>
      </c>
      <c r="B94" s="2" t="s">
        <v>28</v>
      </c>
      <c r="C94" s="2" t="s">
        <v>19</v>
      </c>
      <c r="D94" s="2" t="s">
        <v>28</v>
      </c>
      <c r="E94" s="2" t="s">
        <v>20</v>
      </c>
      <c r="F94" s="3" t="str">
        <f t="shared" si="2"/>
        <v>02-15N-10W</v>
      </c>
      <c r="G94">
        <v>1</v>
      </c>
    </row>
    <row r="95" spans="1:7" x14ac:dyDescent="0.25">
      <c r="A95" s="4" t="s">
        <v>31</v>
      </c>
      <c r="B95" s="2" t="s">
        <v>28</v>
      </c>
      <c r="C95" s="2" t="s">
        <v>19</v>
      </c>
      <c r="D95" s="2" t="s">
        <v>28</v>
      </c>
      <c r="E95" s="2" t="s">
        <v>20</v>
      </c>
      <c r="F95" s="3" t="str">
        <f t="shared" si="2"/>
        <v>03-15N-10W</v>
      </c>
      <c r="G95">
        <v>1</v>
      </c>
    </row>
    <row r="96" spans="1:7" x14ac:dyDescent="0.25">
      <c r="A96" s="4" t="s">
        <v>32</v>
      </c>
      <c r="B96" s="2" t="s">
        <v>28</v>
      </c>
      <c r="C96" s="2" t="s">
        <v>19</v>
      </c>
      <c r="D96" s="2" t="s">
        <v>28</v>
      </c>
      <c r="E96" s="2" t="s">
        <v>20</v>
      </c>
      <c r="F96" s="3" t="str">
        <f t="shared" si="2"/>
        <v>04-15N-10W</v>
      </c>
      <c r="G96">
        <v>1</v>
      </c>
    </row>
    <row r="97" spans="1:7" x14ac:dyDescent="0.25">
      <c r="A97" s="4" t="s">
        <v>33</v>
      </c>
      <c r="B97" s="2" t="s">
        <v>28</v>
      </c>
      <c r="C97" s="2" t="s">
        <v>19</v>
      </c>
      <c r="D97" s="2" t="s">
        <v>28</v>
      </c>
      <c r="E97" s="2" t="s">
        <v>20</v>
      </c>
      <c r="F97" s="3" t="str">
        <f t="shared" si="2"/>
        <v>05-15N-10W</v>
      </c>
      <c r="G97">
        <v>1</v>
      </c>
    </row>
    <row r="98" spans="1:7" x14ac:dyDescent="0.25">
      <c r="A98" s="4" t="s">
        <v>34</v>
      </c>
      <c r="B98" s="2" t="s">
        <v>28</v>
      </c>
      <c r="C98" s="2" t="s">
        <v>19</v>
      </c>
      <c r="D98" s="2" t="s">
        <v>28</v>
      </c>
      <c r="E98" s="2" t="s">
        <v>20</v>
      </c>
      <c r="F98" s="3" t="str">
        <f t="shared" si="2"/>
        <v>06-15N-10W</v>
      </c>
      <c r="G98">
        <v>1</v>
      </c>
    </row>
    <row r="99" spans="1:7" x14ac:dyDescent="0.25">
      <c r="A99" s="4" t="s">
        <v>35</v>
      </c>
      <c r="B99" s="2" t="s">
        <v>28</v>
      </c>
      <c r="C99" s="2" t="s">
        <v>19</v>
      </c>
      <c r="D99" s="2" t="s">
        <v>28</v>
      </c>
      <c r="E99" s="2" t="s">
        <v>20</v>
      </c>
      <c r="F99" s="3" t="str">
        <f t="shared" si="2"/>
        <v>07-15N-10W</v>
      </c>
      <c r="G99">
        <v>1</v>
      </c>
    </row>
    <row r="100" spans="1:7" x14ac:dyDescent="0.25">
      <c r="A100" s="4" t="s">
        <v>36</v>
      </c>
      <c r="B100" s="2" t="s">
        <v>28</v>
      </c>
      <c r="C100" s="2" t="s">
        <v>19</v>
      </c>
      <c r="D100" s="2" t="s">
        <v>28</v>
      </c>
      <c r="E100" s="2" t="s">
        <v>20</v>
      </c>
      <c r="F100" s="3" t="str">
        <f t="shared" si="2"/>
        <v>08-15N-10W</v>
      </c>
      <c r="G100">
        <v>1</v>
      </c>
    </row>
    <row r="101" spans="1:7" x14ac:dyDescent="0.25">
      <c r="A101" s="4" t="s">
        <v>37</v>
      </c>
      <c r="B101" s="2" t="s">
        <v>28</v>
      </c>
      <c r="C101" s="2" t="s">
        <v>19</v>
      </c>
      <c r="D101" s="2" t="s">
        <v>28</v>
      </c>
      <c r="E101" s="2" t="s">
        <v>20</v>
      </c>
      <c r="F101" s="3" t="str">
        <f t="shared" si="2"/>
        <v>09-15N-10W</v>
      </c>
      <c r="G101">
        <v>1</v>
      </c>
    </row>
    <row r="102" spans="1:7" x14ac:dyDescent="0.25">
      <c r="A102" s="2">
        <v>10</v>
      </c>
      <c r="B102" s="2" t="s">
        <v>28</v>
      </c>
      <c r="C102" s="2" t="s">
        <v>19</v>
      </c>
      <c r="D102" s="2" t="s">
        <v>28</v>
      </c>
      <c r="E102" s="2" t="s">
        <v>20</v>
      </c>
      <c r="F102" s="3" t="str">
        <f t="shared" si="2"/>
        <v>10-15N-10W</v>
      </c>
      <c r="G102">
        <v>1</v>
      </c>
    </row>
    <row r="103" spans="1:7" x14ac:dyDescent="0.25">
      <c r="A103" s="2">
        <v>11</v>
      </c>
      <c r="B103" s="2" t="s">
        <v>28</v>
      </c>
      <c r="C103" s="2" t="s">
        <v>19</v>
      </c>
      <c r="D103" s="2" t="s">
        <v>28</v>
      </c>
      <c r="E103" s="2" t="s">
        <v>20</v>
      </c>
      <c r="F103" s="3" t="str">
        <f t="shared" si="2"/>
        <v>11-15N-10W</v>
      </c>
      <c r="G103">
        <v>1</v>
      </c>
    </row>
    <row r="104" spans="1:7" x14ac:dyDescent="0.25">
      <c r="A104" s="2">
        <v>12</v>
      </c>
      <c r="B104" s="2" t="s">
        <v>28</v>
      </c>
      <c r="C104" s="2" t="s">
        <v>19</v>
      </c>
      <c r="D104" s="2" t="s">
        <v>28</v>
      </c>
      <c r="E104" s="2" t="s">
        <v>20</v>
      </c>
      <c r="F104" s="3" t="str">
        <f t="shared" si="2"/>
        <v>12-15N-10W</v>
      </c>
      <c r="G104">
        <v>1</v>
      </c>
    </row>
    <row r="105" spans="1:7" x14ac:dyDescent="0.25">
      <c r="A105" s="2">
        <v>13</v>
      </c>
      <c r="B105" s="2" t="s">
        <v>28</v>
      </c>
      <c r="C105" s="2" t="s">
        <v>19</v>
      </c>
      <c r="D105" s="2" t="s">
        <v>28</v>
      </c>
      <c r="E105" s="2" t="s">
        <v>20</v>
      </c>
      <c r="F105" s="3" t="str">
        <f t="shared" si="2"/>
        <v>13-15N-10W</v>
      </c>
      <c r="G105">
        <v>1</v>
      </c>
    </row>
    <row r="106" spans="1:7" x14ac:dyDescent="0.25">
      <c r="A106" s="2">
        <v>14</v>
      </c>
      <c r="B106" s="2" t="s">
        <v>28</v>
      </c>
      <c r="C106" s="2" t="s">
        <v>19</v>
      </c>
      <c r="D106" s="2" t="s">
        <v>28</v>
      </c>
      <c r="E106" s="2" t="s">
        <v>20</v>
      </c>
      <c r="F106" s="3" t="str">
        <f t="shared" si="2"/>
        <v>14-15N-10W</v>
      </c>
      <c r="G106">
        <v>1</v>
      </c>
    </row>
    <row r="107" spans="1:7" x14ac:dyDescent="0.25">
      <c r="A107" s="2">
        <v>15</v>
      </c>
      <c r="B107" s="2" t="s">
        <v>28</v>
      </c>
      <c r="C107" s="2" t="s">
        <v>19</v>
      </c>
      <c r="D107" s="2" t="s">
        <v>28</v>
      </c>
      <c r="E107" s="2" t="s">
        <v>20</v>
      </c>
      <c r="F107" s="3" t="str">
        <f t="shared" si="2"/>
        <v>15-15N-10W</v>
      </c>
      <c r="G107">
        <v>1</v>
      </c>
    </row>
    <row r="108" spans="1:7" x14ac:dyDescent="0.25">
      <c r="A108" s="2">
        <v>16</v>
      </c>
      <c r="B108" s="2" t="s">
        <v>28</v>
      </c>
      <c r="C108" s="2" t="s">
        <v>19</v>
      </c>
      <c r="D108" s="2" t="s">
        <v>28</v>
      </c>
      <c r="E108" s="2" t="s">
        <v>20</v>
      </c>
      <c r="F108" s="3" t="str">
        <f t="shared" si="2"/>
        <v>16-15N-10W</v>
      </c>
      <c r="G108">
        <v>1</v>
      </c>
    </row>
    <row r="109" spans="1:7" x14ac:dyDescent="0.25">
      <c r="A109" s="2">
        <v>17</v>
      </c>
      <c r="B109" s="2" t="s">
        <v>28</v>
      </c>
      <c r="C109" s="2" t="s">
        <v>19</v>
      </c>
      <c r="D109" s="2" t="s">
        <v>28</v>
      </c>
      <c r="E109" s="2" t="s">
        <v>20</v>
      </c>
      <c r="F109" s="3" t="str">
        <f t="shared" si="2"/>
        <v>17-15N-10W</v>
      </c>
      <c r="G109">
        <v>1</v>
      </c>
    </row>
    <row r="110" spans="1:7" x14ac:dyDescent="0.25">
      <c r="A110" s="2">
        <v>18</v>
      </c>
      <c r="B110" s="2" t="s">
        <v>28</v>
      </c>
      <c r="C110" s="2" t="s">
        <v>19</v>
      </c>
      <c r="D110" s="2" t="s">
        <v>28</v>
      </c>
      <c r="E110" s="2" t="s">
        <v>20</v>
      </c>
      <c r="F110" s="3" t="str">
        <f t="shared" si="2"/>
        <v>18-15N-10W</v>
      </c>
      <c r="G110">
        <v>1</v>
      </c>
    </row>
    <row r="111" spans="1:7" x14ac:dyDescent="0.25">
      <c r="A111" s="2">
        <v>19</v>
      </c>
      <c r="B111" s="2" t="s">
        <v>28</v>
      </c>
      <c r="C111" s="2" t="s">
        <v>19</v>
      </c>
      <c r="D111" s="2" t="s">
        <v>28</v>
      </c>
      <c r="E111" s="2" t="s">
        <v>20</v>
      </c>
      <c r="F111" s="3" t="str">
        <f t="shared" si="2"/>
        <v>19-15N-10W</v>
      </c>
      <c r="G111">
        <v>1</v>
      </c>
    </row>
    <row r="112" spans="1:7" x14ac:dyDescent="0.25">
      <c r="A112" s="2">
        <v>20</v>
      </c>
      <c r="B112" s="2" t="s">
        <v>28</v>
      </c>
      <c r="C112" s="2" t="s">
        <v>19</v>
      </c>
      <c r="D112" s="2" t="s">
        <v>28</v>
      </c>
      <c r="E112" s="2" t="s">
        <v>20</v>
      </c>
      <c r="F112" s="3" t="str">
        <f t="shared" si="2"/>
        <v>20-15N-10W</v>
      </c>
      <c r="G112">
        <v>1</v>
      </c>
    </row>
    <row r="113" spans="1:7" x14ac:dyDescent="0.25">
      <c r="A113" s="2">
        <v>21</v>
      </c>
      <c r="B113" s="2" t="s">
        <v>28</v>
      </c>
      <c r="C113" s="2" t="s">
        <v>19</v>
      </c>
      <c r="D113" s="2" t="s">
        <v>28</v>
      </c>
      <c r="E113" s="2" t="s">
        <v>20</v>
      </c>
      <c r="F113" s="3" t="str">
        <f t="shared" si="2"/>
        <v>21-15N-10W</v>
      </c>
      <c r="G113">
        <v>1</v>
      </c>
    </row>
    <row r="114" spans="1:7" x14ac:dyDescent="0.25">
      <c r="A114" s="2">
        <v>22</v>
      </c>
      <c r="B114" s="2" t="s">
        <v>28</v>
      </c>
      <c r="C114" s="2" t="s">
        <v>19</v>
      </c>
      <c r="D114" s="2" t="s">
        <v>28</v>
      </c>
      <c r="E114" s="2" t="s">
        <v>20</v>
      </c>
      <c r="F114" s="3" t="str">
        <f t="shared" si="2"/>
        <v>22-15N-10W</v>
      </c>
      <c r="G114">
        <v>1</v>
      </c>
    </row>
    <row r="115" spans="1:7" x14ac:dyDescent="0.25">
      <c r="A115" s="2">
        <v>23</v>
      </c>
      <c r="B115" s="2" t="s">
        <v>28</v>
      </c>
      <c r="C115" s="2" t="s">
        <v>19</v>
      </c>
      <c r="D115" s="2" t="s">
        <v>28</v>
      </c>
      <c r="E115" s="2" t="s">
        <v>20</v>
      </c>
      <c r="F115" s="3" t="str">
        <f t="shared" si="2"/>
        <v>23-15N-10W</v>
      </c>
      <c r="G115">
        <v>1</v>
      </c>
    </row>
    <row r="116" spans="1:7" x14ac:dyDescent="0.25">
      <c r="A116" s="2">
        <v>24</v>
      </c>
      <c r="B116" s="2" t="s">
        <v>28</v>
      </c>
      <c r="C116" s="2" t="s">
        <v>19</v>
      </c>
      <c r="D116" s="2" t="s">
        <v>28</v>
      </c>
      <c r="E116" s="2" t="s">
        <v>20</v>
      </c>
      <c r="F116" s="3" t="str">
        <f t="shared" si="2"/>
        <v>24-15N-10W</v>
      </c>
      <c r="G116">
        <v>1</v>
      </c>
    </row>
    <row r="117" spans="1:7" x14ac:dyDescent="0.25">
      <c r="A117" s="2">
        <v>25</v>
      </c>
      <c r="B117" s="2" t="s">
        <v>28</v>
      </c>
      <c r="C117" s="2" t="s">
        <v>19</v>
      </c>
      <c r="D117" s="2" t="s">
        <v>28</v>
      </c>
      <c r="E117" s="2" t="s">
        <v>20</v>
      </c>
      <c r="F117" s="3" t="str">
        <f t="shared" si="2"/>
        <v>25-15N-10W</v>
      </c>
      <c r="G117">
        <v>1</v>
      </c>
    </row>
    <row r="118" spans="1:7" x14ac:dyDescent="0.25">
      <c r="A118" s="2">
        <v>26</v>
      </c>
      <c r="B118" s="2" t="s">
        <v>28</v>
      </c>
      <c r="C118" s="2" t="s">
        <v>19</v>
      </c>
      <c r="D118" s="2" t="s">
        <v>28</v>
      </c>
      <c r="E118" s="2" t="s">
        <v>20</v>
      </c>
      <c r="F118" s="3" t="str">
        <f t="shared" si="2"/>
        <v>26-15N-10W</v>
      </c>
      <c r="G118">
        <v>1</v>
      </c>
    </row>
    <row r="119" spans="1:7" x14ac:dyDescent="0.25">
      <c r="A119" s="2">
        <v>27</v>
      </c>
      <c r="B119" s="2" t="s">
        <v>28</v>
      </c>
      <c r="C119" s="2" t="s">
        <v>19</v>
      </c>
      <c r="D119" s="2" t="s">
        <v>28</v>
      </c>
      <c r="E119" s="2" t="s">
        <v>20</v>
      </c>
      <c r="F119" s="3" t="str">
        <f t="shared" si="2"/>
        <v>27-15N-10W</v>
      </c>
      <c r="G119">
        <v>1</v>
      </c>
    </row>
    <row r="120" spans="1:7" x14ac:dyDescent="0.25">
      <c r="A120" s="2">
        <v>28</v>
      </c>
      <c r="B120" s="2" t="s">
        <v>28</v>
      </c>
      <c r="C120" s="2" t="s">
        <v>19</v>
      </c>
      <c r="D120" s="2" t="s">
        <v>28</v>
      </c>
      <c r="E120" s="2" t="s">
        <v>20</v>
      </c>
      <c r="F120" s="3" t="str">
        <f t="shared" si="2"/>
        <v>28-15N-10W</v>
      </c>
      <c r="G120">
        <v>1</v>
      </c>
    </row>
    <row r="121" spans="1:7" x14ac:dyDescent="0.25">
      <c r="A121" s="2">
        <v>29</v>
      </c>
      <c r="B121" s="2" t="s">
        <v>28</v>
      </c>
      <c r="C121" s="2" t="s">
        <v>19</v>
      </c>
      <c r="D121" s="2" t="s">
        <v>28</v>
      </c>
      <c r="E121" s="2" t="s">
        <v>20</v>
      </c>
      <c r="F121" s="3" t="str">
        <f t="shared" si="2"/>
        <v>29-15N-10W</v>
      </c>
      <c r="G121">
        <v>1</v>
      </c>
    </row>
    <row r="122" spans="1:7" x14ac:dyDescent="0.25">
      <c r="A122" s="2">
        <v>30</v>
      </c>
      <c r="B122" s="2" t="s">
        <v>28</v>
      </c>
      <c r="C122" s="2" t="s">
        <v>19</v>
      </c>
      <c r="D122" s="2" t="s">
        <v>28</v>
      </c>
      <c r="E122" s="2" t="s">
        <v>20</v>
      </c>
      <c r="F122" s="3" t="str">
        <f t="shared" si="2"/>
        <v>30-15N-10W</v>
      </c>
      <c r="G122">
        <v>1</v>
      </c>
    </row>
    <row r="123" spans="1:7" x14ac:dyDescent="0.25">
      <c r="A123" s="2">
        <v>31</v>
      </c>
      <c r="B123" s="2" t="s">
        <v>28</v>
      </c>
      <c r="C123" s="2" t="s">
        <v>19</v>
      </c>
      <c r="D123" s="2" t="s">
        <v>28</v>
      </c>
      <c r="E123" s="2" t="s">
        <v>20</v>
      </c>
      <c r="F123" s="3" t="str">
        <f t="shared" si="2"/>
        <v>31-15N-10W</v>
      </c>
      <c r="G123">
        <v>1</v>
      </c>
    </row>
    <row r="124" spans="1:7" x14ac:dyDescent="0.25">
      <c r="A124" s="2">
        <v>32</v>
      </c>
      <c r="B124" s="2" t="s">
        <v>28</v>
      </c>
      <c r="C124" s="2" t="s">
        <v>19</v>
      </c>
      <c r="D124" s="2" t="s">
        <v>28</v>
      </c>
      <c r="E124" s="2" t="s">
        <v>20</v>
      </c>
      <c r="F124" s="3" t="str">
        <f t="shared" si="2"/>
        <v>32-15N-10W</v>
      </c>
      <c r="G124">
        <v>1</v>
      </c>
    </row>
    <row r="125" spans="1:7" x14ac:dyDescent="0.25">
      <c r="A125" s="2">
        <v>33</v>
      </c>
      <c r="B125" s="2" t="s">
        <v>28</v>
      </c>
      <c r="C125" s="2" t="s">
        <v>19</v>
      </c>
      <c r="D125" s="2" t="s">
        <v>28</v>
      </c>
      <c r="E125" s="2" t="s">
        <v>20</v>
      </c>
      <c r="F125" s="3" t="str">
        <f t="shared" si="2"/>
        <v>33-15N-10W</v>
      </c>
      <c r="G125">
        <v>1</v>
      </c>
    </row>
    <row r="126" spans="1:7" x14ac:dyDescent="0.25">
      <c r="A126" s="2">
        <v>34</v>
      </c>
      <c r="B126" s="2" t="s">
        <v>28</v>
      </c>
      <c r="C126" s="2" t="s">
        <v>19</v>
      </c>
      <c r="D126" s="2" t="s">
        <v>28</v>
      </c>
      <c r="E126" s="2" t="s">
        <v>20</v>
      </c>
      <c r="F126" s="3" t="str">
        <f t="shared" si="2"/>
        <v>34-15N-10W</v>
      </c>
      <c r="G126">
        <v>1</v>
      </c>
    </row>
    <row r="127" spans="1:7" x14ac:dyDescent="0.25">
      <c r="A127" s="2">
        <v>35</v>
      </c>
      <c r="B127" s="2" t="s">
        <v>28</v>
      </c>
      <c r="C127" s="2" t="s">
        <v>19</v>
      </c>
      <c r="D127" s="2" t="s">
        <v>28</v>
      </c>
      <c r="E127" s="2" t="s">
        <v>20</v>
      </c>
      <c r="F127" s="3" t="str">
        <f t="shared" si="2"/>
        <v>35-15N-10W</v>
      </c>
      <c r="G127">
        <v>1</v>
      </c>
    </row>
    <row r="128" spans="1:7" x14ac:dyDescent="0.25">
      <c r="A128" s="2">
        <v>36</v>
      </c>
      <c r="B128" s="2" t="s">
        <v>28</v>
      </c>
      <c r="C128" s="2" t="s">
        <v>19</v>
      </c>
      <c r="D128" s="2" t="s">
        <v>28</v>
      </c>
      <c r="E128" s="2" t="s">
        <v>20</v>
      </c>
      <c r="F128" s="3" t="str">
        <f t="shared" si="2"/>
        <v>36-15N-10W</v>
      </c>
      <c r="G128">
        <v>1</v>
      </c>
    </row>
    <row r="129" spans="1:7" x14ac:dyDescent="0.25">
      <c r="A129" s="4" t="s">
        <v>29</v>
      </c>
      <c r="B129" s="2" t="s">
        <v>28</v>
      </c>
      <c r="C129" t="s">
        <v>21</v>
      </c>
      <c r="D129" s="2" t="s">
        <v>28</v>
      </c>
      <c r="E129" s="2" t="s">
        <v>20</v>
      </c>
      <c r="F129" s="3" t="str">
        <f t="shared" si="2"/>
        <v>01-14N-10W</v>
      </c>
      <c r="G129">
        <v>1</v>
      </c>
    </row>
    <row r="130" spans="1:7" x14ac:dyDescent="0.25">
      <c r="A130" s="4" t="s">
        <v>30</v>
      </c>
      <c r="B130" s="2" t="s">
        <v>28</v>
      </c>
      <c r="C130" t="s">
        <v>21</v>
      </c>
      <c r="D130" s="2" t="s">
        <v>28</v>
      </c>
      <c r="E130" s="2" t="s">
        <v>20</v>
      </c>
      <c r="F130" s="3" t="str">
        <f t="shared" si="2"/>
        <v>02-14N-10W</v>
      </c>
      <c r="G130">
        <v>1</v>
      </c>
    </row>
    <row r="131" spans="1:7" x14ac:dyDescent="0.25">
      <c r="A131" s="4" t="s">
        <v>31</v>
      </c>
      <c r="B131" s="2" t="s">
        <v>28</v>
      </c>
      <c r="C131" t="s">
        <v>21</v>
      </c>
      <c r="D131" s="2" t="s">
        <v>28</v>
      </c>
      <c r="E131" s="2" t="s">
        <v>20</v>
      </c>
      <c r="F131" s="3" t="str">
        <f t="shared" si="2"/>
        <v>03-14N-10W</v>
      </c>
      <c r="G131">
        <v>1</v>
      </c>
    </row>
    <row r="132" spans="1:7" x14ac:dyDescent="0.25">
      <c r="A132" s="4" t="s">
        <v>32</v>
      </c>
      <c r="B132" s="2" t="s">
        <v>28</v>
      </c>
      <c r="C132" t="s">
        <v>21</v>
      </c>
      <c r="D132" s="2" t="s">
        <v>28</v>
      </c>
      <c r="E132" s="2" t="s">
        <v>20</v>
      </c>
      <c r="F132" s="3" t="str">
        <f t="shared" si="2"/>
        <v>04-14N-10W</v>
      </c>
      <c r="G132">
        <v>1</v>
      </c>
    </row>
    <row r="133" spans="1:7" x14ac:dyDescent="0.25">
      <c r="A133" s="4" t="s">
        <v>33</v>
      </c>
      <c r="B133" s="2" t="s">
        <v>28</v>
      </c>
      <c r="C133" t="s">
        <v>21</v>
      </c>
      <c r="D133" s="2" t="s">
        <v>28</v>
      </c>
      <c r="E133" s="2" t="s">
        <v>20</v>
      </c>
      <c r="F133" s="3" t="str">
        <f t="shared" si="2"/>
        <v>05-14N-10W</v>
      </c>
      <c r="G133">
        <v>1</v>
      </c>
    </row>
    <row r="134" spans="1:7" x14ac:dyDescent="0.25">
      <c r="A134" s="4" t="s">
        <v>34</v>
      </c>
      <c r="B134" s="2" t="s">
        <v>28</v>
      </c>
      <c r="C134" t="s">
        <v>21</v>
      </c>
      <c r="D134" s="2" t="s">
        <v>28</v>
      </c>
      <c r="E134" s="2" t="s">
        <v>20</v>
      </c>
      <c r="F134" s="3" t="str">
        <f t="shared" si="2"/>
        <v>06-14N-10W</v>
      </c>
      <c r="G134">
        <v>1</v>
      </c>
    </row>
    <row r="135" spans="1:7" x14ac:dyDescent="0.25">
      <c r="A135" s="2">
        <v>13</v>
      </c>
      <c r="B135" s="2" t="s">
        <v>28</v>
      </c>
      <c r="C135" s="2" t="s">
        <v>17</v>
      </c>
      <c r="D135" s="2" t="s">
        <v>28</v>
      </c>
      <c r="E135" s="2" t="s">
        <v>23</v>
      </c>
      <c r="F135" s="3" t="str">
        <f t="shared" si="2"/>
        <v>13-16N-09W</v>
      </c>
      <c r="G135">
        <v>1</v>
      </c>
    </row>
    <row r="136" spans="1:7" x14ac:dyDescent="0.25">
      <c r="A136" s="2">
        <v>14</v>
      </c>
      <c r="B136" s="2" t="s">
        <v>28</v>
      </c>
      <c r="C136" s="2" t="s">
        <v>17</v>
      </c>
      <c r="D136" s="2" t="s">
        <v>28</v>
      </c>
      <c r="E136" s="2" t="s">
        <v>23</v>
      </c>
      <c r="F136" s="3" t="str">
        <f t="shared" si="2"/>
        <v>14-16N-09W</v>
      </c>
      <c r="G136">
        <v>1</v>
      </c>
    </row>
    <row r="137" spans="1:7" x14ac:dyDescent="0.25">
      <c r="A137" s="2">
        <v>15</v>
      </c>
      <c r="B137" s="2" t="s">
        <v>28</v>
      </c>
      <c r="C137" s="2" t="s">
        <v>17</v>
      </c>
      <c r="D137" s="2" t="s">
        <v>28</v>
      </c>
      <c r="E137" s="2" t="s">
        <v>23</v>
      </c>
      <c r="F137" s="3" t="str">
        <f t="shared" si="2"/>
        <v>15-16N-09W</v>
      </c>
      <c r="G137">
        <v>1</v>
      </c>
    </row>
    <row r="138" spans="1:7" x14ac:dyDescent="0.25">
      <c r="A138" s="2">
        <v>16</v>
      </c>
      <c r="B138" s="2" t="s">
        <v>28</v>
      </c>
      <c r="C138" s="2" t="s">
        <v>17</v>
      </c>
      <c r="D138" s="2" t="s">
        <v>28</v>
      </c>
      <c r="E138" s="2" t="s">
        <v>23</v>
      </c>
      <c r="F138" s="3" t="str">
        <f t="shared" si="2"/>
        <v>16-16N-09W</v>
      </c>
      <c r="G138">
        <v>1</v>
      </c>
    </row>
    <row r="139" spans="1:7" x14ac:dyDescent="0.25">
      <c r="A139" s="2">
        <v>17</v>
      </c>
      <c r="B139" s="2" t="s">
        <v>28</v>
      </c>
      <c r="C139" s="2" t="s">
        <v>17</v>
      </c>
      <c r="D139" s="2" t="s">
        <v>28</v>
      </c>
      <c r="E139" s="2" t="s">
        <v>23</v>
      </c>
      <c r="F139" s="3" t="str">
        <f t="shared" si="2"/>
        <v>17-16N-09W</v>
      </c>
      <c r="G139">
        <v>1</v>
      </c>
    </row>
    <row r="140" spans="1:7" x14ac:dyDescent="0.25">
      <c r="A140" s="2">
        <v>18</v>
      </c>
      <c r="B140" s="2" t="s">
        <v>28</v>
      </c>
      <c r="C140" s="2" t="s">
        <v>17</v>
      </c>
      <c r="D140" s="2" t="s">
        <v>28</v>
      </c>
      <c r="E140" s="2" t="s">
        <v>23</v>
      </c>
      <c r="F140" s="3" t="str">
        <f t="shared" si="2"/>
        <v>18-16N-09W</v>
      </c>
      <c r="G140">
        <v>1</v>
      </c>
    </row>
    <row r="141" spans="1:7" x14ac:dyDescent="0.25">
      <c r="A141" s="2">
        <v>19</v>
      </c>
      <c r="B141" s="2" t="s">
        <v>28</v>
      </c>
      <c r="C141" s="2" t="s">
        <v>17</v>
      </c>
      <c r="D141" s="2" t="s">
        <v>28</v>
      </c>
      <c r="E141" s="2" t="s">
        <v>23</v>
      </c>
      <c r="F141" s="3" t="str">
        <f t="shared" si="2"/>
        <v>19-16N-09W</v>
      </c>
      <c r="G141">
        <v>1</v>
      </c>
    </row>
    <row r="142" spans="1:7" x14ac:dyDescent="0.25">
      <c r="A142" s="2">
        <v>20</v>
      </c>
      <c r="B142" s="2" t="s">
        <v>28</v>
      </c>
      <c r="C142" s="2" t="s">
        <v>17</v>
      </c>
      <c r="D142" s="2" t="s">
        <v>28</v>
      </c>
      <c r="E142" s="2" t="s">
        <v>23</v>
      </c>
      <c r="F142" s="3" t="str">
        <f t="shared" si="2"/>
        <v>20-16N-09W</v>
      </c>
      <c r="G142">
        <v>1</v>
      </c>
    </row>
    <row r="143" spans="1:7" x14ac:dyDescent="0.25">
      <c r="A143" s="2">
        <v>21</v>
      </c>
      <c r="B143" s="2" t="s">
        <v>28</v>
      </c>
      <c r="C143" s="2" t="s">
        <v>17</v>
      </c>
      <c r="D143" s="2" t="s">
        <v>28</v>
      </c>
      <c r="E143" s="2" t="s">
        <v>23</v>
      </c>
      <c r="F143" s="3" t="str">
        <f t="shared" si="2"/>
        <v>21-16N-09W</v>
      </c>
      <c r="G143">
        <v>1</v>
      </c>
    </row>
    <row r="144" spans="1:7" x14ac:dyDescent="0.25">
      <c r="A144" s="2">
        <v>22</v>
      </c>
      <c r="B144" s="2" t="s">
        <v>28</v>
      </c>
      <c r="C144" s="2" t="s">
        <v>17</v>
      </c>
      <c r="D144" s="2" t="s">
        <v>28</v>
      </c>
      <c r="E144" s="2" t="s">
        <v>23</v>
      </c>
      <c r="F144" s="3" t="str">
        <f t="shared" si="2"/>
        <v>22-16N-09W</v>
      </c>
      <c r="G144">
        <v>1</v>
      </c>
    </row>
    <row r="145" spans="1:7" x14ac:dyDescent="0.25">
      <c r="A145" s="2">
        <v>23</v>
      </c>
      <c r="B145" s="2" t="s">
        <v>28</v>
      </c>
      <c r="C145" s="2" t="s">
        <v>17</v>
      </c>
      <c r="D145" s="2" t="s">
        <v>28</v>
      </c>
      <c r="E145" s="2" t="s">
        <v>23</v>
      </c>
      <c r="F145" s="3" t="str">
        <f t="shared" si="2"/>
        <v>23-16N-09W</v>
      </c>
      <c r="G145">
        <v>1</v>
      </c>
    </row>
    <row r="146" spans="1:7" x14ac:dyDescent="0.25">
      <c r="A146" s="2">
        <v>24</v>
      </c>
      <c r="B146" s="2" t="s">
        <v>28</v>
      </c>
      <c r="C146" s="2" t="s">
        <v>17</v>
      </c>
      <c r="D146" s="2" t="s">
        <v>28</v>
      </c>
      <c r="E146" s="2" t="s">
        <v>23</v>
      </c>
      <c r="F146" s="3" t="str">
        <f t="shared" si="2"/>
        <v>24-16N-09W</v>
      </c>
      <c r="G146">
        <v>1</v>
      </c>
    </row>
    <row r="147" spans="1:7" x14ac:dyDescent="0.25">
      <c r="A147" s="2">
        <v>25</v>
      </c>
      <c r="B147" s="2" t="s">
        <v>28</v>
      </c>
      <c r="C147" s="2" t="s">
        <v>17</v>
      </c>
      <c r="D147" s="2" t="s">
        <v>28</v>
      </c>
      <c r="E147" s="2" t="s">
        <v>23</v>
      </c>
      <c r="F147" s="3" t="str">
        <f t="shared" si="2"/>
        <v>25-16N-09W</v>
      </c>
      <c r="G147">
        <v>1</v>
      </c>
    </row>
    <row r="148" spans="1:7" x14ac:dyDescent="0.25">
      <c r="A148" s="2">
        <v>26</v>
      </c>
      <c r="B148" s="2" t="s">
        <v>28</v>
      </c>
      <c r="C148" s="2" t="s">
        <v>17</v>
      </c>
      <c r="D148" s="2" t="s">
        <v>28</v>
      </c>
      <c r="E148" s="2" t="s">
        <v>23</v>
      </c>
      <c r="F148" s="3" t="str">
        <f t="shared" si="2"/>
        <v>26-16N-09W</v>
      </c>
      <c r="G148">
        <v>1</v>
      </c>
    </row>
    <row r="149" spans="1:7" x14ac:dyDescent="0.25">
      <c r="A149" s="2">
        <v>27</v>
      </c>
      <c r="B149" s="2" t="s">
        <v>28</v>
      </c>
      <c r="C149" s="2" t="s">
        <v>17</v>
      </c>
      <c r="D149" s="2" t="s">
        <v>28</v>
      </c>
      <c r="E149" s="2" t="s">
        <v>23</v>
      </c>
      <c r="F149" s="3" t="str">
        <f t="shared" si="2"/>
        <v>27-16N-09W</v>
      </c>
      <c r="G149">
        <v>1</v>
      </c>
    </row>
    <row r="150" spans="1:7" x14ac:dyDescent="0.25">
      <c r="A150" s="2">
        <v>28</v>
      </c>
      <c r="B150" s="2" t="s">
        <v>28</v>
      </c>
      <c r="C150" s="2" t="s">
        <v>17</v>
      </c>
      <c r="D150" s="2" t="s">
        <v>28</v>
      </c>
      <c r="E150" s="2" t="s">
        <v>23</v>
      </c>
      <c r="F150" s="3" t="str">
        <f t="shared" si="2"/>
        <v>28-16N-09W</v>
      </c>
      <c r="G150">
        <v>1</v>
      </c>
    </row>
    <row r="151" spans="1:7" x14ac:dyDescent="0.25">
      <c r="A151" s="2">
        <v>29</v>
      </c>
      <c r="B151" s="2" t="s">
        <v>28</v>
      </c>
      <c r="C151" s="2" t="s">
        <v>17</v>
      </c>
      <c r="D151" s="2" t="s">
        <v>28</v>
      </c>
      <c r="E151" s="2" t="s">
        <v>23</v>
      </c>
      <c r="F151" s="3" t="str">
        <f t="shared" si="2"/>
        <v>29-16N-09W</v>
      </c>
      <c r="G151">
        <v>1</v>
      </c>
    </row>
    <row r="152" spans="1:7" x14ac:dyDescent="0.25">
      <c r="A152" s="2">
        <v>30</v>
      </c>
      <c r="B152" s="2" t="s">
        <v>28</v>
      </c>
      <c r="C152" s="2" t="s">
        <v>17</v>
      </c>
      <c r="D152" s="2" t="s">
        <v>28</v>
      </c>
      <c r="E152" s="2" t="s">
        <v>23</v>
      </c>
      <c r="F152" s="3" t="str">
        <f t="shared" si="2"/>
        <v>30-16N-09W</v>
      </c>
      <c r="G152">
        <v>1</v>
      </c>
    </row>
    <row r="153" spans="1:7" x14ac:dyDescent="0.25">
      <c r="A153" s="2">
        <v>31</v>
      </c>
      <c r="B153" s="2" t="s">
        <v>28</v>
      </c>
      <c r="C153" s="2" t="s">
        <v>17</v>
      </c>
      <c r="D153" s="2" t="s">
        <v>28</v>
      </c>
      <c r="E153" s="2" t="s">
        <v>23</v>
      </c>
      <c r="F153" s="3" t="str">
        <f t="shared" si="2"/>
        <v>31-16N-09W</v>
      </c>
      <c r="G153">
        <v>1</v>
      </c>
    </row>
    <row r="154" spans="1:7" x14ac:dyDescent="0.25">
      <c r="A154" s="2">
        <v>32</v>
      </c>
      <c r="B154" s="2" t="s">
        <v>28</v>
      </c>
      <c r="C154" s="2" t="s">
        <v>17</v>
      </c>
      <c r="D154" s="2" t="s">
        <v>28</v>
      </c>
      <c r="E154" s="2" t="s">
        <v>23</v>
      </c>
      <c r="F154" s="3" t="str">
        <f t="shared" si="2"/>
        <v>32-16N-09W</v>
      </c>
      <c r="G154">
        <v>1</v>
      </c>
    </row>
    <row r="155" spans="1:7" x14ac:dyDescent="0.25">
      <c r="A155" s="2">
        <v>33</v>
      </c>
      <c r="B155" s="2" t="s">
        <v>28</v>
      </c>
      <c r="C155" s="2" t="s">
        <v>17</v>
      </c>
      <c r="D155" s="2" t="s">
        <v>28</v>
      </c>
      <c r="E155" s="2" t="s">
        <v>23</v>
      </c>
      <c r="F155" s="3" t="str">
        <f t="shared" si="2"/>
        <v>33-16N-09W</v>
      </c>
      <c r="G155">
        <v>1</v>
      </c>
    </row>
    <row r="156" spans="1:7" x14ac:dyDescent="0.25">
      <c r="A156" s="2">
        <v>34</v>
      </c>
      <c r="B156" s="2" t="s">
        <v>28</v>
      </c>
      <c r="C156" s="2" t="s">
        <v>17</v>
      </c>
      <c r="D156" s="2" t="s">
        <v>28</v>
      </c>
      <c r="E156" s="2" t="s">
        <v>23</v>
      </c>
      <c r="F156" s="3" t="str">
        <f t="shared" ref="F156:F219" si="3">_xlfn.CONCAT(A156:E156)</f>
        <v>34-16N-09W</v>
      </c>
      <c r="G156">
        <v>1</v>
      </c>
    </row>
    <row r="157" spans="1:7" x14ac:dyDescent="0.25">
      <c r="A157" s="2">
        <v>35</v>
      </c>
      <c r="B157" s="2" t="s">
        <v>28</v>
      </c>
      <c r="C157" s="2" t="s">
        <v>17</v>
      </c>
      <c r="D157" s="2" t="s">
        <v>28</v>
      </c>
      <c r="E157" s="2" t="s">
        <v>23</v>
      </c>
      <c r="F157" s="3" t="str">
        <f t="shared" si="3"/>
        <v>35-16N-09W</v>
      </c>
      <c r="G157">
        <v>1</v>
      </c>
    </row>
    <row r="158" spans="1:7" x14ac:dyDescent="0.25">
      <c r="A158" s="2">
        <v>36</v>
      </c>
      <c r="B158" s="2" t="s">
        <v>28</v>
      </c>
      <c r="C158" s="2" t="s">
        <v>17</v>
      </c>
      <c r="D158" s="2" t="s">
        <v>28</v>
      </c>
      <c r="E158" s="2" t="s">
        <v>23</v>
      </c>
      <c r="F158" s="3" t="str">
        <f t="shared" si="3"/>
        <v>36-16N-09W</v>
      </c>
      <c r="G158">
        <v>1</v>
      </c>
    </row>
    <row r="159" spans="1:7" x14ac:dyDescent="0.25">
      <c r="A159" s="4" t="s">
        <v>29</v>
      </c>
      <c r="B159" s="2" t="s">
        <v>28</v>
      </c>
      <c r="C159" s="2" t="s">
        <v>19</v>
      </c>
      <c r="D159" s="2" t="s">
        <v>28</v>
      </c>
      <c r="E159" s="2" t="s">
        <v>23</v>
      </c>
      <c r="F159" s="3" t="str">
        <f t="shared" si="3"/>
        <v>01-15N-09W</v>
      </c>
      <c r="G159">
        <v>1</v>
      </c>
    </row>
    <row r="160" spans="1:7" x14ac:dyDescent="0.25">
      <c r="A160" s="4" t="s">
        <v>30</v>
      </c>
      <c r="B160" s="2" t="s">
        <v>28</v>
      </c>
      <c r="C160" s="2" t="s">
        <v>19</v>
      </c>
      <c r="D160" s="2" t="s">
        <v>28</v>
      </c>
      <c r="E160" s="2" t="s">
        <v>23</v>
      </c>
      <c r="F160" s="3" t="str">
        <f t="shared" si="3"/>
        <v>02-15N-09W</v>
      </c>
      <c r="G160">
        <v>1</v>
      </c>
    </row>
    <row r="161" spans="1:7" x14ac:dyDescent="0.25">
      <c r="A161" s="4" t="s">
        <v>31</v>
      </c>
      <c r="B161" s="2" t="s">
        <v>28</v>
      </c>
      <c r="C161" s="2" t="s">
        <v>19</v>
      </c>
      <c r="D161" s="2" t="s">
        <v>28</v>
      </c>
      <c r="E161" s="2" t="s">
        <v>23</v>
      </c>
      <c r="F161" s="3" t="str">
        <f t="shared" si="3"/>
        <v>03-15N-09W</v>
      </c>
      <c r="G161">
        <v>1</v>
      </c>
    </row>
    <row r="162" spans="1:7" x14ac:dyDescent="0.25">
      <c r="A162" s="4" t="s">
        <v>32</v>
      </c>
      <c r="B162" s="2" t="s">
        <v>28</v>
      </c>
      <c r="C162" s="2" t="s">
        <v>19</v>
      </c>
      <c r="D162" s="2" t="s">
        <v>28</v>
      </c>
      <c r="E162" s="2" t="s">
        <v>23</v>
      </c>
      <c r="F162" s="3" t="str">
        <f t="shared" si="3"/>
        <v>04-15N-09W</v>
      </c>
      <c r="G162">
        <v>1</v>
      </c>
    </row>
    <row r="163" spans="1:7" x14ac:dyDescent="0.25">
      <c r="A163" s="4" t="s">
        <v>33</v>
      </c>
      <c r="B163" s="2" t="s">
        <v>28</v>
      </c>
      <c r="C163" s="2" t="s">
        <v>19</v>
      </c>
      <c r="D163" s="2" t="s">
        <v>28</v>
      </c>
      <c r="E163" s="2" t="s">
        <v>23</v>
      </c>
      <c r="F163" s="3" t="str">
        <f t="shared" si="3"/>
        <v>05-15N-09W</v>
      </c>
      <c r="G163">
        <v>1</v>
      </c>
    </row>
    <row r="164" spans="1:7" x14ac:dyDescent="0.25">
      <c r="A164" s="4" t="s">
        <v>34</v>
      </c>
      <c r="B164" s="2" t="s">
        <v>28</v>
      </c>
      <c r="C164" s="2" t="s">
        <v>19</v>
      </c>
      <c r="D164" s="2" t="s">
        <v>28</v>
      </c>
      <c r="E164" s="2" t="s">
        <v>23</v>
      </c>
      <c r="F164" s="3" t="str">
        <f t="shared" si="3"/>
        <v>06-15N-09W</v>
      </c>
      <c r="G164">
        <v>1</v>
      </c>
    </row>
    <row r="165" spans="1:7" x14ac:dyDescent="0.25">
      <c r="A165" s="4" t="s">
        <v>35</v>
      </c>
      <c r="B165" s="2" t="s">
        <v>28</v>
      </c>
      <c r="C165" s="2" t="s">
        <v>19</v>
      </c>
      <c r="D165" s="2" t="s">
        <v>28</v>
      </c>
      <c r="E165" s="2" t="s">
        <v>23</v>
      </c>
      <c r="F165" s="3" t="str">
        <f t="shared" si="3"/>
        <v>07-15N-09W</v>
      </c>
      <c r="G165">
        <v>1</v>
      </c>
    </row>
    <row r="166" spans="1:7" x14ac:dyDescent="0.25">
      <c r="A166" s="4" t="s">
        <v>36</v>
      </c>
      <c r="B166" s="2" t="s">
        <v>28</v>
      </c>
      <c r="C166" s="2" t="s">
        <v>19</v>
      </c>
      <c r="D166" s="2" t="s">
        <v>28</v>
      </c>
      <c r="E166" s="2" t="s">
        <v>23</v>
      </c>
      <c r="F166" s="3" t="str">
        <f t="shared" si="3"/>
        <v>08-15N-09W</v>
      </c>
      <c r="G166">
        <v>1</v>
      </c>
    </row>
    <row r="167" spans="1:7" x14ac:dyDescent="0.25">
      <c r="A167" s="4" t="s">
        <v>37</v>
      </c>
      <c r="B167" s="2" t="s">
        <v>28</v>
      </c>
      <c r="C167" s="2" t="s">
        <v>19</v>
      </c>
      <c r="D167" s="2" t="s">
        <v>28</v>
      </c>
      <c r="E167" s="2" t="s">
        <v>23</v>
      </c>
      <c r="F167" s="3" t="str">
        <f t="shared" si="3"/>
        <v>09-15N-09W</v>
      </c>
      <c r="G167">
        <v>1</v>
      </c>
    </row>
    <row r="168" spans="1:7" x14ac:dyDescent="0.25">
      <c r="A168" s="2">
        <v>10</v>
      </c>
      <c r="B168" s="2" t="s">
        <v>28</v>
      </c>
      <c r="C168" s="2" t="s">
        <v>19</v>
      </c>
      <c r="D168" s="2" t="s">
        <v>28</v>
      </c>
      <c r="E168" s="2" t="s">
        <v>23</v>
      </c>
      <c r="F168" s="3" t="str">
        <f t="shared" si="3"/>
        <v>10-15N-09W</v>
      </c>
      <c r="G168">
        <v>1</v>
      </c>
    </row>
    <row r="169" spans="1:7" x14ac:dyDescent="0.25">
      <c r="A169" s="2">
        <v>11</v>
      </c>
      <c r="B169" s="2" t="s">
        <v>28</v>
      </c>
      <c r="C169" s="2" t="s">
        <v>19</v>
      </c>
      <c r="D169" s="2" t="s">
        <v>28</v>
      </c>
      <c r="E169" s="2" t="s">
        <v>23</v>
      </c>
      <c r="F169" s="3" t="str">
        <f t="shared" si="3"/>
        <v>11-15N-09W</v>
      </c>
      <c r="G169">
        <v>1</v>
      </c>
    </row>
    <row r="170" spans="1:7" x14ac:dyDescent="0.25">
      <c r="A170" s="2">
        <v>12</v>
      </c>
      <c r="B170" s="2" t="s">
        <v>28</v>
      </c>
      <c r="C170" s="2" t="s">
        <v>19</v>
      </c>
      <c r="D170" s="2" t="s">
        <v>28</v>
      </c>
      <c r="E170" s="2" t="s">
        <v>23</v>
      </c>
      <c r="F170" s="3" t="str">
        <f t="shared" si="3"/>
        <v>12-15N-09W</v>
      </c>
      <c r="G170">
        <v>1</v>
      </c>
    </row>
    <row r="171" spans="1:7" x14ac:dyDescent="0.25">
      <c r="A171" s="2">
        <v>13</v>
      </c>
      <c r="B171" s="2" t="s">
        <v>28</v>
      </c>
      <c r="C171" s="2" t="s">
        <v>19</v>
      </c>
      <c r="D171" s="2" t="s">
        <v>28</v>
      </c>
      <c r="E171" s="2" t="s">
        <v>23</v>
      </c>
      <c r="F171" s="3" t="str">
        <f t="shared" si="3"/>
        <v>13-15N-09W</v>
      </c>
      <c r="G171">
        <v>1</v>
      </c>
    </row>
    <row r="172" spans="1:7" x14ac:dyDescent="0.25">
      <c r="A172" s="2">
        <v>14</v>
      </c>
      <c r="B172" s="2" t="s">
        <v>28</v>
      </c>
      <c r="C172" s="2" t="s">
        <v>19</v>
      </c>
      <c r="D172" s="2" t="s">
        <v>28</v>
      </c>
      <c r="E172" s="2" t="s">
        <v>23</v>
      </c>
      <c r="F172" s="3" t="str">
        <f t="shared" si="3"/>
        <v>14-15N-09W</v>
      </c>
      <c r="G172">
        <v>1</v>
      </c>
    </row>
    <row r="173" spans="1:7" x14ac:dyDescent="0.25">
      <c r="A173" s="2">
        <v>15</v>
      </c>
      <c r="B173" s="2" t="s">
        <v>28</v>
      </c>
      <c r="C173" s="2" t="s">
        <v>19</v>
      </c>
      <c r="D173" s="2" t="s">
        <v>28</v>
      </c>
      <c r="E173" s="2" t="s">
        <v>23</v>
      </c>
      <c r="F173" s="3" t="str">
        <f t="shared" si="3"/>
        <v>15-15N-09W</v>
      </c>
      <c r="G173">
        <v>1</v>
      </c>
    </row>
    <row r="174" spans="1:7" x14ac:dyDescent="0.25">
      <c r="A174" s="2">
        <v>16</v>
      </c>
      <c r="B174" s="2" t="s">
        <v>28</v>
      </c>
      <c r="C174" s="2" t="s">
        <v>19</v>
      </c>
      <c r="D174" s="2" t="s">
        <v>28</v>
      </c>
      <c r="E174" s="2" t="s">
        <v>23</v>
      </c>
      <c r="F174" s="3" t="str">
        <f t="shared" si="3"/>
        <v>16-15N-09W</v>
      </c>
      <c r="G174">
        <v>1</v>
      </c>
    </row>
    <row r="175" spans="1:7" x14ac:dyDescent="0.25">
      <c r="A175" s="2">
        <v>17</v>
      </c>
      <c r="B175" s="2" t="s">
        <v>28</v>
      </c>
      <c r="C175" s="2" t="s">
        <v>19</v>
      </c>
      <c r="D175" s="2" t="s">
        <v>28</v>
      </c>
      <c r="E175" s="2" t="s">
        <v>23</v>
      </c>
      <c r="F175" s="3" t="str">
        <f t="shared" si="3"/>
        <v>17-15N-09W</v>
      </c>
      <c r="G175">
        <v>1</v>
      </c>
    </row>
    <row r="176" spans="1:7" x14ac:dyDescent="0.25">
      <c r="A176" s="2">
        <v>18</v>
      </c>
      <c r="B176" s="2" t="s">
        <v>28</v>
      </c>
      <c r="C176" s="2" t="s">
        <v>19</v>
      </c>
      <c r="D176" s="2" t="s">
        <v>28</v>
      </c>
      <c r="E176" s="2" t="s">
        <v>23</v>
      </c>
      <c r="F176" s="3" t="str">
        <f t="shared" si="3"/>
        <v>18-15N-09W</v>
      </c>
      <c r="G176">
        <v>1</v>
      </c>
    </row>
    <row r="177" spans="1:7" x14ac:dyDescent="0.25">
      <c r="A177" s="2">
        <v>19</v>
      </c>
      <c r="B177" s="2" t="s">
        <v>28</v>
      </c>
      <c r="C177" s="2" t="s">
        <v>19</v>
      </c>
      <c r="D177" s="2" t="s">
        <v>28</v>
      </c>
      <c r="E177" s="2" t="s">
        <v>23</v>
      </c>
      <c r="F177" s="3" t="str">
        <f t="shared" si="3"/>
        <v>19-15N-09W</v>
      </c>
      <c r="G177">
        <v>1</v>
      </c>
    </row>
    <row r="178" spans="1:7" x14ac:dyDescent="0.25">
      <c r="A178" s="2">
        <v>20</v>
      </c>
      <c r="B178" s="2" t="s">
        <v>28</v>
      </c>
      <c r="C178" s="2" t="s">
        <v>19</v>
      </c>
      <c r="D178" s="2" t="s">
        <v>28</v>
      </c>
      <c r="E178" s="2" t="s">
        <v>23</v>
      </c>
      <c r="F178" s="3" t="str">
        <f t="shared" si="3"/>
        <v>20-15N-09W</v>
      </c>
      <c r="G178">
        <v>1</v>
      </c>
    </row>
    <row r="179" spans="1:7" x14ac:dyDescent="0.25">
      <c r="A179" s="2">
        <v>21</v>
      </c>
      <c r="B179" s="2" t="s">
        <v>28</v>
      </c>
      <c r="C179" s="2" t="s">
        <v>19</v>
      </c>
      <c r="D179" s="2" t="s">
        <v>28</v>
      </c>
      <c r="E179" s="2" t="s">
        <v>23</v>
      </c>
      <c r="F179" s="3" t="str">
        <f t="shared" si="3"/>
        <v>21-15N-09W</v>
      </c>
      <c r="G179">
        <v>1</v>
      </c>
    </row>
    <row r="180" spans="1:7" x14ac:dyDescent="0.25">
      <c r="A180" s="2">
        <v>22</v>
      </c>
      <c r="B180" s="2" t="s">
        <v>28</v>
      </c>
      <c r="C180" s="2" t="s">
        <v>19</v>
      </c>
      <c r="D180" s="2" t="s">
        <v>28</v>
      </c>
      <c r="E180" s="2" t="s">
        <v>23</v>
      </c>
      <c r="F180" s="3" t="str">
        <f t="shared" si="3"/>
        <v>22-15N-09W</v>
      </c>
      <c r="G180">
        <v>1</v>
      </c>
    </row>
    <row r="181" spans="1:7" x14ac:dyDescent="0.25">
      <c r="A181" s="2">
        <v>23</v>
      </c>
      <c r="B181" s="2" t="s">
        <v>28</v>
      </c>
      <c r="C181" s="2" t="s">
        <v>19</v>
      </c>
      <c r="D181" s="2" t="s">
        <v>28</v>
      </c>
      <c r="E181" s="2" t="s">
        <v>23</v>
      </c>
      <c r="F181" s="3" t="str">
        <f t="shared" si="3"/>
        <v>23-15N-09W</v>
      </c>
      <c r="G181">
        <v>1</v>
      </c>
    </row>
    <row r="182" spans="1:7" x14ac:dyDescent="0.25">
      <c r="A182" s="2">
        <v>24</v>
      </c>
      <c r="B182" s="2" t="s">
        <v>28</v>
      </c>
      <c r="C182" s="2" t="s">
        <v>19</v>
      </c>
      <c r="D182" s="2" t="s">
        <v>28</v>
      </c>
      <c r="E182" s="2" t="s">
        <v>23</v>
      </c>
      <c r="F182" s="3" t="str">
        <f t="shared" si="3"/>
        <v>24-15N-09W</v>
      </c>
      <c r="G182">
        <v>1</v>
      </c>
    </row>
    <row r="183" spans="1:7" x14ac:dyDescent="0.25">
      <c r="A183" s="2">
        <v>25</v>
      </c>
      <c r="B183" s="2" t="s">
        <v>28</v>
      </c>
      <c r="C183" s="2" t="s">
        <v>19</v>
      </c>
      <c r="D183" s="2" t="s">
        <v>28</v>
      </c>
      <c r="E183" s="2" t="s">
        <v>23</v>
      </c>
      <c r="F183" s="3" t="str">
        <f t="shared" si="3"/>
        <v>25-15N-09W</v>
      </c>
      <c r="G183">
        <v>1</v>
      </c>
    </row>
    <row r="184" spans="1:7" x14ac:dyDescent="0.25">
      <c r="A184" s="2">
        <v>26</v>
      </c>
      <c r="B184" s="2" t="s">
        <v>28</v>
      </c>
      <c r="C184" s="2" t="s">
        <v>19</v>
      </c>
      <c r="D184" s="2" t="s">
        <v>28</v>
      </c>
      <c r="E184" s="2" t="s">
        <v>23</v>
      </c>
      <c r="F184" s="3" t="str">
        <f t="shared" si="3"/>
        <v>26-15N-09W</v>
      </c>
      <c r="G184">
        <v>1</v>
      </c>
    </row>
    <row r="185" spans="1:7" x14ac:dyDescent="0.25">
      <c r="A185" s="2">
        <v>27</v>
      </c>
      <c r="B185" s="2" t="s">
        <v>28</v>
      </c>
      <c r="C185" s="2" t="s">
        <v>19</v>
      </c>
      <c r="D185" s="2" t="s">
        <v>28</v>
      </c>
      <c r="E185" s="2" t="s">
        <v>23</v>
      </c>
      <c r="F185" s="3" t="str">
        <f t="shared" si="3"/>
        <v>27-15N-09W</v>
      </c>
      <c r="G185">
        <v>1</v>
      </c>
    </row>
    <row r="186" spans="1:7" x14ac:dyDescent="0.25">
      <c r="A186" s="2">
        <v>28</v>
      </c>
      <c r="B186" s="2" t="s">
        <v>28</v>
      </c>
      <c r="C186" s="2" t="s">
        <v>19</v>
      </c>
      <c r="D186" s="2" t="s">
        <v>28</v>
      </c>
      <c r="E186" s="2" t="s">
        <v>23</v>
      </c>
      <c r="F186" s="3" t="str">
        <f t="shared" si="3"/>
        <v>28-15N-09W</v>
      </c>
      <c r="G186">
        <v>1</v>
      </c>
    </row>
    <row r="187" spans="1:7" x14ac:dyDescent="0.25">
      <c r="A187" s="2">
        <v>29</v>
      </c>
      <c r="B187" s="2" t="s">
        <v>28</v>
      </c>
      <c r="C187" s="2" t="s">
        <v>19</v>
      </c>
      <c r="D187" s="2" t="s">
        <v>28</v>
      </c>
      <c r="E187" s="2" t="s">
        <v>23</v>
      </c>
      <c r="F187" s="3" t="str">
        <f t="shared" si="3"/>
        <v>29-15N-09W</v>
      </c>
      <c r="G187">
        <v>1</v>
      </c>
    </row>
    <row r="188" spans="1:7" x14ac:dyDescent="0.25">
      <c r="A188" s="2">
        <v>30</v>
      </c>
      <c r="B188" s="2" t="s">
        <v>28</v>
      </c>
      <c r="C188" s="2" t="s">
        <v>19</v>
      </c>
      <c r="D188" s="2" t="s">
        <v>28</v>
      </c>
      <c r="E188" s="2" t="s">
        <v>23</v>
      </c>
      <c r="F188" s="3" t="str">
        <f t="shared" si="3"/>
        <v>30-15N-09W</v>
      </c>
      <c r="G188">
        <v>1</v>
      </c>
    </row>
    <row r="189" spans="1:7" x14ac:dyDescent="0.25">
      <c r="A189" s="2">
        <v>31</v>
      </c>
      <c r="B189" s="2" t="s">
        <v>28</v>
      </c>
      <c r="C189" s="2" t="s">
        <v>19</v>
      </c>
      <c r="D189" s="2" t="s">
        <v>28</v>
      </c>
      <c r="E189" s="2" t="s">
        <v>23</v>
      </c>
      <c r="F189" s="3" t="str">
        <f t="shared" si="3"/>
        <v>31-15N-09W</v>
      </c>
      <c r="G189">
        <v>1</v>
      </c>
    </row>
    <row r="190" spans="1:7" x14ac:dyDescent="0.25">
      <c r="A190" s="2">
        <v>32</v>
      </c>
      <c r="B190" s="2" t="s">
        <v>28</v>
      </c>
      <c r="C190" s="2" t="s">
        <v>19</v>
      </c>
      <c r="D190" s="2" t="s">
        <v>28</v>
      </c>
      <c r="E190" s="2" t="s">
        <v>23</v>
      </c>
      <c r="F190" s="3" t="str">
        <f t="shared" si="3"/>
        <v>32-15N-09W</v>
      </c>
      <c r="G190">
        <v>1</v>
      </c>
    </row>
    <row r="191" spans="1:7" x14ac:dyDescent="0.25">
      <c r="A191" s="2">
        <v>33</v>
      </c>
      <c r="B191" s="2" t="s">
        <v>28</v>
      </c>
      <c r="C191" s="2" t="s">
        <v>19</v>
      </c>
      <c r="D191" s="2" t="s">
        <v>28</v>
      </c>
      <c r="E191" s="2" t="s">
        <v>23</v>
      </c>
      <c r="F191" s="3" t="str">
        <f t="shared" si="3"/>
        <v>33-15N-09W</v>
      </c>
      <c r="G191">
        <v>1</v>
      </c>
    </row>
    <row r="192" spans="1:7" x14ac:dyDescent="0.25">
      <c r="A192" s="2">
        <v>34</v>
      </c>
      <c r="B192" s="2" t="s">
        <v>28</v>
      </c>
      <c r="C192" s="2" t="s">
        <v>19</v>
      </c>
      <c r="D192" s="2" t="s">
        <v>28</v>
      </c>
      <c r="E192" s="2" t="s">
        <v>23</v>
      </c>
      <c r="F192" s="3" t="str">
        <f t="shared" si="3"/>
        <v>34-15N-09W</v>
      </c>
      <c r="G192">
        <v>1</v>
      </c>
    </row>
    <row r="193" spans="1:7" x14ac:dyDescent="0.25">
      <c r="A193" s="2">
        <v>35</v>
      </c>
      <c r="B193" s="2" t="s">
        <v>28</v>
      </c>
      <c r="C193" s="2" t="s">
        <v>19</v>
      </c>
      <c r="D193" s="2" t="s">
        <v>28</v>
      </c>
      <c r="E193" s="2" t="s">
        <v>23</v>
      </c>
      <c r="F193" s="3" t="str">
        <f t="shared" si="3"/>
        <v>35-15N-09W</v>
      </c>
      <c r="G193">
        <v>1</v>
      </c>
    </row>
    <row r="194" spans="1:7" x14ac:dyDescent="0.25">
      <c r="A194" s="2">
        <v>36</v>
      </c>
      <c r="B194" s="2" t="s">
        <v>28</v>
      </c>
      <c r="C194" s="2" t="s">
        <v>19</v>
      </c>
      <c r="D194" s="2" t="s">
        <v>28</v>
      </c>
      <c r="E194" s="2" t="s">
        <v>23</v>
      </c>
      <c r="F194" s="3" t="str">
        <f t="shared" si="3"/>
        <v>36-15N-09W</v>
      </c>
      <c r="G194">
        <v>1</v>
      </c>
    </row>
    <row r="195" spans="1:7" x14ac:dyDescent="0.25">
      <c r="A195" s="4" t="s">
        <v>29</v>
      </c>
      <c r="B195" s="2" t="s">
        <v>28</v>
      </c>
      <c r="C195" t="s">
        <v>21</v>
      </c>
      <c r="D195" s="2" t="s">
        <v>28</v>
      </c>
      <c r="E195" s="2" t="s">
        <v>23</v>
      </c>
      <c r="F195" s="3" t="str">
        <f t="shared" si="3"/>
        <v>01-14N-09W</v>
      </c>
      <c r="G195">
        <v>1</v>
      </c>
    </row>
    <row r="196" spans="1:7" x14ac:dyDescent="0.25">
      <c r="A196" s="4" t="s">
        <v>30</v>
      </c>
      <c r="B196" s="2" t="s">
        <v>28</v>
      </c>
      <c r="C196" t="s">
        <v>21</v>
      </c>
      <c r="D196" s="2" t="s">
        <v>28</v>
      </c>
      <c r="E196" s="2" t="s">
        <v>23</v>
      </c>
      <c r="F196" s="3" t="str">
        <f t="shared" si="3"/>
        <v>02-14N-09W</v>
      </c>
      <c r="G196">
        <v>1</v>
      </c>
    </row>
    <row r="197" spans="1:7" x14ac:dyDescent="0.25">
      <c r="A197" s="4" t="s">
        <v>31</v>
      </c>
      <c r="B197" s="2" t="s">
        <v>28</v>
      </c>
      <c r="C197" t="s">
        <v>21</v>
      </c>
      <c r="D197" s="2" t="s">
        <v>28</v>
      </c>
      <c r="E197" s="2" t="s">
        <v>23</v>
      </c>
      <c r="F197" s="3" t="str">
        <f t="shared" si="3"/>
        <v>03-14N-09W</v>
      </c>
      <c r="G197">
        <v>1</v>
      </c>
    </row>
    <row r="198" spans="1:7" x14ac:dyDescent="0.25">
      <c r="A198" s="4" t="s">
        <v>32</v>
      </c>
      <c r="B198" s="2" t="s">
        <v>28</v>
      </c>
      <c r="C198" t="s">
        <v>21</v>
      </c>
      <c r="D198" s="2" t="s">
        <v>28</v>
      </c>
      <c r="E198" s="2" t="s">
        <v>23</v>
      </c>
      <c r="F198" s="3" t="str">
        <f t="shared" si="3"/>
        <v>04-14N-09W</v>
      </c>
      <c r="G198">
        <v>1</v>
      </c>
    </row>
    <row r="199" spans="1:7" x14ac:dyDescent="0.25">
      <c r="A199" s="4" t="s">
        <v>33</v>
      </c>
      <c r="B199" s="2" t="s">
        <v>28</v>
      </c>
      <c r="C199" t="s">
        <v>21</v>
      </c>
      <c r="D199" s="2" t="s">
        <v>28</v>
      </c>
      <c r="E199" s="2" t="s">
        <v>23</v>
      </c>
      <c r="F199" s="3" t="str">
        <f t="shared" si="3"/>
        <v>05-14N-09W</v>
      </c>
      <c r="G199">
        <v>1</v>
      </c>
    </row>
    <row r="200" spans="1:7" x14ac:dyDescent="0.25">
      <c r="A200" s="4" t="s">
        <v>34</v>
      </c>
      <c r="B200" s="2" t="s">
        <v>28</v>
      </c>
      <c r="C200" t="s">
        <v>21</v>
      </c>
      <c r="D200" s="2" t="s">
        <v>28</v>
      </c>
      <c r="E200" s="2" t="s">
        <v>23</v>
      </c>
      <c r="F200" s="3" t="str">
        <f t="shared" si="3"/>
        <v>06-14N-09W</v>
      </c>
      <c r="G200">
        <v>1</v>
      </c>
    </row>
    <row r="201" spans="1:7" x14ac:dyDescent="0.25">
      <c r="A201">
        <v>17</v>
      </c>
      <c r="B201" s="2" t="s">
        <v>28</v>
      </c>
      <c r="C201" t="s">
        <v>17</v>
      </c>
      <c r="D201" s="2" t="s">
        <v>28</v>
      </c>
      <c r="E201" s="2" t="s">
        <v>24</v>
      </c>
      <c r="F201" s="3" t="str">
        <f t="shared" si="3"/>
        <v>17-16N-08W</v>
      </c>
      <c r="G201">
        <v>1</v>
      </c>
    </row>
    <row r="202" spans="1:7" x14ac:dyDescent="0.25">
      <c r="A202">
        <v>18</v>
      </c>
      <c r="B202" s="2" t="s">
        <v>28</v>
      </c>
      <c r="C202" t="s">
        <v>17</v>
      </c>
      <c r="D202" s="2" t="s">
        <v>28</v>
      </c>
      <c r="E202" s="2" t="s">
        <v>24</v>
      </c>
      <c r="F202" s="3" t="str">
        <f t="shared" si="3"/>
        <v>18-16N-08W</v>
      </c>
      <c r="G202">
        <v>1</v>
      </c>
    </row>
    <row r="203" spans="1:7" x14ac:dyDescent="0.25">
      <c r="A203">
        <v>19</v>
      </c>
      <c r="B203" s="2" t="s">
        <v>28</v>
      </c>
      <c r="C203" t="s">
        <v>17</v>
      </c>
      <c r="D203" s="2" t="s">
        <v>28</v>
      </c>
      <c r="E203" s="2" t="s">
        <v>24</v>
      </c>
      <c r="F203" s="3" t="str">
        <f t="shared" si="3"/>
        <v>19-16N-08W</v>
      </c>
      <c r="G203">
        <v>1</v>
      </c>
    </row>
    <row r="204" spans="1:7" x14ac:dyDescent="0.25">
      <c r="A204">
        <v>20</v>
      </c>
      <c r="B204" s="2" t="s">
        <v>28</v>
      </c>
      <c r="C204" t="s">
        <v>17</v>
      </c>
      <c r="D204" s="2" t="s">
        <v>28</v>
      </c>
      <c r="E204" s="2" t="s">
        <v>24</v>
      </c>
      <c r="F204" s="3" t="str">
        <f t="shared" si="3"/>
        <v>20-16N-08W</v>
      </c>
      <c r="G204">
        <v>1</v>
      </c>
    </row>
    <row r="205" spans="1:7" x14ac:dyDescent="0.25">
      <c r="A205">
        <v>29</v>
      </c>
      <c r="B205" s="2" t="s">
        <v>28</v>
      </c>
      <c r="C205" t="s">
        <v>17</v>
      </c>
      <c r="D205" s="2" t="s">
        <v>28</v>
      </c>
      <c r="E205" s="2" t="s">
        <v>24</v>
      </c>
      <c r="F205" s="3" t="str">
        <f t="shared" si="3"/>
        <v>29-16N-08W</v>
      </c>
      <c r="G205">
        <v>1</v>
      </c>
    </row>
    <row r="206" spans="1:7" x14ac:dyDescent="0.25">
      <c r="A206">
        <v>30</v>
      </c>
      <c r="B206" s="2" t="s">
        <v>28</v>
      </c>
      <c r="C206" t="s">
        <v>17</v>
      </c>
      <c r="D206" s="2" t="s">
        <v>28</v>
      </c>
      <c r="E206" s="2" t="s">
        <v>24</v>
      </c>
      <c r="F206" s="3" t="str">
        <f t="shared" si="3"/>
        <v>30-16N-08W</v>
      </c>
      <c r="G206">
        <v>1</v>
      </c>
    </row>
    <row r="207" spans="1:7" x14ac:dyDescent="0.25">
      <c r="A207">
        <v>31</v>
      </c>
      <c r="B207" s="2" t="s">
        <v>28</v>
      </c>
      <c r="C207" t="s">
        <v>17</v>
      </c>
      <c r="D207" s="2" t="s">
        <v>28</v>
      </c>
      <c r="E207" s="2" t="s">
        <v>24</v>
      </c>
      <c r="F207" s="3" t="str">
        <f t="shared" si="3"/>
        <v>31-16N-08W</v>
      </c>
      <c r="G207">
        <v>1</v>
      </c>
    </row>
    <row r="208" spans="1:7" x14ac:dyDescent="0.25">
      <c r="A208">
        <v>32</v>
      </c>
      <c r="B208" s="2" t="s">
        <v>28</v>
      </c>
      <c r="C208" t="s">
        <v>17</v>
      </c>
      <c r="D208" s="2" t="s">
        <v>28</v>
      </c>
      <c r="E208" s="2" t="s">
        <v>24</v>
      </c>
      <c r="F208" s="3" t="str">
        <f t="shared" si="3"/>
        <v>32-16N-08W</v>
      </c>
      <c r="G208">
        <v>1</v>
      </c>
    </row>
    <row r="209" spans="1:7" x14ac:dyDescent="0.25">
      <c r="A209" s="4" t="s">
        <v>33</v>
      </c>
      <c r="B209" s="2" t="s">
        <v>28</v>
      </c>
      <c r="C209" t="s">
        <v>19</v>
      </c>
      <c r="D209" s="2" t="s">
        <v>28</v>
      </c>
      <c r="E209" s="2" t="s">
        <v>24</v>
      </c>
      <c r="F209" s="3" t="str">
        <f t="shared" si="3"/>
        <v>05-15N-08W</v>
      </c>
      <c r="G209">
        <v>1</v>
      </c>
    </row>
    <row r="210" spans="1:7" x14ac:dyDescent="0.25">
      <c r="A210" s="4" t="s">
        <v>34</v>
      </c>
      <c r="B210" s="2" t="s">
        <v>28</v>
      </c>
      <c r="C210" t="s">
        <v>19</v>
      </c>
      <c r="D210" s="2" t="s">
        <v>28</v>
      </c>
      <c r="E210" s="2" t="s">
        <v>24</v>
      </c>
      <c r="F210" s="3" t="str">
        <f t="shared" si="3"/>
        <v>06-15N-08W</v>
      </c>
      <c r="G210">
        <v>1</v>
      </c>
    </row>
    <row r="211" spans="1:7" x14ac:dyDescent="0.25">
      <c r="A211" s="4" t="s">
        <v>35</v>
      </c>
      <c r="B211" s="2" t="s">
        <v>28</v>
      </c>
      <c r="C211" t="s">
        <v>19</v>
      </c>
      <c r="D211" s="2" t="s">
        <v>28</v>
      </c>
      <c r="E211" s="2" t="s">
        <v>24</v>
      </c>
      <c r="F211" s="3" t="str">
        <f t="shared" si="3"/>
        <v>07-15N-08W</v>
      </c>
      <c r="G211">
        <v>1</v>
      </c>
    </row>
    <row r="212" spans="1:7" x14ac:dyDescent="0.25">
      <c r="A212" s="4" t="s">
        <v>36</v>
      </c>
      <c r="B212" s="2" t="s">
        <v>28</v>
      </c>
      <c r="C212" t="s">
        <v>19</v>
      </c>
      <c r="D212" s="2" t="s">
        <v>28</v>
      </c>
      <c r="E212" s="2" t="s">
        <v>24</v>
      </c>
      <c r="F212" s="3" t="str">
        <f t="shared" si="3"/>
        <v>08-15N-08W</v>
      </c>
      <c r="G212">
        <v>1</v>
      </c>
    </row>
    <row r="213" spans="1:7" x14ac:dyDescent="0.25">
      <c r="A213">
        <v>17</v>
      </c>
      <c r="B213" s="2" t="s">
        <v>28</v>
      </c>
      <c r="C213" t="s">
        <v>19</v>
      </c>
      <c r="D213" s="2" t="s">
        <v>28</v>
      </c>
      <c r="E213" s="2" t="s">
        <v>24</v>
      </c>
      <c r="F213" s="3" t="str">
        <f t="shared" si="3"/>
        <v>17-15N-08W</v>
      </c>
      <c r="G213">
        <v>1</v>
      </c>
    </row>
    <row r="214" spans="1:7" x14ac:dyDescent="0.25">
      <c r="A214">
        <v>18</v>
      </c>
      <c r="B214" s="2" t="s">
        <v>28</v>
      </c>
      <c r="C214" t="s">
        <v>19</v>
      </c>
      <c r="D214" s="2" t="s">
        <v>28</v>
      </c>
      <c r="E214" s="2" t="s">
        <v>24</v>
      </c>
      <c r="F214" s="3" t="str">
        <f t="shared" si="3"/>
        <v>18-15N-08W</v>
      </c>
      <c r="G214">
        <v>1</v>
      </c>
    </row>
    <row r="215" spans="1:7" x14ac:dyDescent="0.25">
      <c r="A215">
        <v>19</v>
      </c>
      <c r="B215" s="2" t="s">
        <v>28</v>
      </c>
      <c r="C215" t="s">
        <v>19</v>
      </c>
      <c r="D215" s="2" t="s">
        <v>28</v>
      </c>
      <c r="E215" s="2" t="s">
        <v>24</v>
      </c>
      <c r="F215" s="3" t="str">
        <f t="shared" si="3"/>
        <v>19-15N-08W</v>
      </c>
      <c r="G215">
        <v>1</v>
      </c>
    </row>
    <row r="216" spans="1:7" x14ac:dyDescent="0.25">
      <c r="A216">
        <v>20</v>
      </c>
      <c r="B216" s="2" t="s">
        <v>28</v>
      </c>
      <c r="C216" t="s">
        <v>19</v>
      </c>
      <c r="D216" s="2" t="s">
        <v>28</v>
      </c>
      <c r="E216" s="2" t="s">
        <v>24</v>
      </c>
      <c r="F216" s="3" t="str">
        <f t="shared" si="3"/>
        <v>20-15N-08W</v>
      </c>
      <c r="G216">
        <v>1</v>
      </c>
    </row>
    <row r="217" spans="1:7" x14ac:dyDescent="0.25">
      <c r="A217">
        <v>29</v>
      </c>
      <c r="B217" s="2" t="s">
        <v>28</v>
      </c>
      <c r="C217" t="s">
        <v>19</v>
      </c>
      <c r="D217" s="2" t="s">
        <v>28</v>
      </c>
      <c r="E217" s="2" t="s">
        <v>24</v>
      </c>
      <c r="F217" s="3" t="str">
        <f t="shared" si="3"/>
        <v>29-15N-08W</v>
      </c>
      <c r="G217">
        <v>1</v>
      </c>
    </row>
    <row r="218" spans="1:7" x14ac:dyDescent="0.25">
      <c r="A218">
        <v>30</v>
      </c>
      <c r="B218" s="2" t="s">
        <v>28</v>
      </c>
      <c r="C218" t="s">
        <v>19</v>
      </c>
      <c r="D218" s="2" t="s">
        <v>28</v>
      </c>
      <c r="E218" s="2" t="s">
        <v>24</v>
      </c>
      <c r="F218" s="3" t="str">
        <f t="shared" si="3"/>
        <v>30-15N-08W</v>
      </c>
      <c r="G218">
        <v>1</v>
      </c>
    </row>
    <row r="219" spans="1:7" x14ac:dyDescent="0.25">
      <c r="A219">
        <v>31</v>
      </c>
      <c r="B219" s="2" t="s">
        <v>28</v>
      </c>
      <c r="C219" t="s">
        <v>19</v>
      </c>
      <c r="D219" s="2" t="s">
        <v>28</v>
      </c>
      <c r="E219" s="2" t="s">
        <v>24</v>
      </c>
      <c r="F219" s="3" t="str">
        <f t="shared" si="3"/>
        <v>31-15N-08W</v>
      </c>
      <c r="G219">
        <v>1</v>
      </c>
    </row>
    <row r="220" spans="1:7" x14ac:dyDescent="0.25">
      <c r="A220">
        <v>32</v>
      </c>
      <c r="B220" s="2" t="s">
        <v>28</v>
      </c>
      <c r="C220" t="s">
        <v>19</v>
      </c>
      <c r="D220" s="2" t="s">
        <v>28</v>
      </c>
      <c r="E220" s="2" t="s">
        <v>24</v>
      </c>
      <c r="F220" s="3" t="str">
        <f t="shared" ref="F220:F248" si="4">_xlfn.CONCAT(A220:E220)</f>
        <v>32-15N-08W</v>
      </c>
      <c r="G220">
        <v>1</v>
      </c>
    </row>
    <row r="221" spans="1:7" x14ac:dyDescent="0.25">
      <c r="A221" s="4" t="s">
        <v>33</v>
      </c>
      <c r="B221" s="2" t="s">
        <v>28</v>
      </c>
      <c r="C221" t="s">
        <v>21</v>
      </c>
      <c r="D221" s="2" t="s">
        <v>28</v>
      </c>
      <c r="E221" s="2" t="s">
        <v>24</v>
      </c>
      <c r="F221" s="3" t="str">
        <f t="shared" si="4"/>
        <v>05-14N-08W</v>
      </c>
      <c r="G221">
        <v>1</v>
      </c>
    </row>
    <row r="222" spans="1:7" x14ac:dyDescent="0.25">
      <c r="A222" s="4" t="s">
        <v>34</v>
      </c>
      <c r="B222" s="2" t="s">
        <v>28</v>
      </c>
      <c r="C222" t="s">
        <v>21</v>
      </c>
      <c r="D222" s="2" t="s">
        <v>28</v>
      </c>
      <c r="E222" s="2" t="s">
        <v>24</v>
      </c>
      <c r="F222" s="3" t="str">
        <f t="shared" si="4"/>
        <v>06-14N-08W</v>
      </c>
      <c r="G222">
        <v>1</v>
      </c>
    </row>
    <row r="223" spans="1:7" x14ac:dyDescent="0.25">
      <c r="A223">
        <v>31</v>
      </c>
      <c r="B223" s="2" t="s">
        <v>28</v>
      </c>
      <c r="C223" t="s">
        <v>26</v>
      </c>
      <c r="D223" s="2" t="s">
        <v>28</v>
      </c>
      <c r="E223" s="2" t="s">
        <v>22</v>
      </c>
      <c r="F223" s="3" t="str">
        <f t="shared" si="4"/>
        <v>31-17N-11W</v>
      </c>
      <c r="G223">
        <v>2</v>
      </c>
    </row>
    <row r="224" spans="1:7" x14ac:dyDescent="0.25">
      <c r="A224">
        <v>32</v>
      </c>
      <c r="B224" s="2" t="s">
        <v>28</v>
      </c>
      <c r="C224" t="s">
        <v>26</v>
      </c>
      <c r="D224" s="2" t="s">
        <v>28</v>
      </c>
      <c r="E224" s="2" t="s">
        <v>22</v>
      </c>
      <c r="F224" s="3" t="str">
        <f t="shared" si="4"/>
        <v>32-17N-11W</v>
      </c>
      <c r="G224">
        <v>2</v>
      </c>
    </row>
    <row r="225" spans="1:7" x14ac:dyDescent="0.25">
      <c r="A225">
        <v>33</v>
      </c>
      <c r="B225" s="2" t="s">
        <v>28</v>
      </c>
      <c r="C225" t="s">
        <v>26</v>
      </c>
      <c r="D225" s="2" t="s">
        <v>28</v>
      </c>
      <c r="E225" s="2" t="s">
        <v>22</v>
      </c>
      <c r="F225" s="3" t="str">
        <f t="shared" si="4"/>
        <v>33-17N-11W</v>
      </c>
      <c r="G225">
        <v>2</v>
      </c>
    </row>
    <row r="226" spans="1:7" x14ac:dyDescent="0.25">
      <c r="A226">
        <v>34</v>
      </c>
      <c r="B226" s="2" t="s">
        <v>28</v>
      </c>
      <c r="C226" t="s">
        <v>26</v>
      </c>
      <c r="D226" s="2" t="s">
        <v>28</v>
      </c>
      <c r="E226" s="2" t="s">
        <v>22</v>
      </c>
      <c r="F226" s="3" t="str">
        <f t="shared" si="4"/>
        <v>34-17N-11W</v>
      </c>
      <c r="G226">
        <v>2</v>
      </c>
    </row>
    <row r="227" spans="1:7" x14ac:dyDescent="0.25">
      <c r="A227">
        <v>35</v>
      </c>
      <c r="B227" s="2" t="s">
        <v>28</v>
      </c>
      <c r="C227" t="s">
        <v>26</v>
      </c>
      <c r="D227" s="2" t="s">
        <v>28</v>
      </c>
      <c r="E227" s="2" t="s">
        <v>22</v>
      </c>
      <c r="F227" s="3" t="str">
        <f t="shared" si="4"/>
        <v>35-17N-11W</v>
      </c>
      <c r="G227">
        <v>2</v>
      </c>
    </row>
    <row r="228" spans="1:7" x14ac:dyDescent="0.25">
      <c r="A228">
        <v>36</v>
      </c>
      <c r="B228" s="2" t="s">
        <v>28</v>
      </c>
      <c r="C228" t="s">
        <v>26</v>
      </c>
      <c r="D228" s="2" t="s">
        <v>28</v>
      </c>
      <c r="E228" s="2" t="s">
        <v>22</v>
      </c>
      <c r="F228" s="3" t="str">
        <f t="shared" si="4"/>
        <v>36-17N-11W</v>
      </c>
      <c r="G228">
        <v>2</v>
      </c>
    </row>
    <row r="229" spans="1:7" x14ac:dyDescent="0.25">
      <c r="A229">
        <v>31</v>
      </c>
      <c r="B229" s="2" t="s">
        <v>28</v>
      </c>
      <c r="C229" t="s">
        <v>26</v>
      </c>
      <c r="D229" s="2" t="s">
        <v>28</v>
      </c>
      <c r="E229" s="2" t="s">
        <v>20</v>
      </c>
      <c r="F229" s="3" t="str">
        <f t="shared" si="4"/>
        <v>31-17N-10W</v>
      </c>
      <c r="G229">
        <v>2</v>
      </c>
    </row>
    <row r="230" spans="1:7" x14ac:dyDescent="0.25">
      <c r="A230">
        <v>32</v>
      </c>
      <c r="B230" s="2" t="s">
        <v>28</v>
      </c>
      <c r="C230" t="s">
        <v>26</v>
      </c>
      <c r="D230" s="2" t="s">
        <v>28</v>
      </c>
      <c r="E230" s="2" t="s">
        <v>20</v>
      </c>
      <c r="F230" s="3" t="str">
        <f t="shared" si="4"/>
        <v>32-17N-10W</v>
      </c>
      <c r="G230">
        <v>2</v>
      </c>
    </row>
    <row r="231" spans="1:7" x14ac:dyDescent="0.25">
      <c r="A231">
        <v>33</v>
      </c>
      <c r="B231" s="2" t="s">
        <v>28</v>
      </c>
      <c r="C231" t="s">
        <v>26</v>
      </c>
      <c r="D231" s="2" t="s">
        <v>28</v>
      </c>
      <c r="E231" s="2" t="s">
        <v>20</v>
      </c>
      <c r="F231" s="3" t="str">
        <f t="shared" si="4"/>
        <v>33-17N-10W</v>
      </c>
      <c r="G231">
        <v>2</v>
      </c>
    </row>
    <row r="232" spans="1:7" x14ac:dyDescent="0.25">
      <c r="A232">
        <v>34</v>
      </c>
      <c r="B232" s="2" t="s">
        <v>28</v>
      </c>
      <c r="C232" t="s">
        <v>26</v>
      </c>
      <c r="D232" s="2" t="s">
        <v>28</v>
      </c>
      <c r="E232" s="2" t="s">
        <v>20</v>
      </c>
      <c r="F232" s="3" t="str">
        <f t="shared" si="4"/>
        <v>34-17N-10W</v>
      </c>
      <c r="G232">
        <v>2</v>
      </c>
    </row>
    <row r="233" spans="1:7" x14ac:dyDescent="0.25">
      <c r="A233">
        <v>35</v>
      </c>
      <c r="B233" s="2" t="s">
        <v>28</v>
      </c>
      <c r="C233" t="s">
        <v>26</v>
      </c>
      <c r="D233" s="2" t="s">
        <v>28</v>
      </c>
      <c r="E233" s="2" t="s">
        <v>20</v>
      </c>
      <c r="F233" s="3" t="str">
        <f t="shared" si="4"/>
        <v>35-17N-10W</v>
      </c>
      <c r="G233">
        <v>2</v>
      </c>
    </row>
    <row r="234" spans="1:7" x14ac:dyDescent="0.25">
      <c r="A234">
        <v>36</v>
      </c>
      <c r="B234" s="2" t="s">
        <v>28</v>
      </c>
      <c r="C234" t="s">
        <v>26</v>
      </c>
      <c r="D234" s="2" t="s">
        <v>28</v>
      </c>
      <c r="E234" s="2" t="s">
        <v>20</v>
      </c>
      <c r="F234" s="3" t="str">
        <f t="shared" si="4"/>
        <v>36-17N-10W</v>
      </c>
      <c r="G234">
        <v>2</v>
      </c>
    </row>
    <row r="235" spans="1:7" x14ac:dyDescent="0.25">
      <c r="A235">
        <v>31</v>
      </c>
      <c r="B235" s="2" t="s">
        <v>28</v>
      </c>
      <c r="C235" t="s">
        <v>26</v>
      </c>
      <c r="D235" s="2" t="s">
        <v>28</v>
      </c>
      <c r="E235" s="2" t="s">
        <v>23</v>
      </c>
      <c r="F235" s="3" t="str">
        <f t="shared" si="4"/>
        <v>31-17N-09W</v>
      </c>
      <c r="G235">
        <v>2</v>
      </c>
    </row>
    <row r="236" spans="1:7" x14ac:dyDescent="0.25">
      <c r="A236">
        <v>32</v>
      </c>
      <c r="B236" s="2" t="s">
        <v>28</v>
      </c>
      <c r="C236" t="s">
        <v>26</v>
      </c>
      <c r="D236" s="2" t="s">
        <v>28</v>
      </c>
      <c r="E236" s="2" t="s">
        <v>23</v>
      </c>
      <c r="F236" s="3" t="str">
        <f t="shared" si="4"/>
        <v>32-17N-09W</v>
      </c>
      <c r="G236">
        <v>2</v>
      </c>
    </row>
    <row r="237" spans="1:7" x14ac:dyDescent="0.25">
      <c r="A237">
        <v>33</v>
      </c>
      <c r="B237" s="2" t="s">
        <v>28</v>
      </c>
      <c r="C237" t="s">
        <v>26</v>
      </c>
      <c r="D237" s="2" t="s">
        <v>28</v>
      </c>
      <c r="E237" s="2" t="s">
        <v>23</v>
      </c>
      <c r="F237" s="3" t="str">
        <f t="shared" si="4"/>
        <v>33-17N-09W</v>
      </c>
      <c r="G237">
        <v>2</v>
      </c>
    </row>
    <row r="238" spans="1:7" x14ac:dyDescent="0.25">
      <c r="A238">
        <v>34</v>
      </c>
      <c r="B238" s="2" t="s">
        <v>28</v>
      </c>
      <c r="C238" t="s">
        <v>26</v>
      </c>
      <c r="D238" s="2" t="s">
        <v>28</v>
      </c>
      <c r="E238" s="2" t="s">
        <v>23</v>
      </c>
      <c r="F238" s="3" t="str">
        <f t="shared" si="4"/>
        <v>34-17N-09W</v>
      </c>
      <c r="G238">
        <v>2</v>
      </c>
    </row>
    <row r="239" spans="1:7" x14ac:dyDescent="0.25">
      <c r="A239">
        <v>35</v>
      </c>
      <c r="B239" s="2" t="s">
        <v>28</v>
      </c>
      <c r="C239" t="s">
        <v>26</v>
      </c>
      <c r="D239" s="2" t="s">
        <v>28</v>
      </c>
      <c r="E239" s="2" t="s">
        <v>23</v>
      </c>
      <c r="F239" s="3" t="str">
        <f t="shared" si="4"/>
        <v>35-17N-09W</v>
      </c>
      <c r="G239">
        <v>2</v>
      </c>
    </row>
    <row r="240" spans="1:7" x14ac:dyDescent="0.25">
      <c r="A240">
        <v>36</v>
      </c>
      <c r="B240" s="2" t="s">
        <v>28</v>
      </c>
      <c r="C240" t="s">
        <v>26</v>
      </c>
      <c r="D240" s="2" t="s">
        <v>28</v>
      </c>
      <c r="E240" s="2" t="s">
        <v>23</v>
      </c>
      <c r="F240" s="3" t="str">
        <f t="shared" si="4"/>
        <v>36-17N-09W</v>
      </c>
      <c r="G240">
        <v>2</v>
      </c>
    </row>
    <row r="241" spans="1:7" x14ac:dyDescent="0.25">
      <c r="A241">
        <v>31</v>
      </c>
      <c r="B241" s="2" t="s">
        <v>28</v>
      </c>
      <c r="C241" t="s">
        <v>26</v>
      </c>
      <c r="D241" s="2" t="s">
        <v>28</v>
      </c>
      <c r="E241" s="2" t="s">
        <v>24</v>
      </c>
      <c r="F241" s="3" t="str">
        <f t="shared" si="4"/>
        <v>31-17N-08W</v>
      </c>
      <c r="G241">
        <v>2</v>
      </c>
    </row>
    <row r="242" spans="1:7" x14ac:dyDescent="0.25">
      <c r="A242">
        <v>32</v>
      </c>
      <c r="B242" s="2" t="s">
        <v>28</v>
      </c>
      <c r="C242" t="s">
        <v>26</v>
      </c>
      <c r="D242" s="2" t="s">
        <v>28</v>
      </c>
      <c r="E242" s="2" t="s">
        <v>24</v>
      </c>
      <c r="F242" s="3" t="str">
        <f t="shared" si="4"/>
        <v>32-17N-08W</v>
      </c>
      <c r="G242">
        <v>2</v>
      </c>
    </row>
    <row r="243" spans="1:7" x14ac:dyDescent="0.25">
      <c r="A243">
        <v>33</v>
      </c>
      <c r="B243" s="2" t="s">
        <v>28</v>
      </c>
      <c r="C243" t="s">
        <v>26</v>
      </c>
      <c r="D243" s="2" t="s">
        <v>28</v>
      </c>
      <c r="E243" s="2" t="s">
        <v>24</v>
      </c>
      <c r="F243" s="3" t="str">
        <f t="shared" si="4"/>
        <v>33-17N-08W</v>
      </c>
      <c r="G243">
        <v>2</v>
      </c>
    </row>
    <row r="244" spans="1:7" x14ac:dyDescent="0.25">
      <c r="A244">
        <v>34</v>
      </c>
      <c r="B244" s="2" t="s">
        <v>28</v>
      </c>
      <c r="C244" t="s">
        <v>26</v>
      </c>
      <c r="D244" s="2" t="s">
        <v>28</v>
      </c>
      <c r="E244" s="2" t="s">
        <v>24</v>
      </c>
      <c r="F244" s="3" t="str">
        <f t="shared" si="4"/>
        <v>34-17N-08W</v>
      </c>
      <c r="G244">
        <v>2</v>
      </c>
    </row>
    <row r="245" spans="1:7" x14ac:dyDescent="0.25">
      <c r="A245">
        <v>35</v>
      </c>
      <c r="B245" s="2" t="s">
        <v>28</v>
      </c>
      <c r="C245" t="s">
        <v>26</v>
      </c>
      <c r="D245" s="2" t="s">
        <v>28</v>
      </c>
      <c r="E245" s="2" t="s">
        <v>24</v>
      </c>
      <c r="F245" s="3" t="str">
        <f t="shared" si="4"/>
        <v>35-17N-08W</v>
      </c>
      <c r="G245">
        <v>2</v>
      </c>
    </row>
    <row r="246" spans="1:7" x14ac:dyDescent="0.25">
      <c r="A246">
        <v>36</v>
      </c>
      <c r="B246" s="2" t="s">
        <v>28</v>
      </c>
      <c r="C246" t="s">
        <v>26</v>
      </c>
      <c r="D246" s="2" t="s">
        <v>28</v>
      </c>
      <c r="E246" s="2" t="s">
        <v>24</v>
      </c>
      <c r="F246" s="3" t="str">
        <f t="shared" si="4"/>
        <v>36-17N-08W</v>
      </c>
      <c r="G246">
        <v>2</v>
      </c>
    </row>
    <row r="247" spans="1:7" x14ac:dyDescent="0.25">
      <c r="A247">
        <v>31</v>
      </c>
      <c r="B247" s="2" t="s">
        <v>28</v>
      </c>
      <c r="C247" t="s">
        <v>26</v>
      </c>
      <c r="D247" s="2" t="s">
        <v>28</v>
      </c>
      <c r="E247" s="2" t="s">
        <v>27</v>
      </c>
      <c r="F247" s="3" t="str">
        <f t="shared" si="4"/>
        <v>31-17N-07W</v>
      </c>
      <c r="G247">
        <v>2</v>
      </c>
    </row>
    <row r="248" spans="1:7" x14ac:dyDescent="0.25">
      <c r="A248">
        <v>32</v>
      </c>
      <c r="B248" s="2" t="s">
        <v>28</v>
      </c>
      <c r="C248" t="s">
        <v>26</v>
      </c>
      <c r="D248" s="2" t="s">
        <v>28</v>
      </c>
      <c r="E248" s="2" t="s">
        <v>27</v>
      </c>
      <c r="F248" s="3" t="str">
        <f t="shared" si="4"/>
        <v>32-17N-07W</v>
      </c>
      <c r="G248">
        <v>2</v>
      </c>
    </row>
    <row r="249" spans="1:7" x14ac:dyDescent="0.25">
      <c r="A249" s="3" t="s">
        <v>29</v>
      </c>
      <c r="B249" s="2" t="s">
        <v>28</v>
      </c>
      <c r="C249" t="s">
        <v>17</v>
      </c>
      <c r="D249" s="2" t="s">
        <v>28</v>
      </c>
      <c r="E249" s="2" t="s">
        <v>25</v>
      </c>
      <c r="F249" s="3" t="str">
        <f t="shared" ref="F249" si="5">_xlfn.CONCAT(A249:E249)</f>
        <v>01-16N-12W</v>
      </c>
      <c r="G249">
        <v>2</v>
      </c>
    </row>
    <row r="250" spans="1:7" x14ac:dyDescent="0.25">
      <c r="A250" s="3" t="s">
        <v>37</v>
      </c>
      <c r="B250" s="2" t="s">
        <v>28</v>
      </c>
      <c r="C250" t="s">
        <v>17</v>
      </c>
      <c r="D250" s="2" t="s">
        <v>28</v>
      </c>
      <c r="E250" s="2" t="s">
        <v>25</v>
      </c>
      <c r="F250" s="3" t="str">
        <f t="shared" ref="F250:F273" si="6">_xlfn.CONCAT(A250:E250)</f>
        <v>09-16N-12W</v>
      </c>
      <c r="G250">
        <v>2</v>
      </c>
    </row>
    <row r="251" spans="1:7" x14ac:dyDescent="0.25">
      <c r="A251">
        <v>10</v>
      </c>
      <c r="B251" s="2" t="s">
        <v>28</v>
      </c>
      <c r="C251" t="s">
        <v>17</v>
      </c>
      <c r="D251" s="2" t="s">
        <v>28</v>
      </c>
      <c r="E251" s="2" t="s">
        <v>25</v>
      </c>
      <c r="F251" s="3" t="str">
        <f t="shared" si="6"/>
        <v>10-16N-12W</v>
      </c>
      <c r="G251">
        <v>2</v>
      </c>
    </row>
    <row r="252" spans="1:7" x14ac:dyDescent="0.25">
      <c r="A252">
        <v>11</v>
      </c>
      <c r="B252" s="2" t="s">
        <v>28</v>
      </c>
      <c r="C252" t="s">
        <v>17</v>
      </c>
      <c r="D252" s="2" t="s">
        <v>28</v>
      </c>
      <c r="E252" s="2" t="s">
        <v>25</v>
      </c>
      <c r="F252" s="3" t="str">
        <f t="shared" si="6"/>
        <v>11-16N-12W</v>
      </c>
      <c r="G252">
        <v>2</v>
      </c>
    </row>
    <row r="253" spans="1:7" x14ac:dyDescent="0.25">
      <c r="A253">
        <v>12</v>
      </c>
      <c r="B253" s="2" t="s">
        <v>28</v>
      </c>
      <c r="C253" t="s">
        <v>17</v>
      </c>
      <c r="D253" s="2" t="s">
        <v>28</v>
      </c>
      <c r="E253" s="2" t="s">
        <v>25</v>
      </c>
      <c r="F253" s="3" t="str">
        <f t="shared" si="6"/>
        <v>12-16N-12W</v>
      </c>
      <c r="G253">
        <v>2</v>
      </c>
    </row>
    <row r="254" spans="1:7" x14ac:dyDescent="0.25">
      <c r="A254">
        <v>13</v>
      </c>
      <c r="B254" s="2" t="s">
        <v>28</v>
      </c>
      <c r="C254" t="s">
        <v>17</v>
      </c>
      <c r="D254" s="2" t="s">
        <v>28</v>
      </c>
      <c r="E254" s="2" t="s">
        <v>25</v>
      </c>
      <c r="F254" s="3" t="str">
        <f t="shared" si="6"/>
        <v>13-16N-12W</v>
      </c>
      <c r="G254">
        <v>2</v>
      </c>
    </row>
    <row r="255" spans="1:7" x14ac:dyDescent="0.25">
      <c r="A255">
        <v>14</v>
      </c>
      <c r="B255" s="2" t="s">
        <v>28</v>
      </c>
      <c r="C255" t="s">
        <v>17</v>
      </c>
      <c r="D255" s="2" t="s">
        <v>28</v>
      </c>
      <c r="E255" s="2" t="s">
        <v>25</v>
      </c>
      <c r="F255" s="3" t="str">
        <f t="shared" si="6"/>
        <v>14-16N-12W</v>
      </c>
      <c r="G255">
        <v>2</v>
      </c>
    </row>
    <row r="256" spans="1:7" x14ac:dyDescent="0.25">
      <c r="A256">
        <v>15</v>
      </c>
      <c r="B256" s="2" t="s">
        <v>28</v>
      </c>
      <c r="C256" t="s">
        <v>17</v>
      </c>
      <c r="D256" s="2" t="s">
        <v>28</v>
      </c>
      <c r="E256" s="2" t="s">
        <v>25</v>
      </c>
      <c r="F256" s="3" t="str">
        <f t="shared" si="6"/>
        <v>15-16N-12W</v>
      </c>
      <c r="G256">
        <v>2</v>
      </c>
    </row>
    <row r="257" spans="1:7" x14ac:dyDescent="0.25">
      <c r="A257">
        <v>16</v>
      </c>
      <c r="B257" s="2" t="s">
        <v>28</v>
      </c>
      <c r="C257" t="s">
        <v>17</v>
      </c>
      <c r="D257" s="2" t="s">
        <v>28</v>
      </c>
      <c r="E257" s="2" t="s">
        <v>25</v>
      </c>
      <c r="F257" s="3" t="str">
        <f t="shared" si="6"/>
        <v>16-16N-12W</v>
      </c>
      <c r="G257">
        <v>2</v>
      </c>
    </row>
    <row r="258" spans="1:7" x14ac:dyDescent="0.25">
      <c r="A258">
        <v>17</v>
      </c>
      <c r="B258" s="2" t="s">
        <v>28</v>
      </c>
      <c r="C258" t="s">
        <v>17</v>
      </c>
      <c r="D258" s="2" t="s">
        <v>28</v>
      </c>
      <c r="E258" s="2" t="s">
        <v>25</v>
      </c>
      <c r="F258" s="3" t="str">
        <f t="shared" si="6"/>
        <v>17-16N-12W</v>
      </c>
      <c r="G258">
        <v>2</v>
      </c>
    </row>
    <row r="259" spans="1:7" x14ac:dyDescent="0.25">
      <c r="A259">
        <v>20</v>
      </c>
      <c r="B259" s="2" t="s">
        <v>28</v>
      </c>
      <c r="C259" t="s">
        <v>17</v>
      </c>
      <c r="D259" s="2" t="s">
        <v>28</v>
      </c>
      <c r="E259" s="2" t="s">
        <v>25</v>
      </c>
      <c r="F259" s="3" t="str">
        <f t="shared" si="6"/>
        <v>20-16N-12W</v>
      </c>
      <c r="G259">
        <v>2</v>
      </c>
    </row>
    <row r="260" spans="1:7" x14ac:dyDescent="0.25">
      <c r="A260">
        <v>21</v>
      </c>
      <c r="B260" s="2" t="s">
        <v>28</v>
      </c>
      <c r="C260" t="s">
        <v>17</v>
      </c>
      <c r="D260" s="2" t="s">
        <v>28</v>
      </c>
      <c r="E260" s="2" t="s">
        <v>25</v>
      </c>
      <c r="F260" s="3" t="str">
        <f t="shared" si="6"/>
        <v>21-16N-12W</v>
      </c>
      <c r="G260">
        <v>2</v>
      </c>
    </row>
    <row r="261" spans="1:7" x14ac:dyDescent="0.25">
      <c r="A261">
        <v>22</v>
      </c>
      <c r="B261" s="2" t="s">
        <v>28</v>
      </c>
      <c r="C261" t="s">
        <v>17</v>
      </c>
      <c r="D261" s="2" t="s">
        <v>28</v>
      </c>
      <c r="E261" s="2" t="s">
        <v>25</v>
      </c>
      <c r="F261" s="3" t="str">
        <f t="shared" si="6"/>
        <v>22-16N-12W</v>
      </c>
      <c r="G261">
        <v>2</v>
      </c>
    </row>
    <row r="262" spans="1:7" x14ac:dyDescent="0.25">
      <c r="A262">
        <v>23</v>
      </c>
      <c r="B262" s="2" t="s">
        <v>28</v>
      </c>
      <c r="C262" t="s">
        <v>17</v>
      </c>
      <c r="D262" s="2" t="s">
        <v>28</v>
      </c>
      <c r="E262" s="2" t="s">
        <v>25</v>
      </c>
      <c r="F262" s="3" t="str">
        <f t="shared" si="6"/>
        <v>23-16N-12W</v>
      </c>
      <c r="G262">
        <v>2</v>
      </c>
    </row>
    <row r="263" spans="1:7" x14ac:dyDescent="0.25">
      <c r="A263">
        <v>24</v>
      </c>
      <c r="B263" s="2" t="s">
        <v>28</v>
      </c>
      <c r="C263" t="s">
        <v>17</v>
      </c>
      <c r="D263" s="2" t="s">
        <v>28</v>
      </c>
      <c r="E263" s="2" t="s">
        <v>25</v>
      </c>
      <c r="F263" s="3" t="str">
        <f t="shared" si="6"/>
        <v>24-16N-12W</v>
      </c>
      <c r="G263">
        <v>2</v>
      </c>
    </row>
    <row r="264" spans="1:7" x14ac:dyDescent="0.25">
      <c r="A264">
        <v>25</v>
      </c>
      <c r="B264" s="2" t="s">
        <v>28</v>
      </c>
      <c r="C264" t="s">
        <v>17</v>
      </c>
      <c r="D264" s="2" t="s">
        <v>28</v>
      </c>
      <c r="E264" s="2" t="s">
        <v>25</v>
      </c>
      <c r="F264" s="3" t="str">
        <f t="shared" si="6"/>
        <v>25-16N-12W</v>
      </c>
      <c r="G264">
        <v>2</v>
      </c>
    </row>
    <row r="265" spans="1:7" x14ac:dyDescent="0.25">
      <c r="A265">
        <v>26</v>
      </c>
      <c r="B265" s="2" t="s">
        <v>28</v>
      </c>
      <c r="C265" t="s">
        <v>17</v>
      </c>
      <c r="D265" s="2" t="s">
        <v>28</v>
      </c>
      <c r="E265" s="2" t="s">
        <v>25</v>
      </c>
      <c r="F265" s="3" t="str">
        <f t="shared" si="6"/>
        <v>26-16N-12W</v>
      </c>
      <c r="G265">
        <v>2</v>
      </c>
    </row>
    <row r="266" spans="1:7" x14ac:dyDescent="0.25">
      <c r="A266">
        <v>27</v>
      </c>
      <c r="B266" s="2" t="s">
        <v>28</v>
      </c>
      <c r="C266" t="s">
        <v>17</v>
      </c>
      <c r="D266" s="2" t="s">
        <v>28</v>
      </c>
      <c r="E266" s="2" t="s">
        <v>25</v>
      </c>
      <c r="F266" s="3" t="str">
        <f t="shared" si="6"/>
        <v>27-16N-12W</v>
      </c>
      <c r="G266">
        <v>2</v>
      </c>
    </row>
    <row r="267" spans="1:7" x14ac:dyDescent="0.25">
      <c r="A267">
        <v>28</v>
      </c>
      <c r="B267" s="2" t="s">
        <v>28</v>
      </c>
      <c r="C267" t="s">
        <v>17</v>
      </c>
      <c r="D267" s="2" t="s">
        <v>28</v>
      </c>
      <c r="E267" s="2" t="s">
        <v>25</v>
      </c>
      <c r="F267" s="3" t="str">
        <f t="shared" si="6"/>
        <v>28-16N-12W</v>
      </c>
      <c r="G267">
        <v>2</v>
      </c>
    </row>
    <row r="268" spans="1:7" x14ac:dyDescent="0.25">
      <c r="A268">
        <v>29</v>
      </c>
      <c r="B268" s="2" t="s">
        <v>28</v>
      </c>
      <c r="C268" t="s">
        <v>17</v>
      </c>
      <c r="D268" s="2" t="s">
        <v>28</v>
      </c>
      <c r="E268" s="2" t="s">
        <v>25</v>
      </c>
      <c r="F268" s="3" t="str">
        <f t="shared" si="6"/>
        <v>29-16N-12W</v>
      </c>
      <c r="G268">
        <v>2</v>
      </c>
    </row>
    <row r="269" spans="1:7" x14ac:dyDescent="0.25">
      <c r="A269">
        <v>32</v>
      </c>
      <c r="B269" s="2" t="s">
        <v>28</v>
      </c>
      <c r="C269" t="s">
        <v>17</v>
      </c>
      <c r="D269" s="2" t="s">
        <v>28</v>
      </c>
      <c r="E269" s="2" t="s">
        <v>25</v>
      </c>
      <c r="F269" s="3" t="str">
        <f t="shared" si="6"/>
        <v>32-16N-12W</v>
      </c>
      <c r="G269">
        <v>2</v>
      </c>
    </row>
    <row r="270" spans="1:7" x14ac:dyDescent="0.25">
      <c r="A270">
        <v>33</v>
      </c>
      <c r="B270" s="2" t="s">
        <v>28</v>
      </c>
      <c r="C270" t="s">
        <v>17</v>
      </c>
      <c r="D270" s="2" t="s">
        <v>28</v>
      </c>
      <c r="E270" s="2" t="s">
        <v>25</v>
      </c>
      <c r="F270" s="3" t="str">
        <f t="shared" si="6"/>
        <v>33-16N-12W</v>
      </c>
      <c r="G270">
        <v>2</v>
      </c>
    </row>
    <row r="271" spans="1:7" x14ac:dyDescent="0.25">
      <c r="A271">
        <v>34</v>
      </c>
      <c r="B271" s="2" t="s">
        <v>28</v>
      </c>
      <c r="C271" t="s">
        <v>17</v>
      </c>
      <c r="D271" s="2" t="s">
        <v>28</v>
      </c>
      <c r="E271" s="2" t="s">
        <v>25</v>
      </c>
      <c r="F271" s="3" t="str">
        <f t="shared" si="6"/>
        <v>34-16N-12W</v>
      </c>
      <c r="G271">
        <v>2</v>
      </c>
    </row>
    <row r="272" spans="1:7" x14ac:dyDescent="0.25">
      <c r="A272">
        <v>35</v>
      </c>
      <c r="B272" s="2" t="s">
        <v>28</v>
      </c>
      <c r="C272" t="s">
        <v>17</v>
      </c>
      <c r="D272" s="2" t="s">
        <v>28</v>
      </c>
      <c r="E272" s="2" t="s">
        <v>25</v>
      </c>
      <c r="F272" s="3" t="str">
        <f t="shared" si="6"/>
        <v>35-16N-12W</v>
      </c>
      <c r="G272">
        <v>2</v>
      </c>
    </row>
    <row r="273" spans="1:7" x14ac:dyDescent="0.25">
      <c r="A273">
        <v>36</v>
      </c>
      <c r="B273" s="2" t="s">
        <v>28</v>
      </c>
      <c r="C273" t="s">
        <v>17</v>
      </c>
      <c r="D273" s="2" t="s">
        <v>28</v>
      </c>
      <c r="E273" s="2" t="s">
        <v>25</v>
      </c>
      <c r="F273" s="3" t="str">
        <f t="shared" si="6"/>
        <v>36-16N-12W</v>
      </c>
      <c r="G273">
        <v>2</v>
      </c>
    </row>
    <row r="274" spans="1:7" x14ac:dyDescent="0.25">
      <c r="A274" s="3" t="s">
        <v>29</v>
      </c>
      <c r="B274" s="2" t="s">
        <v>28</v>
      </c>
      <c r="C274" t="s">
        <v>19</v>
      </c>
      <c r="D274" s="2" t="s">
        <v>28</v>
      </c>
      <c r="E274" s="2" t="s">
        <v>25</v>
      </c>
      <c r="F274" s="3" t="str">
        <f t="shared" ref="F274:F303" si="7">_xlfn.CONCAT(A274:E274)</f>
        <v>01-15N-12W</v>
      </c>
      <c r="G274">
        <v>2</v>
      </c>
    </row>
    <row r="275" spans="1:7" x14ac:dyDescent="0.25">
      <c r="A275" s="3" t="s">
        <v>30</v>
      </c>
      <c r="B275" s="2" t="s">
        <v>28</v>
      </c>
      <c r="C275" t="s">
        <v>19</v>
      </c>
      <c r="D275" s="2" t="s">
        <v>28</v>
      </c>
      <c r="E275" s="2" t="s">
        <v>25</v>
      </c>
      <c r="F275" s="3" t="str">
        <f t="shared" si="7"/>
        <v>02-15N-12W</v>
      </c>
      <c r="G275">
        <v>2</v>
      </c>
    </row>
    <row r="276" spans="1:7" x14ac:dyDescent="0.25">
      <c r="A276" s="3" t="s">
        <v>31</v>
      </c>
      <c r="B276" s="2" t="s">
        <v>28</v>
      </c>
      <c r="C276" t="s">
        <v>19</v>
      </c>
      <c r="D276" s="2" t="s">
        <v>28</v>
      </c>
      <c r="E276" s="2" t="s">
        <v>25</v>
      </c>
      <c r="F276" s="3" t="str">
        <f t="shared" si="7"/>
        <v>03-15N-12W</v>
      </c>
      <c r="G276">
        <v>2</v>
      </c>
    </row>
    <row r="277" spans="1:7" x14ac:dyDescent="0.25">
      <c r="A277" s="3" t="s">
        <v>32</v>
      </c>
      <c r="B277" s="2" t="s">
        <v>28</v>
      </c>
      <c r="C277" t="s">
        <v>19</v>
      </c>
      <c r="D277" s="2" t="s">
        <v>28</v>
      </c>
      <c r="E277" s="2" t="s">
        <v>25</v>
      </c>
      <c r="F277" s="3" t="str">
        <f t="shared" si="7"/>
        <v>04-15N-12W</v>
      </c>
      <c r="G277">
        <v>2</v>
      </c>
    </row>
    <row r="278" spans="1:7" x14ac:dyDescent="0.25">
      <c r="A278" s="3" t="s">
        <v>33</v>
      </c>
      <c r="B278" s="2" t="s">
        <v>28</v>
      </c>
      <c r="C278" t="s">
        <v>19</v>
      </c>
      <c r="D278" s="2" t="s">
        <v>28</v>
      </c>
      <c r="E278" s="2" t="s">
        <v>25</v>
      </c>
      <c r="F278" s="3" t="str">
        <f t="shared" si="7"/>
        <v>05-15N-12W</v>
      </c>
      <c r="G278">
        <v>2</v>
      </c>
    </row>
    <row r="279" spans="1:7" x14ac:dyDescent="0.25">
      <c r="A279" s="3" t="s">
        <v>36</v>
      </c>
      <c r="B279" s="2" t="s">
        <v>28</v>
      </c>
      <c r="C279" t="s">
        <v>19</v>
      </c>
      <c r="D279" s="2" t="s">
        <v>28</v>
      </c>
      <c r="E279" s="2" t="s">
        <v>25</v>
      </c>
      <c r="F279" s="3" t="str">
        <f t="shared" si="7"/>
        <v>08-15N-12W</v>
      </c>
      <c r="G279">
        <v>2</v>
      </c>
    </row>
    <row r="280" spans="1:7" x14ac:dyDescent="0.25">
      <c r="A280" s="3" t="s">
        <v>37</v>
      </c>
      <c r="B280" s="2" t="s">
        <v>28</v>
      </c>
      <c r="C280" t="s">
        <v>19</v>
      </c>
      <c r="D280" s="2" t="s">
        <v>28</v>
      </c>
      <c r="E280" s="2" t="s">
        <v>25</v>
      </c>
      <c r="F280" s="3" t="str">
        <f t="shared" si="7"/>
        <v>09-15N-12W</v>
      </c>
      <c r="G280">
        <v>2</v>
      </c>
    </row>
    <row r="281" spans="1:7" x14ac:dyDescent="0.25">
      <c r="A281">
        <v>10</v>
      </c>
      <c r="B281" s="2" t="s">
        <v>28</v>
      </c>
      <c r="C281" t="s">
        <v>19</v>
      </c>
      <c r="D281" s="2" t="s">
        <v>28</v>
      </c>
      <c r="E281" s="2" t="s">
        <v>25</v>
      </c>
      <c r="F281" s="3" t="str">
        <f t="shared" si="7"/>
        <v>10-15N-12W</v>
      </c>
      <c r="G281">
        <v>2</v>
      </c>
    </row>
    <row r="282" spans="1:7" x14ac:dyDescent="0.25">
      <c r="A282">
        <v>11</v>
      </c>
      <c r="B282" s="2" t="s">
        <v>28</v>
      </c>
      <c r="C282" t="s">
        <v>19</v>
      </c>
      <c r="D282" s="2" t="s">
        <v>28</v>
      </c>
      <c r="E282" s="2" t="s">
        <v>25</v>
      </c>
      <c r="F282" s="3" t="str">
        <f t="shared" si="7"/>
        <v>11-15N-12W</v>
      </c>
      <c r="G282">
        <v>2</v>
      </c>
    </row>
    <row r="283" spans="1:7" x14ac:dyDescent="0.25">
      <c r="A283">
        <v>12</v>
      </c>
      <c r="B283" s="2" t="s">
        <v>28</v>
      </c>
      <c r="C283" t="s">
        <v>19</v>
      </c>
      <c r="D283" s="2" t="s">
        <v>28</v>
      </c>
      <c r="E283" s="2" t="s">
        <v>25</v>
      </c>
      <c r="F283" s="3" t="str">
        <f t="shared" si="7"/>
        <v>12-15N-12W</v>
      </c>
      <c r="G283">
        <v>2</v>
      </c>
    </row>
    <row r="284" spans="1:7" x14ac:dyDescent="0.25">
      <c r="A284">
        <v>13</v>
      </c>
      <c r="B284" s="2" t="s">
        <v>28</v>
      </c>
      <c r="C284" t="s">
        <v>19</v>
      </c>
      <c r="D284" s="2" t="s">
        <v>28</v>
      </c>
      <c r="E284" s="2" t="s">
        <v>25</v>
      </c>
      <c r="F284" s="3" t="str">
        <f t="shared" si="7"/>
        <v>13-15N-12W</v>
      </c>
      <c r="G284">
        <v>2</v>
      </c>
    </row>
    <row r="285" spans="1:7" x14ac:dyDescent="0.25">
      <c r="A285">
        <v>14</v>
      </c>
      <c r="B285" s="2" t="s">
        <v>28</v>
      </c>
      <c r="C285" t="s">
        <v>19</v>
      </c>
      <c r="D285" s="2" t="s">
        <v>28</v>
      </c>
      <c r="E285" s="2" t="s">
        <v>25</v>
      </c>
      <c r="F285" s="3" t="str">
        <f t="shared" si="7"/>
        <v>14-15N-12W</v>
      </c>
      <c r="G285">
        <v>2</v>
      </c>
    </row>
    <row r="286" spans="1:7" x14ac:dyDescent="0.25">
      <c r="A286">
        <v>15</v>
      </c>
      <c r="B286" s="2" t="s">
        <v>28</v>
      </c>
      <c r="C286" t="s">
        <v>19</v>
      </c>
      <c r="D286" s="2" t="s">
        <v>28</v>
      </c>
      <c r="E286" s="2" t="s">
        <v>25</v>
      </c>
      <c r="F286" s="3" t="str">
        <f t="shared" si="7"/>
        <v>15-15N-12W</v>
      </c>
      <c r="G286">
        <v>2</v>
      </c>
    </row>
    <row r="287" spans="1:7" x14ac:dyDescent="0.25">
      <c r="A287">
        <v>16</v>
      </c>
      <c r="B287" s="2" t="s">
        <v>28</v>
      </c>
      <c r="C287" t="s">
        <v>19</v>
      </c>
      <c r="D287" s="2" t="s">
        <v>28</v>
      </c>
      <c r="E287" s="2" t="s">
        <v>25</v>
      </c>
      <c r="F287" s="3" t="str">
        <f t="shared" si="7"/>
        <v>16-15N-12W</v>
      </c>
      <c r="G287">
        <v>2</v>
      </c>
    </row>
    <row r="288" spans="1:7" x14ac:dyDescent="0.25">
      <c r="A288">
        <v>17</v>
      </c>
      <c r="B288" s="2" t="s">
        <v>28</v>
      </c>
      <c r="C288" t="s">
        <v>19</v>
      </c>
      <c r="D288" s="2" t="s">
        <v>28</v>
      </c>
      <c r="E288" s="2" t="s">
        <v>25</v>
      </c>
      <c r="F288" s="3" t="str">
        <f t="shared" si="7"/>
        <v>17-15N-12W</v>
      </c>
      <c r="G288">
        <v>2</v>
      </c>
    </row>
    <row r="289" spans="1:7" x14ac:dyDescent="0.25">
      <c r="A289">
        <v>20</v>
      </c>
      <c r="B289" s="2" t="s">
        <v>28</v>
      </c>
      <c r="C289" t="s">
        <v>19</v>
      </c>
      <c r="D289" s="2" t="s">
        <v>28</v>
      </c>
      <c r="E289" s="2" t="s">
        <v>25</v>
      </c>
      <c r="F289" s="3" t="str">
        <f t="shared" si="7"/>
        <v>20-15N-12W</v>
      </c>
      <c r="G289">
        <v>2</v>
      </c>
    </row>
    <row r="290" spans="1:7" x14ac:dyDescent="0.25">
      <c r="A290">
        <v>21</v>
      </c>
      <c r="B290" s="2" t="s">
        <v>28</v>
      </c>
      <c r="C290" t="s">
        <v>19</v>
      </c>
      <c r="D290" s="2" t="s">
        <v>28</v>
      </c>
      <c r="E290" s="2" t="s">
        <v>25</v>
      </c>
      <c r="F290" s="3" t="str">
        <f t="shared" si="7"/>
        <v>21-15N-12W</v>
      </c>
      <c r="G290">
        <v>2</v>
      </c>
    </row>
    <row r="291" spans="1:7" x14ac:dyDescent="0.25">
      <c r="A291">
        <v>22</v>
      </c>
      <c r="B291" s="2" t="s">
        <v>28</v>
      </c>
      <c r="C291" t="s">
        <v>19</v>
      </c>
      <c r="D291" s="2" t="s">
        <v>28</v>
      </c>
      <c r="E291" s="2" t="s">
        <v>25</v>
      </c>
      <c r="F291" s="3" t="str">
        <f t="shared" si="7"/>
        <v>22-15N-12W</v>
      </c>
      <c r="G291">
        <v>2</v>
      </c>
    </row>
    <row r="292" spans="1:7" x14ac:dyDescent="0.25">
      <c r="A292">
        <v>23</v>
      </c>
      <c r="B292" s="2" t="s">
        <v>28</v>
      </c>
      <c r="C292" t="s">
        <v>19</v>
      </c>
      <c r="D292" s="2" t="s">
        <v>28</v>
      </c>
      <c r="E292" s="2" t="s">
        <v>25</v>
      </c>
      <c r="F292" s="3" t="str">
        <f t="shared" si="7"/>
        <v>23-15N-12W</v>
      </c>
      <c r="G292">
        <v>2</v>
      </c>
    </row>
    <row r="293" spans="1:7" x14ac:dyDescent="0.25">
      <c r="A293">
        <v>24</v>
      </c>
      <c r="B293" s="2" t="s">
        <v>28</v>
      </c>
      <c r="C293" t="s">
        <v>19</v>
      </c>
      <c r="D293" s="2" t="s">
        <v>28</v>
      </c>
      <c r="E293" s="2" t="s">
        <v>25</v>
      </c>
      <c r="F293" s="3" t="str">
        <f t="shared" si="7"/>
        <v>24-15N-12W</v>
      </c>
      <c r="G293">
        <v>2</v>
      </c>
    </row>
    <row r="294" spans="1:7" x14ac:dyDescent="0.25">
      <c r="A294">
        <v>25</v>
      </c>
      <c r="B294" s="2" t="s">
        <v>28</v>
      </c>
      <c r="C294" t="s">
        <v>19</v>
      </c>
      <c r="D294" s="2" t="s">
        <v>28</v>
      </c>
      <c r="E294" s="2" t="s">
        <v>25</v>
      </c>
      <c r="F294" s="3" t="str">
        <f t="shared" si="7"/>
        <v>25-15N-12W</v>
      </c>
      <c r="G294">
        <v>2</v>
      </c>
    </row>
    <row r="295" spans="1:7" x14ac:dyDescent="0.25">
      <c r="A295">
        <v>26</v>
      </c>
      <c r="B295" s="2" t="s">
        <v>28</v>
      </c>
      <c r="C295" t="s">
        <v>19</v>
      </c>
      <c r="D295" s="2" t="s">
        <v>28</v>
      </c>
      <c r="E295" s="2" t="s">
        <v>25</v>
      </c>
      <c r="F295" s="3" t="str">
        <f t="shared" si="7"/>
        <v>26-15N-12W</v>
      </c>
      <c r="G295">
        <v>2</v>
      </c>
    </row>
    <row r="296" spans="1:7" x14ac:dyDescent="0.25">
      <c r="A296">
        <v>27</v>
      </c>
      <c r="B296" s="2" t="s">
        <v>28</v>
      </c>
      <c r="C296" t="s">
        <v>19</v>
      </c>
      <c r="D296" s="2" t="s">
        <v>28</v>
      </c>
      <c r="E296" s="2" t="s">
        <v>25</v>
      </c>
      <c r="F296" s="3" t="str">
        <f t="shared" si="7"/>
        <v>27-15N-12W</v>
      </c>
      <c r="G296">
        <v>2</v>
      </c>
    </row>
    <row r="297" spans="1:7" x14ac:dyDescent="0.25">
      <c r="A297">
        <v>28</v>
      </c>
      <c r="B297" s="2" t="s">
        <v>28</v>
      </c>
      <c r="C297" t="s">
        <v>19</v>
      </c>
      <c r="D297" s="2" t="s">
        <v>28</v>
      </c>
      <c r="E297" s="2" t="s">
        <v>25</v>
      </c>
      <c r="F297" s="3" t="str">
        <f t="shared" si="7"/>
        <v>28-15N-12W</v>
      </c>
      <c r="G297">
        <v>2</v>
      </c>
    </row>
    <row r="298" spans="1:7" x14ac:dyDescent="0.25">
      <c r="A298">
        <v>29</v>
      </c>
      <c r="B298" s="2" t="s">
        <v>28</v>
      </c>
      <c r="C298" t="s">
        <v>19</v>
      </c>
      <c r="D298" s="2" t="s">
        <v>28</v>
      </c>
      <c r="E298" s="2" t="s">
        <v>25</v>
      </c>
      <c r="F298" s="3" t="str">
        <f t="shared" si="7"/>
        <v>29-15N-12W</v>
      </c>
      <c r="G298">
        <v>2</v>
      </c>
    </row>
    <row r="299" spans="1:7" x14ac:dyDescent="0.25">
      <c r="A299">
        <v>32</v>
      </c>
      <c r="B299" s="2" t="s">
        <v>28</v>
      </c>
      <c r="C299" t="s">
        <v>19</v>
      </c>
      <c r="D299" s="2" t="s">
        <v>28</v>
      </c>
      <c r="E299" s="2" t="s">
        <v>25</v>
      </c>
      <c r="F299" s="3" t="str">
        <f t="shared" si="7"/>
        <v>32-15N-12W</v>
      </c>
      <c r="G299">
        <v>2</v>
      </c>
    </row>
    <row r="300" spans="1:7" x14ac:dyDescent="0.25">
      <c r="A300">
        <v>33</v>
      </c>
      <c r="B300" s="2" t="s">
        <v>28</v>
      </c>
      <c r="C300" t="s">
        <v>19</v>
      </c>
      <c r="D300" s="2" t="s">
        <v>28</v>
      </c>
      <c r="E300" s="2" t="s">
        <v>25</v>
      </c>
      <c r="F300" s="3" t="str">
        <f t="shared" si="7"/>
        <v>33-15N-12W</v>
      </c>
      <c r="G300">
        <v>2</v>
      </c>
    </row>
    <row r="301" spans="1:7" x14ac:dyDescent="0.25">
      <c r="A301">
        <v>34</v>
      </c>
      <c r="B301" s="2" t="s">
        <v>28</v>
      </c>
      <c r="C301" t="s">
        <v>19</v>
      </c>
      <c r="D301" s="2" t="s">
        <v>28</v>
      </c>
      <c r="E301" s="2" t="s">
        <v>25</v>
      </c>
      <c r="F301" s="3" t="str">
        <f t="shared" si="7"/>
        <v>34-15N-12W</v>
      </c>
      <c r="G301">
        <v>2</v>
      </c>
    </row>
    <row r="302" spans="1:7" x14ac:dyDescent="0.25">
      <c r="A302">
        <v>35</v>
      </c>
      <c r="B302" s="2" t="s">
        <v>28</v>
      </c>
      <c r="C302" t="s">
        <v>19</v>
      </c>
      <c r="D302" s="2" t="s">
        <v>28</v>
      </c>
      <c r="E302" s="2" t="s">
        <v>25</v>
      </c>
      <c r="F302" s="3" t="str">
        <f t="shared" si="7"/>
        <v>35-15N-12W</v>
      </c>
      <c r="G302">
        <v>2</v>
      </c>
    </row>
    <row r="303" spans="1:7" x14ac:dyDescent="0.25">
      <c r="A303">
        <v>36</v>
      </c>
      <c r="B303" s="2" t="s">
        <v>28</v>
      </c>
      <c r="C303" t="s">
        <v>19</v>
      </c>
      <c r="D303" s="2" t="s">
        <v>28</v>
      </c>
      <c r="E303" s="2" t="s">
        <v>25</v>
      </c>
      <c r="F303" s="3" t="str">
        <f t="shared" si="7"/>
        <v>36-15N-12W</v>
      </c>
      <c r="G303">
        <v>2</v>
      </c>
    </row>
    <row r="304" spans="1:7" x14ac:dyDescent="0.25">
      <c r="A304" s="4" t="s">
        <v>29</v>
      </c>
      <c r="B304" s="2" t="s">
        <v>28</v>
      </c>
      <c r="C304" s="2" t="s">
        <v>21</v>
      </c>
      <c r="D304" s="2" t="s">
        <v>28</v>
      </c>
      <c r="E304" s="2" t="s">
        <v>25</v>
      </c>
      <c r="F304" s="4" t="str">
        <f t="shared" ref="F304:F328" si="8">_xlfn.CONCAT(A304:E304)</f>
        <v>01-14N-12W</v>
      </c>
      <c r="G304" s="2">
        <v>2</v>
      </c>
    </row>
    <row r="305" spans="1:7" x14ac:dyDescent="0.25">
      <c r="A305" s="4" t="s">
        <v>30</v>
      </c>
      <c r="B305" s="2" t="s">
        <v>28</v>
      </c>
      <c r="C305" s="2" t="s">
        <v>21</v>
      </c>
      <c r="D305" s="2" t="s">
        <v>28</v>
      </c>
      <c r="E305" s="2" t="s">
        <v>25</v>
      </c>
      <c r="F305" s="4" t="str">
        <f t="shared" si="8"/>
        <v>02-14N-12W</v>
      </c>
      <c r="G305" s="2">
        <v>2</v>
      </c>
    </row>
    <row r="306" spans="1:7" x14ac:dyDescent="0.25">
      <c r="A306" s="4" t="s">
        <v>31</v>
      </c>
      <c r="B306" s="2" t="s">
        <v>28</v>
      </c>
      <c r="C306" s="2" t="s">
        <v>21</v>
      </c>
      <c r="D306" s="2" t="s">
        <v>28</v>
      </c>
      <c r="E306" s="2" t="s">
        <v>25</v>
      </c>
      <c r="F306" s="4" t="str">
        <f t="shared" si="8"/>
        <v>03-14N-12W</v>
      </c>
      <c r="G306" s="2">
        <v>2</v>
      </c>
    </row>
    <row r="307" spans="1:7" x14ac:dyDescent="0.25">
      <c r="A307" s="4" t="s">
        <v>32</v>
      </c>
      <c r="B307" s="2" t="s">
        <v>28</v>
      </c>
      <c r="C307" s="2" t="s">
        <v>21</v>
      </c>
      <c r="D307" s="2" t="s">
        <v>28</v>
      </c>
      <c r="E307" s="2" t="s">
        <v>25</v>
      </c>
      <c r="F307" s="4" t="str">
        <f t="shared" si="8"/>
        <v>04-14N-12W</v>
      </c>
      <c r="G307" s="2">
        <v>2</v>
      </c>
    </row>
    <row r="308" spans="1:7" x14ac:dyDescent="0.25">
      <c r="A308" s="4" t="s">
        <v>33</v>
      </c>
      <c r="B308" s="2" t="s">
        <v>28</v>
      </c>
      <c r="C308" s="2" t="s">
        <v>21</v>
      </c>
      <c r="D308" s="2" t="s">
        <v>28</v>
      </c>
      <c r="E308" s="2" t="s">
        <v>25</v>
      </c>
      <c r="F308" s="4" t="str">
        <f t="shared" si="8"/>
        <v>05-14N-12W</v>
      </c>
      <c r="G308" s="2">
        <v>2</v>
      </c>
    </row>
    <row r="309" spans="1:7" x14ac:dyDescent="0.25">
      <c r="A309" s="4" t="s">
        <v>36</v>
      </c>
      <c r="B309" s="2" t="s">
        <v>28</v>
      </c>
      <c r="C309" s="2" t="s">
        <v>21</v>
      </c>
      <c r="D309" s="2" t="s">
        <v>28</v>
      </c>
      <c r="E309" s="2" t="s">
        <v>25</v>
      </c>
      <c r="F309" s="4" t="str">
        <f t="shared" si="8"/>
        <v>08-14N-12W</v>
      </c>
      <c r="G309" s="2">
        <v>2</v>
      </c>
    </row>
    <row r="310" spans="1:7" x14ac:dyDescent="0.25">
      <c r="A310" s="4" t="s">
        <v>37</v>
      </c>
      <c r="B310" s="2" t="s">
        <v>28</v>
      </c>
      <c r="C310" s="2" t="s">
        <v>21</v>
      </c>
      <c r="D310" s="2" t="s">
        <v>28</v>
      </c>
      <c r="E310" s="2" t="s">
        <v>25</v>
      </c>
      <c r="F310" s="4" t="str">
        <f t="shared" si="8"/>
        <v>09-14N-12W</v>
      </c>
      <c r="G310" s="2">
        <v>2</v>
      </c>
    </row>
    <row r="311" spans="1:7" x14ac:dyDescent="0.25">
      <c r="A311" s="2">
        <v>10</v>
      </c>
      <c r="B311" s="2" t="s">
        <v>28</v>
      </c>
      <c r="C311" s="2" t="s">
        <v>21</v>
      </c>
      <c r="D311" s="2" t="s">
        <v>28</v>
      </c>
      <c r="E311" s="2" t="s">
        <v>25</v>
      </c>
      <c r="F311" s="4" t="str">
        <f t="shared" si="8"/>
        <v>10-14N-12W</v>
      </c>
      <c r="G311" s="2">
        <v>2</v>
      </c>
    </row>
    <row r="312" spans="1:7" x14ac:dyDescent="0.25">
      <c r="A312" s="2">
        <v>11</v>
      </c>
      <c r="B312" s="2" t="s">
        <v>28</v>
      </c>
      <c r="C312" s="2" t="s">
        <v>21</v>
      </c>
      <c r="D312" s="2" t="s">
        <v>28</v>
      </c>
      <c r="E312" s="2" t="s">
        <v>25</v>
      </c>
      <c r="F312" s="4" t="str">
        <f t="shared" si="8"/>
        <v>11-14N-12W</v>
      </c>
      <c r="G312" s="2">
        <v>2</v>
      </c>
    </row>
    <row r="313" spans="1:7" x14ac:dyDescent="0.25">
      <c r="A313" s="2">
        <v>12</v>
      </c>
      <c r="B313" s="2" t="s">
        <v>28</v>
      </c>
      <c r="C313" s="2" t="s">
        <v>21</v>
      </c>
      <c r="D313" s="2" t="s">
        <v>28</v>
      </c>
      <c r="E313" s="2" t="s">
        <v>25</v>
      </c>
      <c r="F313" s="4" t="str">
        <f t="shared" si="8"/>
        <v>12-14N-12W</v>
      </c>
      <c r="G313" s="2">
        <v>2</v>
      </c>
    </row>
    <row r="314" spans="1:7" x14ac:dyDescent="0.25">
      <c r="A314" s="2">
        <v>13</v>
      </c>
      <c r="B314" s="2" t="s">
        <v>28</v>
      </c>
      <c r="C314" s="2" t="s">
        <v>21</v>
      </c>
      <c r="D314" s="2" t="s">
        <v>28</v>
      </c>
      <c r="E314" s="2" t="s">
        <v>25</v>
      </c>
      <c r="F314" s="4" t="str">
        <f t="shared" si="8"/>
        <v>13-14N-12W</v>
      </c>
      <c r="G314" s="2">
        <v>2</v>
      </c>
    </row>
    <row r="315" spans="1:7" x14ac:dyDescent="0.25">
      <c r="A315" s="2">
        <v>14</v>
      </c>
      <c r="B315" s="2" t="s">
        <v>28</v>
      </c>
      <c r="C315" s="2" t="s">
        <v>21</v>
      </c>
      <c r="D315" s="2" t="s">
        <v>28</v>
      </c>
      <c r="E315" s="2" t="s">
        <v>25</v>
      </c>
      <c r="F315" s="4" t="str">
        <f t="shared" si="8"/>
        <v>14-14N-12W</v>
      </c>
      <c r="G315" s="2">
        <v>2</v>
      </c>
    </row>
    <row r="316" spans="1:7" x14ac:dyDescent="0.25">
      <c r="A316" s="2">
        <v>15</v>
      </c>
      <c r="B316" s="2" t="s">
        <v>28</v>
      </c>
      <c r="C316" s="2" t="s">
        <v>21</v>
      </c>
      <c r="D316" s="2" t="s">
        <v>28</v>
      </c>
      <c r="E316" s="2" t="s">
        <v>25</v>
      </c>
      <c r="F316" s="4" t="str">
        <f t="shared" si="8"/>
        <v>15-14N-12W</v>
      </c>
      <c r="G316" s="2">
        <v>2</v>
      </c>
    </row>
    <row r="317" spans="1:7" x14ac:dyDescent="0.25">
      <c r="A317" s="2">
        <v>16</v>
      </c>
      <c r="B317" s="2" t="s">
        <v>28</v>
      </c>
      <c r="C317" s="2" t="s">
        <v>21</v>
      </c>
      <c r="D317" s="2" t="s">
        <v>28</v>
      </c>
      <c r="E317" s="2" t="s">
        <v>25</v>
      </c>
      <c r="F317" s="4" t="str">
        <f t="shared" si="8"/>
        <v>16-14N-12W</v>
      </c>
      <c r="G317" s="2">
        <v>2</v>
      </c>
    </row>
    <row r="318" spans="1:7" x14ac:dyDescent="0.25">
      <c r="A318" s="2">
        <v>17</v>
      </c>
      <c r="B318" s="2" t="s">
        <v>28</v>
      </c>
      <c r="C318" s="2" t="s">
        <v>21</v>
      </c>
      <c r="D318" s="2" t="s">
        <v>28</v>
      </c>
      <c r="E318" s="2" t="s">
        <v>25</v>
      </c>
      <c r="F318" s="4" t="str">
        <f t="shared" si="8"/>
        <v>17-14N-12W</v>
      </c>
      <c r="G318" s="2">
        <v>2</v>
      </c>
    </row>
    <row r="319" spans="1:7" x14ac:dyDescent="0.25">
      <c r="A319" s="2">
        <v>20</v>
      </c>
      <c r="B319" s="2" t="s">
        <v>28</v>
      </c>
      <c r="C319" s="2" t="s">
        <v>21</v>
      </c>
      <c r="D319" s="2" t="s">
        <v>28</v>
      </c>
      <c r="E319" s="2" t="s">
        <v>25</v>
      </c>
      <c r="F319" s="4" t="str">
        <f t="shared" si="8"/>
        <v>20-14N-12W</v>
      </c>
      <c r="G319" s="2">
        <v>2</v>
      </c>
    </row>
    <row r="320" spans="1:7" x14ac:dyDescent="0.25">
      <c r="A320" s="2">
        <v>21</v>
      </c>
      <c r="B320" s="2" t="s">
        <v>28</v>
      </c>
      <c r="C320" s="2" t="s">
        <v>21</v>
      </c>
      <c r="D320" s="2" t="s">
        <v>28</v>
      </c>
      <c r="E320" s="2" t="s">
        <v>25</v>
      </c>
      <c r="F320" s="4" t="str">
        <f t="shared" si="8"/>
        <v>21-14N-12W</v>
      </c>
      <c r="G320" s="2">
        <v>2</v>
      </c>
    </row>
    <row r="321" spans="1:7" x14ac:dyDescent="0.25">
      <c r="A321" s="2">
        <v>22</v>
      </c>
      <c r="B321" s="2" t="s">
        <v>28</v>
      </c>
      <c r="C321" s="2" t="s">
        <v>21</v>
      </c>
      <c r="D321" s="2" t="s">
        <v>28</v>
      </c>
      <c r="E321" s="2" t="s">
        <v>25</v>
      </c>
      <c r="F321" s="4" t="str">
        <f t="shared" si="8"/>
        <v>22-14N-12W</v>
      </c>
      <c r="G321" s="2">
        <v>2</v>
      </c>
    </row>
    <row r="322" spans="1:7" x14ac:dyDescent="0.25">
      <c r="A322" s="2">
        <v>23</v>
      </c>
      <c r="B322" s="2" t="s">
        <v>28</v>
      </c>
      <c r="C322" s="2" t="s">
        <v>21</v>
      </c>
      <c r="D322" s="2" t="s">
        <v>28</v>
      </c>
      <c r="E322" s="2" t="s">
        <v>25</v>
      </c>
      <c r="F322" s="4" t="str">
        <f t="shared" si="8"/>
        <v>23-14N-12W</v>
      </c>
      <c r="G322" s="2">
        <v>2</v>
      </c>
    </row>
    <row r="323" spans="1:7" x14ac:dyDescent="0.25">
      <c r="A323" s="2">
        <v>24</v>
      </c>
      <c r="B323" s="2" t="s">
        <v>28</v>
      </c>
      <c r="C323" s="2" t="s">
        <v>21</v>
      </c>
      <c r="D323" s="2" t="s">
        <v>28</v>
      </c>
      <c r="E323" s="2" t="s">
        <v>25</v>
      </c>
      <c r="F323" s="4" t="str">
        <f t="shared" si="8"/>
        <v>24-14N-12W</v>
      </c>
      <c r="G323" s="2">
        <v>2</v>
      </c>
    </row>
    <row r="324" spans="1:7" x14ac:dyDescent="0.25">
      <c r="A324" s="2">
        <v>25</v>
      </c>
      <c r="B324" s="2" t="s">
        <v>28</v>
      </c>
      <c r="C324" s="2" t="s">
        <v>21</v>
      </c>
      <c r="D324" s="2" t="s">
        <v>28</v>
      </c>
      <c r="E324" s="2" t="s">
        <v>25</v>
      </c>
      <c r="F324" s="4" t="str">
        <f t="shared" si="8"/>
        <v>25-14N-12W</v>
      </c>
      <c r="G324" s="2">
        <v>2</v>
      </c>
    </row>
    <row r="325" spans="1:7" x14ac:dyDescent="0.25">
      <c r="A325" s="2">
        <v>26</v>
      </c>
      <c r="B325" s="2" t="s">
        <v>28</v>
      </c>
      <c r="C325" s="2" t="s">
        <v>21</v>
      </c>
      <c r="D325" s="2" t="s">
        <v>28</v>
      </c>
      <c r="E325" s="2" t="s">
        <v>25</v>
      </c>
      <c r="F325" s="4" t="str">
        <f t="shared" si="8"/>
        <v>26-14N-12W</v>
      </c>
      <c r="G325" s="2">
        <v>2</v>
      </c>
    </row>
    <row r="326" spans="1:7" x14ac:dyDescent="0.25">
      <c r="A326" s="2">
        <v>27</v>
      </c>
      <c r="B326" s="2" t="s">
        <v>28</v>
      </c>
      <c r="C326" s="2" t="s">
        <v>21</v>
      </c>
      <c r="D326" s="2" t="s">
        <v>28</v>
      </c>
      <c r="E326" s="2" t="s">
        <v>25</v>
      </c>
      <c r="F326" s="4" t="str">
        <f t="shared" si="8"/>
        <v>27-14N-12W</v>
      </c>
      <c r="G326" s="2">
        <v>2</v>
      </c>
    </row>
    <row r="327" spans="1:7" x14ac:dyDescent="0.25">
      <c r="A327" s="2">
        <v>28</v>
      </c>
      <c r="B327" s="2" t="s">
        <v>28</v>
      </c>
      <c r="C327" s="2" t="s">
        <v>21</v>
      </c>
      <c r="D327" s="2" t="s">
        <v>28</v>
      </c>
      <c r="E327" s="2" t="s">
        <v>25</v>
      </c>
      <c r="F327" s="4" t="str">
        <f t="shared" si="8"/>
        <v>28-14N-12W</v>
      </c>
      <c r="G327" s="2">
        <v>2</v>
      </c>
    </row>
    <row r="328" spans="1:7" x14ac:dyDescent="0.25">
      <c r="A328" s="2">
        <v>29</v>
      </c>
      <c r="B328" s="2" t="s">
        <v>28</v>
      </c>
      <c r="C328" s="2" t="s">
        <v>21</v>
      </c>
      <c r="D328" s="2" t="s">
        <v>28</v>
      </c>
      <c r="E328" s="2" t="s">
        <v>25</v>
      </c>
      <c r="F328" s="4" t="str">
        <f t="shared" si="8"/>
        <v>29-14N-12W</v>
      </c>
      <c r="G328" s="2">
        <v>2</v>
      </c>
    </row>
    <row r="329" spans="1:7" x14ac:dyDescent="0.25">
      <c r="A329" s="4" t="s">
        <v>35</v>
      </c>
      <c r="B329" s="2" t="s">
        <v>28</v>
      </c>
      <c r="C329" s="2" t="s">
        <v>21</v>
      </c>
      <c r="D329" s="2" t="s">
        <v>28</v>
      </c>
      <c r="E329" s="2" t="s">
        <v>22</v>
      </c>
      <c r="F329" s="4" t="str">
        <f t="shared" ref="F329:F352" si="9">_xlfn.CONCAT(A329:E329)</f>
        <v>07-14N-11W</v>
      </c>
      <c r="G329" s="2">
        <v>2</v>
      </c>
    </row>
    <row r="330" spans="1:7" x14ac:dyDescent="0.25">
      <c r="A330" s="4" t="s">
        <v>36</v>
      </c>
      <c r="B330" s="2" t="s">
        <v>28</v>
      </c>
      <c r="C330" s="2" t="s">
        <v>21</v>
      </c>
      <c r="D330" s="2" t="s">
        <v>28</v>
      </c>
      <c r="E330" s="2" t="s">
        <v>22</v>
      </c>
      <c r="F330" s="4" t="str">
        <f t="shared" si="9"/>
        <v>08-14N-11W</v>
      </c>
      <c r="G330" s="2">
        <v>2</v>
      </c>
    </row>
    <row r="331" spans="1:7" x14ac:dyDescent="0.25">
      <c r="A331" s="4" t="s">
        <v>37</v>
      </c>
      <c r="B331" s="2" t="s">
        <v>28</v>
      </c>
      <c r="C331" s="2" t="s">
        <v>21</v>
      </c>
      <c r="D331" s="2" t="s">
        <v>28</v>
      </c>
      <c r="E331" s="2" t="s">
        <v>22</v>
      </c>
      <c r="F331" s="4" t="str">
        <f t="shared" si="9"/>
        <v>09-14N-11W</v>
      </c>
      <c r="G331" s="2">
        <v>2</v>
      </c>
    </row>
    <row r="332" spans="1:7" x14ac:dyDescent="0.25">
      <c r="A332">
        <v>10</v>
      </c>
      <c r="B332" s="2" t="s">
        <v>28</v>
      </c>
      <c r="C332" s="2" t="s">
        <v>21</v>
      </c>
      <c r="D332" s="2" t="s">
        <v>28</v>
      </c>
      <c r="E332" s="2" t="s">
        <v>22</v>
      </c>
      <c r="F332" s="4" t="str">
        <f t="shared" si="9"/>
        <v>10-14N-11W</v>
      </c>
      <c r="G332" s="2">
        <v>2</v>
      </c>
    </row>
    <row r="333" spans="1:7" x14ac:dyDescent="0.25">
      <c r="A333">
        <v>11</v>
      </c>
      <c r="B333" s="2" t="s">
        <v>28</v>
      </c>
      <c r="C333" s="2" t="s">
        <v>21</v>
      </c>
      <c r="D333" s="2" t="s">
        <v>28</v>
      </c>
      <c r="E333" s="2" t="s">
        <v>22</v>
      </c>
      <c r="F333" s="4" t="str">
        <f t="shared" si="9"/>
        <v>11-14N-11W</v>
      </c>
      <c r="G333" s="2">
        <v>2</v>
      </c>
    </row>
    <row r="334" spans="1:7" x14ac:dyDescent="0.25">
      <c r="A334">
        <v>12</v>
      </c>
      <c r="B334" s="2" t="s">
        <v>28</v>
      </c>
      <c r="C334" s="2" t="s">
        <v>21</v>
      </c>
      <c r="D334" s="2" t="s">
        <v>28</v>
      </c>
      <c r="E334" s="2" t="s">
        <v>22</v>
      </c>
      <c r="F334" s="4" t="str">
        <f t="shared" si="9"/>
        <v>12-14N-11W</v>
      </c>
      <c r="G334" s="2">
        <v>2</v>
      </c>
    </row>
    <row r="335" spans="1:7" x14ac:dyDescent="0.25">
      <c r="A335">
        <v>13</v>
      </c>
      <c r="B335" s="2" t="s">
        <v>28</v>
      </c>
      <c r="C335" s="2" t="s">
        <v>21</v>
      </c>
      <c r="D335" s="2" t="s">
        <v>28</v>
      </c>
      <c r="E335" s="2" t="s">
        <v>22</v>
      </c>
      <c r="F335" s="4" t="str">
        <f t="shared" si="9"/>
        <v>13-14N-11W</v>
      </c>
      <c r="G335" s="2">
        <v>2</v>
      </c>
    </row>
    <row r="336" spans="1:7" x14ac:dyDescent="0.25">
      <c r="A336">
        <v>14</v>
      </c>
      <c r="B336" s="2" t="s">
        <v>28</v>
      </c>
      <c r="C336" s="2" t="s">
        <v>21</v>
      </c>
      <c r="D336" s="2" t="s">
        <v>28</v>
      </c>
      <c r="E336" s="2" t="s">
        <v>22</v>
      </c>
      <c r="F336" s="4" t="str">
        <f t="shared" si="9"/>
        <v>14-14N-11W</v>
      </c>
      <c r="G336" s="2">
        <v>2</v>
      </c>
    </row>
    <row r="337" spans="1:7" x14ac:dyDescent="0.25">
      <c r="A337">
        <v>15</v>
      </c>
      <c r="B337" s="2" t="s">
        <v>28</v>
      </c>
      <c r="C337" s="2" t="s">
        <v>21</v>
      </c>
      <c r="D337" s="2" t="s">
        <v>28</v>
      </c>
      <c r="E337" s="2" t="s">
        <v>22</v>
      </c>
      <c r="F337" s="4" t="str">
        <f t="shared" si="9"/>
        <v>15-14N-11W</v>
      </c>
      <c r="G337" s="2">
        <v>2</v>
      </c>
    </row>
    <row r="338" spans="1:7" x14ac:dyDescent="0.25">
      <c r="A338">
        <v>16</v>
      </c>
      <c r="B338" s="2" t="s">
        <v>28</v>
      </c>
      <c r="C338" s="2" t="s">
        <v>21</v>
      </c>
      <c r="D338" s="2" t="s">
        <v>28</v>
      </c>
      <c r="E338" s="2" t="s">
        <v>22</v>
      </c>
      <c r="F338" s="4" t="str">
        <f t="shared" si="9"/>
        <v>16-14N-11W</v>
      </c>
      <c r="G338" s="2">
        <v>2</v>
      </c>
    </row>
    <row r="339" spans="1:7" x14ac:dyDescent="0.25">
      <c r="A339">
        <v>17</v>
      </c>
      <c r="B339" s="2" t="s">
        <v>28</v>
      </c>
      <c r="C339" s="2" t="s">
        <v>21</v>
      </c>
      <c r="D339" s="2" t="s">
        <v>28</v>
      </c>
      <c r="E339" s="2" t="s">
        <v>22</v>
      </c>
      <c r="F339" s="4" t="str">
        <f t="shared" si="9"/>
        <v>17-14N-11W</v>
      </c>
      <c r="G339" s="2">
        <v>2</v>
      </c>
    </row>
    <row r="340" spans="1:7" x14ac:dyDescent="0.25">
      <c r="A340">
        <v>18</v>
      </c>
      <c r="B340" s="2" t="s">
        <v>28</v>
      </c>
      <c r="C340" s="2" t="s">
        <v>21</v>
      </c>
      <c r="D340" s="2" t="s">
        <v>28</v>
      </c>
      <c r="E340" s="2" t="s">
        <v>22</v>
      </c>
      <c r="F340" s="4" t="str">
        <f t="shared" si="9"/>
        <v>18-14N-11W</v>
      </c>
      <c r="G340" s="2">
        <v>2</v>
      </c>
    </row>
    <row r="341" spans="1:7" x14ac:dyDescent="0.25">
      <c r="A341">
        <v>19</v>
      </c>
      <c r="B341" s="2" t="s">
        <v>28</v>
      </c>
      <c r="C341" s="2" t="s">
        <v>21</v>
      </c>
      <c r="D341" s="2" t="s">
        <v>28</v>
      </c>
      <c r="E341" s="2" t="s">
        <v>22</v>
      </c>
      <c r="F341" s="4" t="str">
        <f t="shared" si="9"/>
        <v>19-14N-11W</v>
      </c>
      <c r="G341" s="2">
        <v>2</v>
      </c>
    </row>
    <row r="342" spans="1:7" x14ac:dyDescent="0.25">
      <c r="A342">
        <v>20</v>
      </c>
      <c r="B342" s="2" t="s">
        <v>28</v>
      </c>
      <c r="C342" s="2" t="s">
        <v>21</v>
      </c>
      <c r="D342" s="2" t="s">
        <v>28</v>
      </c>
      <c r="E342" s="2" t="s">
        <v>22</v>
      </c>
      <c r="F342" s="4" t="str">
        <f t="shared" si="9"/>
        <v>20-14N-11W</v>
      </c>
      <c r="G342" s="2">
        <v>2</v>
      </c>
    </row>
    <row r="343" spans="1:7" x14ac:dyDescent="0.25">
      <c r="A343">
        <v>21</v>
      </c>
      <c r="B343" s="2" t="s">
        <v>28</v>
      </c>
      <c r="C343" s="2" t="s">
        <v>21</v>
      </c>
      <c r="D343" s="2" t="s">
        <v>28</v>
      </c>
      <c r="E343" s="2" t="s">
        <v>22</v>
      </c>
      <c r="F343" s="4" t="str">
        <f t="shared" si="9"/>
        <v>21-14N-11W</v>
      </c>
      <c r="G343" s="2">
        <v>2</v>
      </c>
    </row>
    <row r="344" spans="1:7" x14ac:dyDescent="0.25">
      <c r="A344">
        <v>22</v>
      </c>
      <c r="B344" s="2" t="s">
        <v>28</v>
      </c>
      <c r="C344" s="2" t="s">
        <v>21</v>
      </c>
      <c r="D344" s="2" t="s">
        <v>28</v>
      </c>
      <c r="E344" s="2" t="s">
        <v>22</v>
      </c>
      <c r="F344" s="4" t="str">
        <f t="shared" si="9"/>
        <v>22-14N-11W</v>
      </c>
      <c r="G344" s="2">
        <v>2</v>
      </c>
    </row>
    <row r="345" spans="1:7" x14ac:dyDescent="0.25">
      <c r="A345">
        <v>23</v>
      </c>
      <c r="B345" s="2" t="s">
        <v>28</v>
      </c>
      <c r="C345" s="2" t="s">
        <v>21</v>
      </c>
      <c r="D345" s="2" t="s">
        <v>28</v>
      </c>
      <c r="E345" s="2" t="s">
        <v>22</v>
      </c>
      <c r="F345" s="4" t="str">
        <f t="shared" si="9"/>
        <v>23-14N-11W</v>
      </c>
      <c r="G345" s="2">
        <v>2</v>
      </c>
    </row>
    <row r="346" spans="1:7" x14ac:dyDescent="0.25">
      <c r="A346">
        <v>24</v>
      </c>
      <c r="B346" s="2" t="s">
        <v>28</v>
      </c>
      <c r="C346" s="2" t="s">
        <v>21</v>
      </c>
      <c r="D346" s="2" t="s">
        <v>28</v>
      </c>
      <c r="E346" s="2" t="s">
        <v>22</v>
      </c>
      <c r="F346" s="4" t="str">
        <f t="shared" si="9"/>
        <v>24-14N-11W</v>
      </c>
      <c r="G346" s="2">
        <v>2</v>
      </c>
    </row>
    <row r="347" spans="1:7" x14ac:dyDescent="0.25">
      <c r="A347">
        <v>25</v>
      </c>
      <c r="B347" s="2" t="s">
        <v>28</v>
      </c>
      <c r="C347" s="2" t="s">
        <v>21</v>
      </c>
      <c r="D347" s="2" t="s">
        <v>28</v>
      </c>
      <c r="E347" s="2" t="s">
        <v>22</v>
      </c>
      <c r="F347" s="4" t="str">
        <f t="shared" si="9"/>
        <v>25-14N-11W</v>
      </c>
      <c r="G347" s="2">
        <v>2</v>
      </c>
    </row>
    <row r="348" spans="1:7" x14ac:dyDescent="0.25">
      <c r="A348">
        <v>26</v>
      </c>
      <c r="B348" s="2" t="s">
        <v>28</v>
      </c>
      <c r="C348" s="2" t="s">
        <v>21</v>
      </c>
      <c r="D348" s="2" t="s">
        <v>28</v>
      </c>
      <c r="E348" s="2" t="s">
        <v>22</v>
      </c>
      <c r="F348" s="4" t="str">
        <f t="shared" si="9"/>
        <v>26-14N-11W</v>
      </c>
      <c r="G348" s="2">
        <v>2</v>
      </c>
    </row>
    <row r="349" spans="1:7" x14ac:dyDescent="0.25">
      <c r="A349">
        <v>27</v>
      </c>
      <c r="B349" s="2" t="s">
        <v>28</v>
      </c>
      <c r="C349" s="2" t="s">
        <v>21</v>
      </c>
      <c r="D349" s="2" t="s">
        <v>28</v>
      </c>
      <c r="E349" s="2" t="s">
        <v>22</v>
      </c>
      <c r="F349" s="4" t="str">
        <f t="shared" si="9"/>
        <v>27-14N-11W</v>
      </c>
      <c r="G349" s="2">
        <v>2</v>
      </c>
    </row>
    <row r="350" spans="1:7" x14ac:dyDescent="0.25">
      <c r="A350">
        <v>28</v>
      </c>
      <c r="B350" s="2" t="s">
        <v>28</v>
      </c>
      <c r="C350" s="2" t="s">
        <v>21</v>
      </c>
      <c r="D350" s="2" t="s">
        <v>28</v>
      </c>
      <c r="E350" s="2" t="s">
        <v>22</v>
      </c>
      <c r="F350" s="4" t="str">
        <f t="shared" si="9"/>
        <v>28-14N-11W</v>
      </c>
      <c r="G350" s="2">
        <v>2</v>
      </c>
    </row>
    <row r="351" spans="1:7" x14ac:dyDescent="0.25">
      <c r="A351">
        <v>29</v>
      </c>
      <c r="B351" s="2" t="s">
        <v>28</v>
      </c>
      <c r="C351" s="2" t="s">
        <v>21</v>
      </c>
      <c r="D351" s="2" t="s">
        <v>28</v>
      </c>
      <c r="E351" s="2" t="s">
        <v>22</v>
      </c>
      <c r="F351" s="4" t="str">
        <f t="shared" si="9"/>
        <v>29-14N-11W</v>
      </c>
      <c r="G351" s="2">
        <v>2</v>
      </c>
    </row>
    <row r="352" spans="1:7" x14ac:dyDescent="0.25">
      <c r="A352">
        <v>30</v>
      </c>
      <c r="B352" s="2" t="s">
        <v>28</v>
      </c>
      <c r="C352" s="2" t="s">
        <v>21</v>
      </c>
      <c r="D352" s="2" t="s">
        <v>28</v>
      </c>
      <c r="E352" s="2" t="s">
        <v>22</v>
      </c>
      <c r="F352" s="4" t="str">
        <f t="shared" si="9"/>
        <v>30-14N-11W</v>
      </c>
      <c r="G352" s="2">
        <v>2</v>
      </c>
    </row>
    <row r="353" spans="1:7" x14ac:dyDescent="0.25">
      <c r="A353" s="4" t="s">
        <v>35</v>
      </c>
      <c r="B353" s="2" t="s">
        <v>28</v>
      </c>
      <c r="C353" s="2" t="s">
        <v>21</v>
      </c>
      <c r="D353" s="2" t="s">
        <v>28</v>
      </c>
      <c r="E353" s="2" t="s">
        <v>20</v>
      </c>
      <c r="F353" s="4" t="str">
        <f t="shared" ref="F353:F376" si="10">_xlfn.CONCAT(A353:E353)</f>
        <v>07-14N-10W</v>
      </c>
      <c r="G353" s="2">
        <v>2</v>
      </c>
    </row>
    <row r="354" spans="1:7" x14ac:dyDescent="0.25">
      <c r="A354" s="4" t="s">
        <v>36</v>
      </c>
      <c r="B354" s="2" t="s">
        <v>28</v>
      </c>
      <c r="C354" s="2" t="s">
        <v>21</v>
      </c>
      <c r="D354" s="2" t="s">
        <v>28</v>
      </c>
      <c r="E354" s="2" t="s">
        <v>20</v>
      </c>
      <c r="F354" s="4" t="str">
        <f t="shared" si="10"/>
        <v>08-14N-10W</v>
      </c>
      <c r="G354" s="2">
        <v>2</v>
      </c>
    </row>
    <row r="355" spans="1:7" x14ac:dyDescent="0.25">
      <c r="A355" s="4" t="s">
        <v>37</v>
      </c>
      <c r="B355" s="2" t="s">
        <v>28</v>
      </c>
      <c r="C355" s="2" t="s">
        <v>21</v>
      </c>
      <c r="D355" s="2" t="s">
        <v>28</v>
      </c>
      <c r="E355" s="2" t="s">
        <v>20</v>
      </c>
      <c r="F355" s="4" t="str">
        <f t="shared" si="10"/>
        <v>09-14N-10W</v>
      </c>
      <c r="G355" s="2">
        <v>2</v>
      </c>
    </row>
    <row r="356" spans="1:7" x14ac:dyDescent="0.25">
      <c r="A356">
        <v>10</v>
      </c>
      <c r="B356" s="2" t="s">
        <v>28</v>
      </c>
      <c r="C356" s="2" t="s">
        <v>21</v>
      </c>
      <c r="D356" s="2" t="s">
        <v>28</v>
      </c>
      <c r="E356" s="2" t="s">
        <v>20</v>
      </c>
      <c r="F356" s="4" t="str">
        <f t="shared" si="10"/>
        <v>10-14N-10W</v>
      </c>
      <c r="G356" s="2">
        <v>2</v>
      </c>
    </row>
    <row r="357" spans="1:7" x14ac:dyDescent="0.25">
      <c r="A357">
        <v>11</v>
      </c>
      <c r="B357" s="2" t="s">
        <v>28</v>
      </c>
      <c r="C357" s="2" t="s">
        <v>21</v>
      </c>
      <c r="D357" s="2" t="s">
        <v>28</v>
      </c>
      <c r="E357" s="2" t="s">
        <v>20</v>
      </c>
      <c r="F357" s="4" t="str">
        <f t="shared" si="10"/>
        <v>11-14N-10W</v>
      </c>
      <c r="G357" s="2">
        <v>2</v>
      </c>
    </row>
    <row r="358" spans="1:7" x14ac:dyDescent="0.25">
      <c r="A358">
        <v>12</v>
      </c>
      <c r="B358" s="2" t="s">
        <v>28</v>
      </c>
      <c r="C358" s="2" t="s">
        <v>21</v>
      </c>
      <c r="D358" s="2" t="s">
        <v>28</v>
      </c>
      <c r="E358" s="2" t="s">
        <v>20</v>
      </c>
      <c r="F358" s="4" t="str">
        <f t="shared" si="10"/>
        <v>12-14N-10W</v>
      </c>
      <c r="G358" s="2">
        <v>2</v>
      </c>
    </row>
    <row r="359" spans="1:7" x14ac:dyDescent="0.25">
      <c r="A359">
        <v>13</v>
      </c>
      <c r="B359" s="2" t="s">
        <v>28</v>
      </c>
      <c r="C359" s="2" t="s">
        <v>21</v>
      </c>
      <c r="D359" s="2" t="s">
        <v>28</v>
      </c>
      <c r="E359" s="2" t="s">
        <v>20</v>
      </c>
      <c r="F359" s="4" t="str">
        <f t="shared" si="10"/>
        <v>13-14N-10W</v>
      </c>
      <c r="G359" s="2">
        <v>2</v>
      </c>
    </row>
    <row r="360" spans="1:7" x14ac:dyDescent="0.25">
      <c r="A360">
        <v>14</v>
      </c>
      <c r="B360" s="2" t="s">
        <v>28</v>
      </c>
      <c r="C360" s="2" t="s">
        <v>21</v>
      </c>
      <c r="D360" s="2" t="s">
        <v>28</v>
      </c>
      <c r="E360" s="2" t="s">
        <v>20</v>
      </c>
      <c r="F360" s="4" t="str">
        <f t="shared" si="10"/>
        <v>14-14N-10W</v>
      </c>
      <c r="G360" s="2">
        <v>2</v>
      </c>
    </row>
    <row r="361" spans="1:7" x14ac:dyDescent="0.25">
      <c r="A361">
        <v>15</v>
      </c>
      <c r="B361" s="2" t="s">
        <v>28</v>
      </c>
      <c r="C361" s="2" t="s">
        <v>21</v>
      </c>
      <c r="D361" s="2" t="s">
        <v>28</v>
      </c>
      <c r="E361" s="2" t="s">
        <v>20</v>
      </c>
      <c r="F361" s="4" t="str">
        <f t="shared" si="10"/>
        <v>15-14N-10W</v>
      </c>
      <c r="G361" s="2">
        <v>2</v>
      </c>
    </row>
    <row r="362" spans="1:7" x14ac:dyDescent="0.25">
      <c r="A362">
        <v>16</v>
      </c>
      <c r="B362" s="2" t="s">
        <v>28</v>
      </c>
      <c r="C362" s="2" t="s">
        <v>21</v>
      </c>
      <c r="D362" s="2" t="s">
        <v>28</v>
      </c>
      <c r="E362" s="2" t="s">
        <v>20</v>
      </c>
      <c r="F362" s="4" t="str">
        <f t="shared" si="10"/>
        <v>16-14N-10W</v>
      </c>
      <c r="G362" s="2">
        <v>2</v>
      </c>
    </row>
    <row r="363" spans="1:7" x14ac:dyDescent="0.25">
      <c r="A363">
        <v>17</v>
      </c>
      <c r="B363" s="2" t="s">
        <v>28</v>
      </c>
      <c r="C363" s="2" t="s">
        <v>21</v>
      </c>
      <c r="D363" s="2" t="s">
        <v>28</v>
      </c>
      <c r="E363" s="2" t="s">
        <v>20</v>
      </c>
      <c r="F363" s="4" t="str">
        <f t="shared" si="10"/>
        <v>17-14N-10W</v>
      </c>
      <c r="G363" s="2">
        <v>2</v>
      </c>
    </row>
    <row r="364" spans="1:7" x14ac:dyDescent="0.25">
      <c r="A364">
        <v>18</v>
      </c>
      <c r="B364" s="2" t="s">
        <v>28</v>
      </c>
      <c r="C364" s="2" t="s">
        <v>21</v>
      </c>
      <c r="D364" s="2" t="s">
        <v>28</v>
      </c>
      <c r="E364" s="2" t="s">
        <v>20</v>
      </c>
      <c r="F364" s="4" t="str">
        <f t="shared" si="10"/>
        <v>18-14N-10W</v>
      </c>
      <c r="G364" s="2">
        <v>2</v>
      </c>
    </row>
    <row r="365" spans="1:7" x14ac:dyDescent="0.25">
      <c r="A365">
        <v>19</v>
      </c>
      <c r="B365" s="2" t="s">
        <v>28</v>
      </c>
      <c r="C365" s="2" t="s">
        <v>21</v>
      </c>
      <c r="D365" s="2" t="s">
        <v>28</v>
      </c>
      <c r="E365" s="2" t="s">
        <v>20</v>
      </c>
      <c r="F365" s="4" t="str">
        <f t="shared" si="10"/>
        <v>19-14N-10W</v>
      </c>
      <c r="G365" s="2">
        <v>2</v>
      </c>
    </row>
    <row r="366" spans="1:7" x14ac:dyDescent="0.25">
      <c r="A366">
        <v>20</v>
      </c>
      <c r="B366" s="2" t="s">
        <v>28</v>
      </c>
      <c r="C366" s="2" t="s">
        <v>21</v>
      </c>
      <c r="D366" s="2" t="s">
        <v>28</v>
      </c>
      <c r="E366" s="2" t="s">
        <v>20</v>
      </c>
      <c r="F366" s="4" t="str">
        <f t="shared" si="10"/>
        <v>20-14N-10W</v>
      </c>
      <c r="G366" s="2">
        <v>2</v>
      </c>
    </row>
    <row r="367" spans="1:7" x14ac:dyDescent="0.25">
      <c r="A367">
        <v>21</v>
      </c>
      <c r="B367" s="2" t="s">
        <v>28</v>
      </c>
      <c r="C367" s="2" t="s">
        <v>21</v>
      </c>
      <c r="D367" s="2" t="s">
        <v>28</v>
      </c>
      <c r="E367" s="2" t="s">
        <v>20</v>
      </c>
      <c r="F367" s="4" t="str">
        <f t="shared" si="10"/>
        <v>21-14N-10W</v>
      </c>
      <c r="G367" s="2">
        <v>2</v>
      </c>
    </row>
    <row r="368" spans="1:7" x14ac:dyDescent="0.25">
      <c r="A368">
        <v>22</v>
      </c>
      <c r="B368" s="2" t="s">
        <v>28</v>
      </c>
      <c r="C368" s="2" t="s">
        <v>21</v>
      </c>
      <c r="D368" s="2" t="s">
        <v>28</v>
      </c>
      <c r="E368" s="2" t="s">
        <v>20</v>
      </c>
      <c r="F368" s="4" t="str">
        <f t="shared" si="10"/>
        <v>22-14N-10W</v>
      </c>
      <c r="G368" s="2">
        <v>2</v>
      </c>
    </row>
    <row r="369" spans="1:7" x14ac:dyDescent="0.25">
      <c r="A369">
        <v>23</v>
      </c>
      <c r="B369" s="2" t="s">
        <v>28</v>
      </c>
      <c r="C369" s="2" t="s">
        <v>21</v>
      </c>
      <c r="D369" s="2" t="s">
        <v>28</v>
      </c>
      <c r="E369" s="2" t="s">
        <v>20</v>
      </c>
      <c r="F369" s="4" t="str">
        <f t="shared" si="10"/>
        <v>23-14N-10W</v>
      </c>
      <c r="G369" s="2">
        <v>2</v>
      </c>
    </row>
    <row r="370" spans="1:7" x14ac:dyDescent="0.25">
      <c r="A370">
        <v>24</v>
      </c>
      <c r="B370" s="2" t="s">
        <v>28</v>
      </c>
      <c r="C370" s="2" t="s">
        <v>21</v>
      </c>
      <c r="D370" s="2" t="s">
        <v>28</v>
      </c>
      <c r="E370" s="2" t="s">
        <v>20</v>
      </c>
      <c r="F370" s="4" t="str">
        <f t="shared" si="10"/>
        <v>24-14N-10W</v>
      </c>
      <c r="G370" s="2">
        <v>2</v>
      </c>
    </row>
    <row r="371" spans="1:7" x14ac:dyDescent="0.25">
      <c r="A371">
        <v>25</v>
      </c>
      <c r="B371" s="2" t="s">
        <v>28</v>
      </c>
      <c r="C371" s="2" t="s">
        <v>21</v>
      </c>
      <c r="D371" s="2" t="s">
        <v>28</v>
      </c>
      <c r="E371" s="2" t="s">
        <v>20</v>
      </c>
      <c r="F371" s="4" t="str">
        <f t="shared" si="10"/>
        <v>25-14N-10W</v>
      </c>
      <c r="G371" s="2">
        <v>2</v>
      </c>
    </row>
    <row r="372" spans="1:7" x14ac:dyDescent="0.25">
      <c r="A372">
        <v>26</v>
      </c>
      <c r="B372" s="2" t="s">
        <v>28</v>
      </c>
      <c r="C372" s="2" t="s">
        <v>21</v>
      </c>
      <c r="D372" s="2" t="s">
        <v>28</v>
      </c>
      <c r="E372" s="2" t="s">
        <v>20</v>
      </c>
      <c r="F372" s="4" t="str">
        <f t="shared" si="10"/>
        <v>26-14N-10W</v>
      </c>
      <c r="G372" s="2">
        <v>2</v>
      </c>
    </row>
    <row r="373" spans="1:7" x14ac:dyDescent="0.25">
      <c r="A373">
        <v>27</v>
      </c>
      <c r="B373" s="2" t="s">
        <v>28</v>
      </c>
      <c r="C373" s="2" t="s">
        <v>21</v>
      </c>
      <c r="D373" s="2" t="s">
        <v>28</v>
      </c>
      <c r="E373" s="2" t="s">
        <v>20</v>
      </c>
      <c r="F373" s="4" t="str">
        <f t="shared" si="10"/>
        <v>27-14N-10W</v>
      </c>
      <c r="G373" s="2">
        <v>2</v>
      </c>
    </row>
    <row r="374" spans="1:7" x14ac:dyDescent="0.25">
      <c r="A374">
        <v>28</v>
      </c>
      <c r="B374" s="2" t="s">
        <v>28</v>
      </c>
      <c r="C374" s="2" t="s">
        <v>21</v>
      </c>
      <c r="D374" s="2" t="s">
        <v>28</v>
      </c>
      <c r="E374" s="2" t="s">
        <v>20</v>
      </c>
      <c r="F374" s="4" t="str">
        <f t="shared" si="10"/>
        <v>28-14N-10W</v>
      </c>
      <c r="G374" s="2">
        <v>2</v>
      </c>
    </row>
    <row r="375" spans="1:7" x14ac:dyDescent="0.25">
      <c r="A375">
        <v>29</v>
      </c>
      <c r="B375" s="2" t="s">
        <v>28</v>
      </c>
      <c r="C375" s="2" t="s">
        <v>21</v>
      </c>
      <c r="D375" s="2" t="s">
        <v>28</v>
      </c>
      <c r="E375" s="2" t="s">
        <v>20</v>
      </c>
      <c r="F375" s="4" t="str">
        <f t="shared" si="10"/>
        <v>29-14N-10W</v>
      </c>
      <c r="G375" s="2">
        <v>2</v>
      </c>
    </row>
    <row r="376" spans="1:7" x14ac:dyDescent="0.25">
      <c r="A376">
        <v>30</v>
      </c>
      <c r="B376" s="2" t="s">
        <v>28</v>
      </c>
      <c r="C376" s="2" t="s">
        <v>21</v>
      </c>
      <c r="D376" s="2" t="s">
        <v>28</v>
      </c>
      <c r="E376" s="2" t="s">
        <v>20</v>
      </c>
      <c r="F376" s="4" t="str">
        <f t="shared" si="10"/>
        <v>30-14N-10W</v>
      </c>
      <c r="G376" s="2">
        <v>2</v>
      </c>
    </row>
    <row r="377" spans="1:7" x14ac:dyDescent="0.25">
      <c r="A377" s="4" t="s">
        <v>35</v>
      </c>
      <c r="B377" s="2" t="s">
        <v>28</v>
      </c>
      <c r="C377" s="2" t="s">
        <v>21</v>
      </c>
      <c r="D377" s="2" t="s">
        <v>28</v>
      </c>
      <c r="E377" s="2" t="s">
        <v>23</v>
      </c>
      <c r="F377" s="4" t="str">
        <f t="shared" ref="F377:F404" si="11">_xlfn.CONCAT(A377:E377)</f>
        <v>07-14N-09W</v>
      </c>
      <c r="G377" s="2">
        <v>2</v>
      </c>
    </row>
    <row r="378" spans="1:7" x14ac:dyDescent="0.25">
      <c r="A378" s="4" t="s">
        <v>36</v>
      </c>
      <c r="B378" s="2" t="s">
        <v>28</v>
      </c>
      <c r="C378" s="2" t="s">
        <v>21</v>
      </c>
      <c r="D378" s="2" t="s">
        <v>28</v>
      </c>
      <c r="E378" s="2" t="s">
        <v>23</v>
      </c>
      <c r="F378" s="4" t="str">
        <f t="shared" si="11"/>
        <v>08-14N-09W</v>
      </c>
      <c r="G378" s="2">
        <v>2</v>
      </c>
    </row>
    <row r="379" spans="1:7" x14ac:dyDescent="0.25">
      <c r="A379" s="4" t="s">
        <v>37</v>
      </c>
      <c r="B379" s="2" t="s">
        <v>28</v>
      </c>
      <c r="C379" s="2" t="s">
        <v>21</v>
      </c>
      <c r="D379" s="2" t="s">
        <v>28</v>
      </c>
      <c r="E379" s="2" t="s">
        <v>23</v>
      </c>
      <c r="F379" s="4" t="str">
        <f t="shared" si="11"/>
        <v>09-14N-09W</v>
      </c>
      <c r="G379" s="2">
        <v>2</v>
      </c>
    </row>
    <row r="380" spans="1:7" x14ac:dyDescent="0.25">
      <c r="A380">
        <v>10</v>
      </c>
      <c r="B380" s="2" t="s">
        <v>28</v>
      </c>
      <c r="C380" s="2" t="s">
        <v>21</v>
      </c>
      <c r="D380" s="2" t="s">
        <v>28</v>
      </c>
      <c r="E380" s="2" t="s">
        <v>23</v>
      </c>
      <c r="F380" s="4" t="str">
        <f t="shared" si="11"/>
        <v>10-14N-09W</v>
      </c>
      <c r="G380" s="2">
        <v>2</v>
      </c>
    </row>
    <row r="381" spans="1:7" x14ac:dyDescent="0.25">
      <c r="A381">
        <v>11</v>
      </c>
      <c r="B381" s="2" t="s">
        <v>28</v>
      </c>
      <c r="C381" s="2" t="s">
        <v>21</v>
      </c>
      <c r="D381" s="2" t="s">
        <v>28</v>
      </c>
      <c r="E381" s="2" t="s">
        <v>23</v>
      </c>
      <c r="F381" s="4" t="str">
        <f t="shared" si="11"/>
        <v>11-14N-09W</v>
      </c>
      <c r="G381" s="2">
        <v>2</v>
      </c>
    </row>
    <row r="382" spans="1:7" x14ac:dyDescent="0.25">
      <c r="A382">
        <v>12</v>
      </c>
      <c r="B382" s="2" t="s">
        <v>28</v>
      </c>
      <c r="C382" s="2" t="s">
        <v>21</v>
      </c>
      <c r="D382" s="2" t="s">
        <v>28</v>
      </c>
      <c r="E382" s="2" t="s">
        <v>23</v>
      </c>
      <c r="F382" s="4" t="str">
        <f t="shared" si="11"/>
        <v>12-14N-09W</v>
      </c>
      <c r="G382" s="2">
        <v>2</v>
      </c>
    </row>
    <row r="383" spans="1:7" x14ac:dyDescent="0.25">
      <c r="A383">
        <v>13</v>
      </c>
      <c r="B383" s="2" t="s">
        <v>28</v>
      </c>
      <c r="C383" s="2" t="s">
        <v>21</v>
      </c>
      <c r="D383" s="2" t="s">
        <v>28</v>
      </c>
      <c r="E383" s="2" t="s">
        <v>23</v>
      </c>
      <c r="F383" s="4" t="str">
        <f t="shared" si="11"/>
        <v>13-14N-09W</v>
      </c>
      <c r="G383" s="2">
        <v>2</v>
      </c>
    </row>
    <row r="384" spans="1:7" x14ac:dyDescent="0.25">
      <c r="A384">
        <v>14</v>
      </c>
      <c r="B384" s="2" t="s">
        <v>28</v>
      </c>
      <c r="C384" s="2" t="s">
        <v>21</v>
      </c>
      <c r="D384" s="2" t="s">
        <v>28</v>
      </c>
      <c r="E384" s="2" t="s">
        <v>23</v>
      </c>
      <c r="F384" s="4" t="str">
        <f t="shared" si="11"/>
        <v>14-14N-09W</v>
      </c>
      <c r="G384" s="2">
        <v>2</v>
      </c>
    </row>
    <row r="385" spans="1:7" x14ac:dyDescent="0.25">
      <c r="A385">
        <v>15</v>
      </c>
      <c r="B385" s="2" t="s">
        <v>28</v>
      </c>
      <c r="C385" s="2" t="s">
        <v>21</v>
      </c>
      <c r="D385" s="2" t="s">
        <v>28</v>
      </c>
      <c r="E385" s="2" t="s">
        <v>23</v>
      </c>
      <c r="F385" s="4" t="str">
        <f t="shared" si="11"/>
        <v>15-14N-09W</v>
      </c>
      <c r="G385" s="2">
        <v>2</v>
      </c>
    </row>
    <row r="386" spans="1:7" x14ac:dyDescent="0.25">
      <c r="A386">
        <v>16</v>
      </c>
      <c r="B386" s="2" t="s">
        <v>28</v>
      </c>
      <c r="C386" s="2" t="s">
        <v>21</v>
      </c>
      <c r="D386" s="2" t="s">
        <v>28</v>
      </c>
      <c r="E386" s="2" t="s">
        <v>23</v>
      </c>
      <c r="F386" s="4" t="str">
        <f t="shared" si="11"/>
        <v>16-14N-09W</v>
      </c>
      <c r="G386" s="2">
        <v>2</v>
      </c>
    </row>
    <row r="387" spans="1:7" x14ac:dyDescent="0.25">
      <c r="A387">
        <v>17</v>
      </c>
      <c r="B387" s="2" t="s">
        <v>28</v>
      </c>
      <c r="C387" s="2" t="s">
        <v>21</v>
      </c>
      <c r="D387" s="2" t="s">
        <v>28</v>
      </c>
      <c r="E387" s="2" t="s">
        <v>23</v>
      </c>
      <c r="F387" s="4" t="str">
        <f t="shared" si="11"/>
        <v>17-14N-09W</v>
      </c>
      <c r="G387" s="2">
        <v>2</v>
      </c>
    </row>
    <row r="388" spans="1:7" x14ac:dyDescent="0.25">
      <c r="A388">
        <v>18</v>
      </c>
      <c r="B388" s="2" t="s">
        <v>28</v>
      </c>
      <c r="C388" s="2" t="s">
        <v>21</v>
      </c>
      <c r="D388" s="2" t="s">
        <v>28</v>
      </c>
      <c r="E388" s="2" t="s">
        <v>23</v>
      </c>
      <c r="F388" s="4" t="str">
        <f t="shared" si="11"/>
        <v>18-14N-09W</v>
      </c>
      <c r="G388" s="2">
        <v>2</v>
      </c>
    </row>
    <row r="389" spans="1:7" x14ac:dyDescent="0.25">
      <c r="A389">
        <v>19</v>
      </c>
      <c r="B389" s="2" t="s">
        <v>28</v>
      </c>
      <c r="C389" s="2" t="s">
        <v>21</v>
      </c>
      <c r="D389" s="2" t="s">
        <v>28</v>
      </c>
      <c r="E389" s="2" t="s">
        <v>23</v>
      </c>
      <c r="F389" s="4" t="str">
        <f t="shared" si="11"/>
        <v>19-14N-09W</v>
      </c>
      <c r="G389" s="2">
        <v>2</v>
      </c>
    </row>
    <row r="390" spans="1:7" x14ac:dyDescent="0.25">
      <c r="A390">
        <v>20</v>
      </c>
      <c r="B390" s="2" t="s">
        <v>28</v>
      </c>
      <c r="C390" s="2" t="s">
        <v>21</v>
      </c>
      <c r="D390" s="2" t="s">
        <v>28</v>
      </c>
      <c r="E390" s="2" t="s">
        <v>23</v>
      </c>
      <c r="F390" s="4" t="str">
        <f t="shared" si="11"/>
        <v>20-14N-09W</v>
      </c>
      <c r="G390" s="2">
        <v>2</v>
      </c>
    </row>
    <row r="391" spans="1:7" x14ac:dyDescent="0.25">
      <c r="A391">
        <v>21</v>
      </c>
      <c r="B391" s="2" t="s">
        <v>28</v>
      </c>
      <c r="C391" s="2" t="s">
        <v>21</v>
      </c>
      <c r="D391" s="2" t="s">
        <v>28</v>
      </c>
      <c r="E391" s="2" t="s">
        <v>23</v>
      </c>
      <c r="F391" s="4" t="str">
        <f t="shared" si="11"/>
        <v>21-14N-09W</v>
      </c>
      <c r="G391" s="2">
        <v>2</v>
      </c>
    </row>
    <row r="392" spans="1:7" x14ac:dyDescent="0.25">
      <c r="A392">
        <v>22</v>
      </c>
      <c r="B392" s="2" t="s">
        <v>28</v>
      </c>
      <c r="C392" s="2" t="s">
        <v>21</v>
      </c>
      <c r="D392" s="2" t="s">
        <v>28</v>
      </c>
      <c r="E392" s="2" t="s">
        <v>23</v>
      </c>
      <c r="F392" s="4" t="str">
        <f t="shared" si="11"/>
        <v>22-14N-09W</v>
      </c>
      <c r="G392" s="2">
        <v>2</v>
      </c>
    </row>
    <row r="393" spans="1:7" x14ac:dyDescent="0.25">
      <c r="A393">
        <v>23</v>
      </c>
      <c r="B393" s="2" t="s">
        <v>28</v>
      </c>
      <c r="C393" s="2" t="s">
        <v>21</v>
      </c>
      <c r="D393" s="2" t="s">
        <v>28</v>
      </c>
      <c r="E393" s="2" t="s">
        <v>23</v>
      </c>
      <c r="F393" s="4" t="str">
        <f t="shared" si="11"/>
        <v>23-14N-09W</v>
      </c>
      <c r="G393" s="2">
        <v>2</v>
      </c>
    </row>
    <row r="394" spans="1:7" x14ac:dyDescent="0.25">
      <c r="A394">
        <v>24</v>
      </c>
      <c r="B394" s="2" t="s">
        <v>28</v>
      </c>
      <c r="C394" s="2" t="s">
        <v>21</v>
      </c>
      <c r="D394" s="2" t="s">
        <v>28</v>
      </c>
      <c r="E394" s="2" t="s">
        <v>23</v>
      </c>
      <c r="F394" s="4" t="str">
        <f t="shared" si="11"/>
        <v>24-14N-09W</v>
      </c>
      <c r="G394" s="2">
        <v>2</v>
      </c>
    </row>
    <row r="395" spans="1:7" x14ac:dyDescent="0.25">
      <c r="A395">
        <v>25</v>
      </c>
      <c r="B395" s="2" t="s">
        <v>28</v>
      </c>
      <c r="C395" s="2" t="s">
        <v>21</v>
      </c>
      <c r="D395" s="2" t="s">
        <v>28</v>
      </c>
      <c r="E395" s="2" t="s">
        <v>23</v>
      </c>
      <c r="F395" s="4" t="str">
        <f t="shared" si="11"/>
        <v>25-14N-09W</v>
      </c>
      <c r="G395" s="2">
        <v>2</v>
      </c>
    </row>
    <row r="396" spans="1:7" x14ac:dyDescent="0.25">
      <c r="A396">
        <v>26</v>
      </c>
      <c r="B396" s="2" t="s">
        <v>28</v>
      </c>
      <c r="C396" s="2" t="s">
        <v>21</v>
      </c>
      <c r="D396" s="2" t="s">
        <v>28</v>
      </c>
      <c r="E396" s="2" t="s">
        <v>23</v>
      </c>
      <c r="F396" s="4" t="str">
        <f t="shared" si="11"/>
        <v>26-14N-09W</v>
      </c>
      <c r="G396" s="2">
        <v>2</v>
      </c>
    </row>
    <row r="397" spans="1:7" x14ac:dyDescent="0.25">
      <c r="A397">
        <v>27</v>
      </c>
      <c r="B397" s="2" t="s">
        <v>28</v>
      </c>
      <c r="C397" s="2" t="s">
        <v>21</v>
      </c>
      <c r="D397" s="2" t="s">
        <v>28</v>
      </c>
      <c r="E397" s="2" t="s">
        <v>23</v>
      </c>
      <c r="F397" s="4" t="str">
        <f t="shared" si="11"/>
        <v>27-14N-09W</v>
      </c>
      <c r="G397" s="2">
        <v>2</v>
      </c>
    </row>
    <row r="398" spans="1:7" x14ac:dyDescent="0.25">
      <c r="A398">
        <v>28</v>
      </c>
      <c r="B398" s="2" t="s">
        <v>28</v>
      </c>
      <c r="C398" s="2" t="s">
        <v>21</v>
      </c>
      <c r="D398" s="2" t="s">
        <v>28</v>
      </c>
      <c r="E398" s="2" t="s">
        <v>23</v>
      </c>
      <c r="F398" s="4" t="str">
        <f t="shared" si="11"/>
        <v>28-14N-09W</v>
      </c>
      <c r="G398" s="2">
        <v>2</v>
      </c>
    </row>
    <row r="399" spans="1:7" x14ac:dyDescent="0.25">
      <c r="A399">
        <v>29</v>
      </c>
      <c r="B399" s="2" t="s">
        <v>28</v>
      </c>
      <c r="C399" s="2" t="s">
        <v>21</v>
      </c>
      <c r="D399" s="2" t="s">
        <v>28</v>
      </c>
      <c r="E399" s="2" t="s">
        <v>23</v>
      </c>
      <c r="F399" s="4" t="str">
        <f t="shared" si="11"/>
        <v>29-14N-09W</v>
      </c>
      <c r="G399" s="2">
        <v>2</v>
      </c>
    </row>
    <row r="400" spans="1:7" x14ac:dyDescent="0.25">
      <c r="A400">
        <v>30</v>
      </c>
      <c r="B400" s="2" t="s">
        <v>28</v>
      </c>
      <c r="C400" s="2" t="s">
        <v>21</v>
      </c>
      <c r="D400" s="2" t="s">
        <v>28</v>
      </c>
      <c r="E400" s="2" t="s">
        <v>23</v>
      </c>
      <c r="F400" s="4" t="str">
        <f t="shared" si="11"/>
        <v>30-14N-09W</v>
      </c>
      <c r="G400" s="2">
        <v>2</v>
      </c>
    </row>
    <row r="401" spans="1:7" x14ac:dyDescent="0.25">
      <c r="A401" s="4" t="s">
        <v>29</v>
      </c>
      <c r="B401" s="2" t="s">
        <v>28</v>
      </c>
      <c r="C401" s="2" t="s">
        <v>21</v>
      </c>
      <c r="D401" s="2" t="s">
        <v>28</v>
      </c>
      <c r="E401" s="2" t="s">
        <v>24</v>
      </c>
      <c r="F401" s="4" t="str">
        <f t="shared" si="11"/>
        <v>01-14N-08W</v>
      </c>
      <c r="G401" s="2">
        <v>2</v>
      </c>
    </row>
    <row r="402" spans="1:7" x14ac:dyDescent="0.25">
      <c r="A402" s="4" t="s">
        <v>30</v>
      </c>
      <c r="B402" s="2" t="s">
        <v>28</v>
      </c>
      <c r="C402" s="2" t="s">
        <v>21</v>
      </c>
      <c r="D402" s="2" t="s">
        <v>28</v>
      </c>
      <c r="E402" s="2" t="s">
        <v>24</v>
      </c>
      <c r="F402" s="4" t="str">
        <f t="shared" si="11"/>
        <v>02-14N-08W</v>
      </c>
      <c r="G402" s="2">
        <v>2</v>
      </c>
    </row>
    <row r="403" spans="1:7" x14ac:dyDescent="0.25">
      <c r="A403" s="4" t="s">
        <v>31</v>
      </c>
      <c r="B403" s="2" t="s">
        <v>28</v>
      </c>
      <c r="C403" s="2" t="s">
        <v>21</v>
      </c>
      <c r="D403" s="2" t="s">
        <v>28</v>
      </c>
      <c r="E403" s="2" t="s">
        <v>24</v>
      </c>
      <c r="F403" s="4" t="str">
        <f t="shared" si="11"/>
        <v>03-14N-08W</v>
      </c>
      <c r="G403" s="2">
        <v>2</v>
      </c>
    </row>
    <row r="404" spans="1:7" x14ac:dyDescent="0.25">
      <c r="A404" s="4" t="s">
        <v>32</v>
      </c>
      <c r="B404" s="2" t="s">
        <v>28</v>
      </c>
      <c r="C404" s="2" t="s">
        <v>21</v>
      </c>
      <c r="D404" s="2" t="s">
        <v>28</v>
      </c>
      <c r="E404" s="2" t="s">
        <v>24</v>
      </c>
      <c r="F404" s="4" t="str">
        <f t="shared" si="11"/>
        <v>04-14N-08W</v>
      </c>
      <c r="G404" s="2">
        <v>2</v>
      </c>
    </row>
    <row r="405" spans="1:7" x14ac:dyDescent="0.25">
      <c r="A405" s="4" t="s">
        <v>35</v>
      </c>
      <c r="B405" s="2" t="s">
        <v>28</v>
      </c>
      <c r="C405" s="2" t="s">
        <v>21</v>
      </c>
      <c r="D405" s="2" t="s">
        <v>28</v>
      </c>
      <c r="E405" s="2" t="s">
        <v>24</v>
      </c>
      <c r="F405" s="4" t="str">
        <f t="shared" ref="F405:F428" si="12">_xlfn.CONCAT(A405:E405)</f>
        <v>07-14N-08W</v>
      </c>
      <c r="G405" s="2">
        <v>2</v>
      </c>
    </row>
    <row r="406" spans="1:7" x14ac:dyDescent="0.25">
      <c r="A406" s="4" t="s">
        <v>36</v>
      </c>
      <c r="B406" s="2" t="s">
        <v>28</v>
      </c>
      <c r="C406" s="2" t="s">
        <v>21</v>
      </c>
      <c r="D406" s="2" t="s">
        <v>28</v>
      </c>
      <c r="E406" s="2" t="s">
        <v>24</v>
      </c>
      <c r="F406" s="4" t="str">
        <f t="shared" si="12"/>
        <v>08-14N-08W</v>
      </c>
      <c r="G406" s="2">
        <v>2</v>
      </c>
    </row>
    <row r="407" spans="1:7" x14ac:dyDescent="0.25">
      <c r="A407" s="4" t="s">
        <v>37</v>
      </c>
      <c r="B407" s="2" t="s">
        <v>28</v>
      </c>
      <c r="C407" s="2" t="s">
        <v>21</v>
      </c>
      <c r="D407" s="2" t="s">
        <v>28</v>
      </c>
      <c r="E407" s="2" t="s">
        <v>24</v>
      </c>
      <c r="F407" s="4" t="str">
        <f t="shared" si="12"/>
        <v>09-14N-08W</v>
      </c>
      <c r="G407" s="2">
        <v>2</v>
      </c>
    </row>
    <row r="408" spans="1:7" x14ac:dyDescent="0.25">
      <c r="A408">
        <v>10</v>
      </c>
      <c r="B408" s="2" t="s">
        <v>28</v>
      </c>
      <c r="C408" s="2" t="s">
        <v>21</v>
      </c>
      <c r="D408" s="2" t="s">
        <v>28</v>
      </c>
      <c r="E408" s="2" t="s">
        <v>24</v>
      </c>
      <c r="F408" s="4" t="str">
        <f t="shared" si="12"/>
        <v>10-14N-08W</v>
      </c>
      <c r="G408" s="2">
        <v>2</v>
      </c>
    </row>
    <row r="409" spans="1:7" x14ac:dyDescent="0.25">
      <c r="A409">
        <v>11</v>
      </c>
      <c r="B409" s="2" t="s">
        <v>28</v>
      </c>
      <c r="C409" s="2" t="s">
        <v>21</v>
      </c>
      <c r="D409" s="2" t="s">
        <v>28</v>
      </c>
      <c r="E409" s="2" t="s">
        <v>24</v>
      </c>
      <c r="F409" s="4" t="str">
        <f t="shared" si="12"/>
        <v>11-14N-08W</v>
      </c>
      <c r="G409" s="2">
        <v>2</v>
      </c>
    </row>
    <row r="410" spans="1:7" x14ac:dyDescent="0.25">
      <c r="A410">
        <v>12</v>
      </c>
      <c r="B410" s="2" t="s">
        <v>28</v>
      </c>
      <c r="C410" s="2" t="s">
        <v>21</v>
      </c>
      <c r="D410" s="2" t="s">
        <v>28</v>
      </c>
      <c r="E410" s="2" t="s">
        <v>24</v>
      </c>
      <c r="F410" s="4" t="str">
        <f t="shared" si="12"/>
        <v>12-14N-08W</v>
      </c>
      <c r="G410" s="2">
        <v>2</v>
      </c>
    </row>
    <row r="411" spans="1:7" x14ac:dyDescent="0.25">
      <c r="A411">
        <v>13</v>
      </c>
      <c r="B411" s="2" t="s">
        <v>28</v>
      </c>
      <c r="C411" s="2" t="s">
        <v>21</v>
      </c>
      <c r="D411" s="2" t="s">
        <v>28</v>
      </c>
      <c r="E411" s="2" t="s">
        <v>24</v>
      </c>
      <c r="F411" s="4" t="str">
        <f t="shared" si="12"/>
        <v>13-14N-08W</v>
      </c>
      <c r="G411" s="2">
        <v>2</v>
      </c>
    </row>
    <row r="412" spans="1:7" x14ac:dyDescent="0.25">
      <c r="A412">
        <v>14</v>
      </c>
      <c r="B412" s="2" t="s">
        <v>28</v>
      </c>
      <c r="C412" s="2" t="s">
        <v>21</v>
      </c>
      <c r="D412" s="2" t="s">
        <v>28</v>
      </c>
      <c r="E412" s="2" t="s">
        <v>24</v>
      </c>
      <c r="F412" s="4" t="str">
        <f t="shared" si="12"/>
        <v>14-14N-08W</v>
      </c>
      <c r="G412" s="2">
        <v>2</v>
      </c>
    </row>
    <row r="413" spans="1:7" x14ac:dyDescent="0.25">
      <c r="A413">
        <v>15</v>
      </c>
      <c r="B413" s="2" t="s">
        <v>28</v>
      </c>
      <c r="C413" s="2" t="s">
        <v>21</v>
      </c>
      <c r="D413" s="2" t="s">
        <v>28</v>
      </c>
      <c r="E413" s="2" t="s">
        <v>24</v>
      </c>
      <c r="F413" s="4" t="str">
        <f t="shared" si="12"/>
        <v>15-14N-08W</v>
      </c>
      <c r="G413" s="2">
        <v>2</v>
      </c>
    </row>
    <row r="414" spans="1:7" x14ac:dyDescent="0.25">
      <c r="A414">
        <v>16</v>
      </c>
      <c r="B414" s="2" t="s">
        <v>28</v>
      </c>
      <c r="C414" s="2" t="s">
        <v>21</v>
      </c>
      <c r="D414" s="2" t="s">
        <v>28</v>
      </c>
      <c r="E414" s="2" t="s">
        <v>24</v>
      </c>
      <c r="F414" s="4" t="str">
        <f t="shared" si="12"/>
        <v>16-14N-08W</v>
      </c>
      <c r="G414" s="2">
        <v>2</v>
      </c>
    </row>
    <row r="415" spans="1:7" x14ac:dyDescent="0.25">
      <c r="A415">
        <v>17</v>
      </c>
      <c r="B415" s="2" t="s">
        <v>28</v>
      </c>
      <c r="C415" s="2" t="s">
        <v>21</v>
      </c>
      <c r="D415" s="2" t="s">
        <v>28</v>
      </c>
      <c r="E415" s="2" t="s">
        <v>24</v>
      </c>
      <c r="F415" s="4" t="str">
        <f t="shared" si="12"/>
        <v>17-14N-08W</v>
      </c>
      <c r="G415" s="2">
        <v>2</v>
      </c>
    </row>
    <row r="416" spans="1:7" x14ac:dyDescent="0.25">
      <c r="A416">
        <v>18</v>
      </c>
      <c r="B416" s="2" t="s">
        <v>28</v>
      </c>
      <c r="C416" s="2" t="s">
        <v>21</v>
      </c>
      <c r="D416" s="2" t="s">
        <v>28</v>
      </c>
      <c r="E416" s="2" t="s">
        <v>24</v>
      </c>
      <c r="F416" s="4" t="str">
        <f t="shared" si="12"/>
        <v>18-14N-08W</v>
      </c>
      <c r="G416" s="2">
        <v>2</v>
      </c>
    </row>
    <row r="417" spans="1:7" x14ac:dyDescent="0.25">
      <c r="A417">
        <v>19</v>
      </c>
      <c r="B417" s="2" t="s">
        <v>28</v>
      </c>
      <c r="C417" s="2" t="s">
        <v>21</v>
      </c>
      <c r="D417" s="2" t="s">
        <v>28</v>
      </c>
      <c r="E417" s="2" t="s">
        <v>24</v>
      </c>
      <c r="F417" s="4" t="str">
        <f t="shared" si="12"/>
        <v>19-14N-08W</v>
      </c>
      <c r="G417" s="2">
        <v>2</v>
      </c>
    </row>
    <row r="418" spans="1:7" x14ac:dyDescent="0.25">
      <c r="A418">
        <v>20</v>
      </c>
      <c r="B418" s="2" t="s">
        <v>28</v>
      </c>
      <c r="C418" s="2" t="s">
        <v>21</v>
      </c>
      <c r="D418" s="2" t="s">
        <v>28</v>
      </c>
      <c r="E418" s="2" t="s">
        <v>24</v>
      </c>
      <c r="F418" s="4" t="str">
        <f t="shared" si="12"/>
        <v>20-14N-08W</v>
      </c>
      <c r="G418" s="2">
        <v>2</v>
      </c>
    </row>
    <row r="419" spans="1:7" x14ac:dyDescent="0.25">
      <c r="A419">
        <v>21</v>
      </c>
      <c r="B419" s="2" t="s">
        <v>28</v>
      </c>
      <c r="C419" s="2" t="s">
        <v>21</v>
      </c>
      <c r="D419" s="2" t="s">
        <v>28</v>
      </c>
      <c r="E419" s="2" t="s">
        <v>24</v>
      </c>
      <c r="F419" s="4" t="str">
        <f t="shared" si="12"/>
        <v>21-14N-08W</v>
      </c>
      <c r="G419" s="2">
        <v>2</v>
      </c>
    </row>
    <row r="420" spans="1:7" x14ac:dyDescent="0.25">
      <c r="A420">
        <v>22</v>
      </c>
      <c r="B420" s="2" t="s">
        <v>28</v>
      </c>
      <c r="C420" s="2" t="s">
        <v>21</v>
      </c>
      <c r="D420" s="2" t="s">
        <v>28</v>
      </c>
      <c r="E420" s="2" t="s">
        <v>24</v>
      </c>
      <c r="F420" s="4" t="str">
        <f t="shared" si="12"/>
        <v>22-14N-08W</v>
      </c>
      <c r="G420" s="2">
        <v>2</v>
      </c>
    </row>
    <row r="421" spans="1:7" x14ac:dyDescent="0.25">
      <c r="A421">
        <v>23</v>
      </c>
      <c r="B421" s="2" t="s">
        <v>28</v>
      </c>
      <c r="C421" s="2" t="s">
        <v>21</v>
      </c>
      <c r="D421" s="2" t="s">
        <v>28</v>
      </c>
      <c r="E421" s="2" t="s">
        <v>24</v>
      </c>
      <c r="F421" s="4" t="str">
        <f t="shared" si="12"/>
        <v>23-14N-08W</v>
      </c>
      <c r="G421" s="2">
        <v>2</v>
      </c>
    </row>
    <row r="422" spans="1:7" x14ac:dyDescent="0.25">
      <c r="A422">
        <v>24</v>
      </c>
      <c r="B422" s="2" t="s">
        <v>28</v>
      </c>
      <c r="C422" s="2" t="s">
        <v>21</v>
      </c>
      <c r="D422" s="2" t="s">
        <v>28</v>
      </c>
      <c r="E422" s="2" t="s">
        <v>24</v>
      </c>
      <c r="F422" s="4" t="str">
        <f t="shared" si="12"/>
        <v>24-14N-08W</v>
      </c>
      <c r="G422" s="2">
        <v>2</v>
      </c>
    </row>
    <row r="423" spans="1:7" x14ac:dyDescent="0.25">
      <c r="A423">
        <v>25</v>
      </c>
      <c r="B423" s="2" t="s">
        <v>28</v>
      </c>
      <c r="C423" s="2" t="s">
        <v>21</v>
      </c>
      <c r="D423" s="2" t="s">
        <v>28</v>
      </c>
      <c r="E423" s="2" t="s">
        <v>24</v>
      </c>
      <c r="F423" s="4" t="str">
        <f t="shared" si="12"/>
        <v>25-14N-08W</v>
      </c>
      <c r="G423" s="2">
        <v>2</v>
      </c>
    </row>
    <row r="424" spans="1:7" x14ac:dyDescent="0.25">
      <c r="A424">
        <v>26</v>
      </c>
      <c r="B424" s="2" t="s">
        <v>28</v>
      </c>
      <c r="C424" s="2" t="s">
        <v>21</v>
      </c>
      <c r="D424" s="2" t="s">
        <v>28</v>
      </c>
      <c r="E424" s="2" t="s">
        <v>24</v>
      </c>
      <c r="F424" s="4" t="str">
        <f t="shared" si="12"/>
        <v>26-14N-08W</v>
      </c>
      <c r="G424" s="2">
        <v>2</v>
      </c>
    </row>
    <row r="425" spans="1:7" x14ac:dyDescent="0.25">
      <c r="A425">
        <v>27</v>
      </c>
      <c r="B425" s="2" t="s">
        <v>28</v>
      </c>
      <c r="C425" s="2" t="s">
        <v>21</v>
      </c>
      <c r="D425" s="2" t="s">
        <v>28</v>
      </c>
      <c r="E425" s="2" t="s">
        <v>24</v>
      </c>
      <c r="F425" s="4" t="str">
        <f t="shared" si="12"/>
        <v>27-14N-08W</v>
      </c>
      <c r="G425" s="2">
        <v>2</v>
      </c>
    </row>
    <row r="426" spans="1:7" x14ac:dyDescent="0.25">
      <c r="A426">
        <v>28</v>
      </c>
      <c r="B426" s="2" t="s">
        <v>28</v>
      </c>
      <c r="C426" s="2" t="s">
        <v>21</v>
      </c>
      <c r="D426" s="2" t="s">
        <v>28</v>
      </c>
      <c r="E426" s="2" t="s">
        <v>24</v>
      </c>
      <c r="F426" s="4" t="str">
        <f t="shared" si="12"/>
        <v>28-14N-08W</v>
      </c>
      <c r="G426" s="2">
        <v>2</v>
      </c>
    </row>
    <row r="427" spans="1:7" x14ac:dyDescent="0.25">
      <c r="A427">
        <v>29</v>
      </c>
      <c r="B427" s="2" t="s">
        <v>28</v>
      </c>
      <c r="C427" s="2" t="s">
        <v>21</v>
      </c>
      <c r="D427" s="2" t="s">
        <v>28</v>
      </c>
      <c r="E427" s="2" t="s">
        <v>24</v>
      </c>
      <c r="F427" s="4" t="str">
        <f t="shared" si="12"/>
        <v>29-14N-08W</v>
      </c>
      <c r="G427" s="2">
        <v>2</v>
      </c>
    </row>
    <row r="428" spans="1:7" x14ac:dyDescent="0.25">
      <c r="A428">
        <v>30</v>
      </c>
      <c r="B428" s="2" t="s">
        <v>28</v>
      </c>
      <c r="C428" s="2" t="s">
        <v>21</v>
      </c>
      <c r="D428" s="2" t="s">
        <v>28</v>
      </c>
      <c r="E428" s="2" t="s">
        <v>24</v>
      </c>
      <c r="F428" s="4" t="str">
        <f t="shared" si="12"/>
        <v>30-14N-08W</v>
      </c>
      <c r="G428" s="2">
        <v>2</v>
      </c>
    </row>
    <row r="429" spans="1:7" x14ac:dyDescent="0.25">
      <c r="A429" s="4" t="s">
        <v>33</v>
      </c>
      <c r="B429" s="2" t="s">
        <v>28</v>
      </c>
      <c r="C429" s="2" t="s">
        <v>19</v>
      </c>
      <c r="D429" s="2" t="s">
        <v>28</v>
      </c>
      <c r="E429" s="2" t="s">
        <v>27</v>
      </c>
      <c r="F429" s="4" t="str">
        <f t="shared" ref="F429" si="13">_xlfn.CONCAT(A429:E429)</f>
        <v>05-15N-07W</v>
      </c>
      <c r="G429" s="2">
        <v>2</v>
      </c>
    </row>
    <row r="430" spans="1:7" x14ac:dyDescent="0.25">
      <c r="A430" s="4" t="s">
        <v>34</v>
      </c>
      <c r="B430" s="2" t="s">
        <v>28</v>
      </c>
      <c r="C430" s="2" t="s">
        <v>19</v>
      </c>
      <c r="D430" s="2" t="s">
        <v>28</v>
      </c>
      <c r="E430" s="2" t="s">
        <v>27</v>
      </c>
      <c r="F430" s="4" t="str">
        <f t="shared" ref="F430:F441" si="14">_xlfn.CONCAT(A430:E430)</f>
        <v>06-15N-07W</v>
      </c>
      <c r="G430" s="2">
        <v>2</v>
      </c>
    </row>
    <row r="431" spans="1:7" x14ac:dyDescent="0.25">
      <c r="A431" s="4" t="s">
        <v>35</v>
      </c>
      <c r="B431" s="2" t="s">
        <v>28</v>
      </c>
      <c r="C431" s="2" t="s">
        <v>19</v>
      </c>
      <c r="D431" s="2" t="s">
        <v>28</v>
      </c>
      <c r="E431" s="2" t="s">
        <v>27</v>
      </c>
      <c r="F431" s="4" t="str">
        <f t="shared" si="14"/>
        <v>07-15N-07W</v>
      </c>
      <c r="G431" s="2">
        <v>2</v>
      </c>
    </row>
    <row r="432" spans="1:7" x14ac:dyDescent="0.25">
      <c r="A432" s="4" t="s">
        <v>36</v>
      </c>
      <c r="B432" s="2" t="s">
        <v>28</v>
      </c>
      <c r="C432" s="2" t="s">
        <v>19</v>
      </c>
      <c r="D432" s="2" t="s">
        <v>28</v>
      </c>
      <c r="E432" s="2" t="s">
        <v>27</v>
      </c>
      <c r="F432" s="4" t="str">
        <f t="shared" si="14"/>
        <v>08-15N-07W</v>
      </c>
      <c r="G432" s="2">
        <v>2</v>
      </c>
    </row>
    <row r="433" spans="1:7" x14ac:dyDescent="0.25">
      <c r="A433" s="4">
        <v>17</v>
      </c>
      <c r="B433" s="2" t="s">
        <v>28</v>
      </c>
      <c r="C433" s="2" t="s">
        <v>19</v>
      </c>
      <c r="D433" s="2" t="s">
        <v>28</v>
      </c>
      <c r="E433" s="2" t="s">
        <v>27</v>
      </c>
      <c r="F433" s="4" t="str">
        <f t="shared" si="14"/>
        <v>17-15N-07W</v>
      </c>
      <c r="G433" s="2">
        <v>2</v>
      </c>
    </row>
    <row r="434" spans="1:7" x14ac:dyDescent="0.25">
      <c r="A434">
        <v>18</v>
      </c>
      <c r="B434" s="2" t="s">
        <v>28</v>
      </c>
      <c r="C434" s="2" t="s">
        <v>19</v>
      </c>
      <c r="D434" s="2" t="s">
        <v>28</v>
      </c>
      <c r="E434" s="2" t="s">
        <v>27</v>
      </c>
      <c r="F434" s="4" t="str">
        <f t="shared" si="14"/>
        <v>18-15N-07W</v>
      </c>
      <c r="G434" s="2">
        <v>2</v>
      </c>
    </row>
    <row r="435" spans="1:7" x14ac:dyDescent="0.25">
      <c r="A435">
        <v>19</v>
      </c>
      <c r="B435" s="2" t="s">
        <v>28</v>
      </c>
      <c r="C435" s="2" t="s">
        <v>19</v>
      </c>
      <c r="D435" s="2" t="s">
        <v>28</v>
      </c>
      <c r="E435" s="2" t="s">
        <v>27</v>
      </c>
      <c r="F435" s="4" t="str">
        <f t="shared" si="14"/>
        <v>19-15N-07W</v>
      </c>
      <c r="G435" s="2">
        <v>2</v>
      </c>
    </row>
    <row r="436" spans="1:7" x14ac:dyDescent="0.25">
      <c r="A436" s="2">
        <v>20</v>
      </c>
      <c r="B436" s="2" t="s">
        <v>28</v>
      </c>
      <c r="C436" s="2" t="s">
        <v>19</v>
      </c>
      <c r="D436" s="2" t="s">
        <v>28</v>
      </c>
      <c r="E436" s="2" t="s">
        <v>27</v>
      </c>
      <c r="F436" s="4" t="str">
        <f t="shared" si="14"/>
        <v>20-15N-07W</v>
      </c>
      <c r="G436" s="2">
        <v>2</v>
      </c>
    </row>
    <row r="437" spans="1:7" x14ac:dyDescent="0.25">
      <c r="A437" s="2">
        <v>29</v>
      </c>
      <c r="B437" s="2" t="s">
        <v>28</v>
      </c>
      <c r="C437" s="2" t="s">
        <v>19</v>
      </c>
      <c r="D437" s="2" t="s">
        <v>28</v>
      </c>
      <c r="E437" s="2" t="s">
        <v>27</v>
      </c>
      <c r="F437" s="4" t="str">
        <f t="shared" si="14"/>
        <v>29-15N-07W</v>
      </c>
      <c r="G437" s="2">
        <v>2</v>
      </c>
    </row>
    <row r="438" spans="1:7" x14ac:dyDescent="0.25">
      <c r="A438" s="2">
        <v>30</v>
      </c>
      <c r="B438" s="2" t="s">
        <v>28</v>
      </c>
      <c r="C438" s="2" t="s">
        <v>19</v>
      </c>
      <c r="D438" s="2" t="s">
        <v>28</v>
      </c>
      <c r="E438" s="2" t="s">
        <v>27</v>
      </c>
      <c r="F438" s="4" t="str">
        <f t="shared" si="14"/>
        <v>30-15N-07W</v>
      </c>
      <c r="G438" s="2">
        <v>2</v>
      </c>
    </row>
    <row r="439" spans="1:7" x14ac:dyDescent="0.25">
      <c r="A439" s="2">
        <v>31</v>
      </c>
      <c r="B439" s="2" t="s">
        <v>28</v>
      </c>
      <c r="C439" s="2" t="s">
        <v>19</v>
      </c>
      <c r="D439" s="2" t="s">
        <v>28</v>
      </c>
      <c r="E439" s="2" t="s">
        <v>27</v>
      </c>
      <c r="F439" s="4" t="str">
        <f t="shared" si="14"/>
        <v>31-15N-07W</v>
      </c>
      <c r="G439" s="2">
        <v>2</v>
      </c>
    </row>
    <row r="440" spans="1:7" x14ac:dyDescent="0.25">
      <c r="A440" s="2">
        <v>32</v>
      </c>
      <c r="B440" s="2" t="s">
        <v>28</v>
      </c>
      <c r="C440" s="2" t="s">
        <v>19</v>
      </c>
      <c r="D440" s="2" t="s">
        <v>28</v>
      </c>
      <c r="E440" s="2" t="s">
        <v>27</v>
      </c>
      <c r="F440" s="4" t="str">
        <f t="shared" si="14"/>
        <v>32-15N-07W</v>
      </c>
      <c r="G440" s="2">
        <v>2</v>
      </c>
    </row>
    <row r="441" spans="1:7" x14ac:dyDescent="0.25">
      <c r="A441" s="4" t="s">
        <v>33</v>
      </c>
      <c r="B441" s="2" t="s">
        <v>28</v>
      </c>
      <c r="C441" s="2" t="s">
        <v>17</v>
      </c>
      <c r="D441" s="2" t="s">
        <v>28</v>
      </c>
      <c r="E441" s="2" t="s">
        <v>27</v>
      </c>
      <c r="F441" s="4" t="str">
        <f t="shared" si="14"/>
        <v>05-16N-07W</v>
      </c>
      <c r="G441" s="2">
        <v>2</v>
      </c>
    </row>
    <row r="442" spans="1:7" x14ac:dyDescent="0.25">
      <c r="A442" s="4" t="s">
        <v>34</v>
      </c>
      <c r="B442" s="2" t="s">
        <v>28</v>
      </c>
      <c r="C442" s="2" t="s">
        <v>17</v>
      </c>
      <c r="D442" s="2" t="s">
        <v>28</v>
      </c>
      <c r="E442" s="2" t="s">
        <v>27</v>
      </c>
      <c r="F442" s="4" t="str">
        <f t="shared" ref="F442:F480" si="15">_xlfn.CONCAT(A442:E442)</f>
        <v>06-16N-07W</v>
      </c>
      <c r="G442" s="2">
        <v>2</v>
      </c>
    </row>
    <row r="443" spans="1:7" x14ac:dyDescent="0.25">
      <c r="A443" s="4" t="s">
        <v>35</v>
      </c>
      <c r="B443" s="2" t="s">
        <v>28</v>
      </c>
      <c r="C443" s="2" t="s">
        <v>17</v>
      </c>
      <c r="D443" s="2" t="s">
        <v>28</v>
      </c>
      <c r="E443" s="2" t="s">
        <v>27</v>
      </c>
      <c r="F443" s="4" t="str">
        <f t="shared" si="15"/>
        <v>07-16N-07W</v>
      </c>
      <c r="G443" s="2">
        <v>2</v>
      </c>
    </row>
    <row r="444" spans="1:7" x14ac:dyDescent="0.25">
      <c r="A444" s="4" t="s">
        <v>36</v>
      </c>
      <c r="B444" s="2" t="s">
        <v>28</v>
      </c>
      <c r="C444" s="2" t="s">
        <v>17</v>
      </c>
      <c r="D444" s="2" t="s">
        <v>28</v>
      </c>
      <c r="E444" s="2" t="s">
        <v>27</v>
      </c>
      <c r="F444" s="4" t="str">
        <f t="shared" si="15"/>
        <v>08-16N-07W</v>
      </c>
      <c r="G444" s="2">
        <v>2</v>
      </c>
    </row>
    <row r="445" spans="1:7" x14ac:dyDescent="0.25">
      <c r="A445" s="4">
        <v>17</v>
      </c>
      <c r="B445" s="2" t="s">
        <v>28</v>
      </c>
      <c r="C445" s="2" t="s">
        <v>17</v>
      </c>
      <c r="D445" s="2" t="s">
        <v>28</v>
      </c>
      <c r="E445" s="2" t="s">
        <v>27</v>
      </c>
      <c r="F445" s="4" t="str">
        <f t="shared" si="15"/>
        <v>17-16N-07W</v>
      </c>
      <c r="G445" s="2">
        <v>2</v>
      </c>
    </row>
    <row r="446" spans="1:7" x14ac:dyDescent="0.25">
      <c r="A446">
        <v>18</v>
      </c>
      <c r="B446" s="2" t="s">
        <v>28</v>
      </c>
      <c r="C446" s="2" t="s">
        <v>17</v>
      </c>
      <c r="D446" s="2" t="s">
        <v>28</v>
      </c>
      <c r="E446" s="2" t="s">
        <v>27</v>
      </c>
      <c r="F446" s="4" t="str">
        <f t="shared" si="15"/>
        <v>18-16N-07W</v>
      </c>
      <c r="G446" s="2">
        <v>2</v>
      </c>
    </row>
    <row r="447" spans="1:7" x14ac:dyDescent="0.25">
      <c r="A447">
        <v>19</v>
      </c>
      <c r="B447" s="2" t="s">
        <v>28</v>
      </c>
      <c r="C447" s="2" t="s">
        <v>17</v>
      </c>
      <c r="D447" s="2" t="s">
        <v>28</v>
      </c>
      <c r="E447" s="2" t="s">
        <v>27</v>
      </c>
      <c r="F447" s="4" t="str">
        <f t="shared" si="15"/>
        <v>19-16N-07W</v>
      </c>
      <c r="G447" s="2">
        <v>2</v>
      </c>
    </row>
    <row r="448" spans="1:7" x14ac:dyDescent="0.25">
      <c r="A448" s="2">
        <v>20</v>
      </c>
      <c r="B448" s="2" t="s">
        <v>28</v>
      </c>
      <c r="C448" s="2" t="s">
        <v>17</v>
      </c>
      <c r="D448" s="2" t="s">
        <v>28</v>
      </c>
      <c r="E448" s="2" t="s">
        <v>27</v>
      </c>
      <c r="F448" s="4" t="str">
        <f t="shared" si="15"/>
        <v>20-16N-07W</v>
      </c>
      <c r="G448" s="2">
        <v>2</v>
      </c>
    </row>
    <row r="449" spans="1:7" x14ac:dyDescent="0.25">
      <c r="A449" s="2">
        <v>29</v>
      </c>
      <c r="B449" s="2" t="s">
        <v>28</v>
      </c>
      <c r="C449" s="2" t="s">
        <v>17</v>
      </c>
      <c r="D449" s="2" t="s">
        <v>28</v>
      </c>
      <c r="E449" s="2" t="s">
        <v>27</v>
      </c>
      <c r="F449" s="4" t="str">
        <f t="shared" si="15"/>
        <v>29-16N-07W</v>
      </c>
      <c r="G449" s="2">
        <v>2</v>
      </c>
    </row>
    <row r="450" spans="1:7" x14ac:dyDescent="0.25">
      <c r="A450" s="2">
        <v>30</v>
      </c>
      <c r="B450" s="2" t="s">
        <v>28</v>
      </c>
      <c r="C450" s="2" t="s">
        <v>17</v>
      </c>
      <c r="D450" s="2" t="s">
        <v>28</v>
      </c>
      <c r="E450" s="2" t="s">
        <v>27</v>
      </c>
      <c r="F450" s="4" t="str">
        <f t="shared" si="15"/>
        <v>30-16N-07W</v>
      </c>
      <c r="G450" s="2">
        <v>2</v>
      </c>
    </row>
    <row r="451" spans="1:7" x14ac:dyDescent="0.25">
      <c r="A451" s="2">
        <v>31</v>
      </c>
      <c r="B451" s="2" t="s">
        <v>28</v>
      </c>
      <c r="C451" s="2" t="s">
        <v>17</v>
      </c>
      <c r="D451" s="2" t="s">
        <v>28</v>
      </c>
      <c r="E451" s="2" t="s">
        <v>27</v>
      </c>
      <c r="F451" s="4" t="str">
        <f t="shared" si="15"/>
        <v>31-16N-07W</v>
      </c>
      <c r="G451" s="2">
        <v>2</v>
      </c>
    </row>
    <row r="452" spans="1:7" x14ac:dyDescent="0.25">
      <c r="A452" s="2">
        <v>32</v>
      </c>
      <c r="B452" s="2" t="s">
        <v>28</v>
      </c>
      <c r="C452" s="2" t="s">
        <v>17</v>
      </c>
      <c r="D452" s="2" t="s">
        <v>28</v>
      </c>
      <c r="E452" s="2" t="s">
        <v>27</v>
      </c>
      <c r="F452" s="4" t="str">
        <f t="shared" si="15"/>
        <v>32-16N-07W</v>
      </c>
      <c r="G452" s="2">
        <v>2</v>
      </c>
    </row>
    <row r="453" spans="1:7" x14ac:dyDescent="0.25">
      <c r="A453" s="4" t="s">
        <v>29</v>
      </c>
      <c r="B453" s="2" t="s">
        <v>28</v>
      </c>
      <c r="C453" s="2" t="s">
        <v>17</v>
      </c>
      <c r="D453" s="2" t="s">
        <v>28</v>
      </c>
      <c r="E453" s="2" t="s">
        <v>24</v>
      </c>
      <c r="F453" s="4" t="str">
        <f t="shared" si="15"/>
        <v>01-16N-08W</v>
      </c>
      <c r="G453" s="2">
        <v>2</v>
      </c>
    </row>
    <row r="454" spans="1:7" x14ac:dyDescent="0.25">
      <c r="A454" s="4" t="s">
        <v>30</v>
      </c>
      <c r="B454" s="2" t="s">
        <v>28</v>
      </c>
      <c r="C454" s="2" t="s">
        <v>17</v>
      </c>
      <c r="D454" s="2" t="s">
        <v>28</v>
      </c>
      <c r="E454" s="2" t="s">
        <v>24</v>
      </c>
      <c r="F454" s="4" t="str">
        <f t="shared" si="15"/>
        <v>02-16N-08W</v>
      </c>
      <c r="G454" s="2">
        <v>2</v>
      </c>
    </row>
    <row r="455" spans="1:7" x14ac:dyDescent="0.25">
      <c r="A455" s="4" t="s">
        <v>31</v>
      </c>
      <c r="B455" s="2" t="s">
        <v>28</v>
      </c>
      <c r="C455" s="2" t="s">
        <v>17</v>
      </c>
      <c r="D455" s="2" t="s">
        <v>28</v>
      </c>
      <c r="E455" s="2" t="s">
        <v>24</v>
      </c>
      <c r="F455" s="4" t="str">
        <f t="shared" si="15"/>
        <v>03-16N-08W</v>
      </c>
      <c r="G455" s="2">
        <v>2</v>
      </c>
    </row>
    <row r="456" spans="1:7" x14ac:dyDescent="0.25">
      <c r="A456" s="4" t="s">
        <v>32</v>
      </c>
      <c r="B456" s="2" t="s">
        <v>28</v>
      </c>
      <c r="C456" s="2" t="s">
        <v>17</v>
      </c>
      <c r="D456" s="2" t="s">
        <v>28</v>
      </c>
      <c r="E456" s="2" t="s">
        <v>24</v>
      </c>
      <c r="F456" s="4" t="str">
        <f t="shared" si="15"/>
        <v>04-16N-08W</v>
      </c>
      <c r="G456" s="2">
        <v>2</v>
      </c>
    </row>
    <row r="457" spans="1:7" x14ac:dyDescent="0.25">
      <c r="A457" s="4" t="s">
        <v>33</v>
      </c>
      <c r="B457" s="2" t="s">
        <v>28</v>
      </c>
      <c r="C457" s="2" t="s">
        <v>17</v>
      </c>
      <c r="D457" s="2" t="s">
        <v>28</v>
      </c>
      <c r="E457" s="2" t="s">
        <v>24</v>
      </c>
      <c r="F457" s="4" t="str">
        <f t="shared" si="15"/>
        <v>05-16N-08W</v>
      </c>
      <c r="G457" s="2">
        <v>2</v>
      </c>
    </row>
    <row r="458" spans="1:7" x14ac:dyDescent="0.25">
      <c r="A458" s="4" t="s">
        <v>34</v>
      </c>
      <c r="B458" s="2" t="s">
        <v>28</v>
      </c>
      <c r="C458" s="2" t="s">
        <v>17</v>
      </c>
      <c r="D458" s="2" t="s">
        <v>28</v>
      </c>
      <c r="E458" s="2" t="s">
        <v>24</v>
      </c>
      <c r="F458" s="4" t="str">
        <f t="shared" si="15"/>
        <v>06-16N-08W</v>
      </c>
      <c r="G458" s="2">
        <v>2</v>
      </c>
    </row>
    <row r="459" spans="1:7" x14ac:dyDescent="0.25">
      <c r="A459" s="4" t="s">
        <v>35</v>
      </c>
      <c r="B459" s="2" t="s">
        <v>28</v>
      </c>
      <c r="C459" s="2" t="s">
        <v>17</v>
      </c>
      <c r="D459" s="2" t="s">
        <v>28</v>
      </c>
      <c r="E459" s="2" t="s">
        <v>24</v>
      </c>
      <c r="F459" s="4" t="str">
        <f t="shared" si="15"/>
        <v>07-16N-08W</v>
      </c>
      <c r="G459" s="2">
        <v>2</v>
      </c>
    </row>
    <row r="460" spans="1:7" x14ac:dyDescent="0.25">
      <c r="A460" s="4" t="s">
        <v>36</v>
      </c>
      <c r="B460" s="2" t="s">
        <v>28</v>
      </c>
      <c r="C460" s="2" t="s">
        <v>17</v>
      </c>
      <c r="D460" s="2" t="s">
        <v>28</v>
      </c>
      <c r="E460" s="2" t="s">
        <v>24</v>
      </c>
      <c r="F460" s="4" t="str">
        <f t="shared" si="15"/>
        <v>08-16N-08W</v>
      </c>
      <c r="G460" s="2">
        <v>2</v>
      </c>
    </row>
    <row r="461" spans="1:7" x14ac:dyDescent="0.25">
      <c r="A461" s="4" t="s">
        <v>37</v>
      </c>
      <c r="B461" s="2" t="s">
        <v>28</v>
      </c>
      <c r="C461" s="2" t="s">
        <v>17</v>
      </c>
      <c r="D461" s="2" t="s">
        <v>28</v>
      </c>
      <c r="E461" s="2" t="s">
        <v>24</v>
      </c>
      <c r="F461" s="4" t="str">
        <f t="shared" si="15"/>
        <v>09-16N-08W</v>
      </c>
      <c r="G461" s="2">
        <v>2</v>
      </c>
    </row>
    <row r="462" spans="1:7" x14ac:dyDescent="0.25">
      <c r="A462" s="4">
        <v>10</v>
      </c>
      <c r="B462" s="2" t="s">
        <v>28</v>
      </c>
      <c r="C462" s="2" t="s">
        <v>17</v>
      </c>
      <c r="D462" s="2" t="s">
        <v>28</v>
      </c>
      <c r="E462" s="2" t="s">
        <v>24</v>
      </c>
      <c r="F462" s="4" t="str">
        <f t="shared" si="15"/>
        <v>10-16N-08W</v>
      </c>
      <c r="G462" s="2">
        <v>2</v>
      </c>
    </row>
    <row r="463" spans="1:7" x14ac:dyDescent="0.25">
      <c r="A463" s="4">
        <v>11</v>
      </c>
      <c r="B463" s="2" t="s">
        <v>28</v>
      </c>
      <c r="C463" s="2" t="s">
        <v>17</v>
      </c>
      <c r="D463" s="2" t="s">
        <v>28</v>
      </c>
      <c r="E463" s="2" t="s">
        <v>24</v>
      </c>
      <c r="F463" s="4" t="str">
        <f t="shared" si="15"/>
        <v>11-16N-08W</v>
      </c>
      <c r="G463" s="2">
        <v>2</v>
      </c>
    </row>
    <row r="464" spans="1:7" x14ac:dyDescent="0.25">
      <c r="A464">
        <v>12</v>
      </c>
      <c r="B464" s="2" t="s">
        <v>28</v>
      </c>
      <c r="C464" s="2" t="s">
        <v>17</v>
      </c>
      <c r="D464" s="2" t="s">
        <v>28</v>
      </c>
      <c r="E464" s="2" t="s">
        <v>24</v>
      </c>
      <c r="F464" s="4" t="str">
        <f t="shared" si="15"/>
        <v>12-16N-08W</v>
      </c>
      <c r="G464" s="2">
        <v>2</v>
      </c>
    </row>
    <row r="465" spans="1:7" x14ac:dyDescent="0.25">
      <c r="A465" s="4">
        <v>13</v>
      </c>
      <c r="B465" s="2" t="s">
        <v>28</v>
      </c>
      <c r="C465" s="2" t="s">
        <v>17</v>
      </c>
      <c r="D465" s="2" t="s">
        <v>28</v>
      </c>
      <c r="E465" s="2" t="s">
        <v>24</v>
      </c>
      <c r="F465" s="4" t="str">
        <f t="shared" si="15"/>
        <v>13-16N-08W</v>
      </c>
      <c r="G465" s="2">
        <v>2</v>
      </c>
    </row>
    <row r="466" spans="1:7" x14ac:dyDescent="0.25">
      <c r="A466">
        <v>14</v>
      </c>
      <c r="B466" s="2" t="s">
        <v>28</v>
      </c>
      <c r="C466" s="2" t="s">
        <v>17</v>
      </c>
      <c r="D466" s="2" t="s">
        <v>28</v>
      </c>
      <c r="E466" s="2" t="s">
        <v>24</v>
      </c>
      <c r="F466" s="4" t="str">
        <f t="shared" si="15"/>
        <v>14-16N-08W</v>
      </c>
      <c r="G466" s="2">
        <v>2</v>
      </c>
    </row>
    <row r="467" spans="1:7" x14ac:dyDescent="0.25">
      <c r="A467" s="4">
        <v>15</v>
      </c>
      <c r="B467" s="2" t="s">
        <v>28</v>
      </c>
      <c r="C467" s="2" t="s">
        <v>17</v>
      </c>
      <c r="D467" s="2" t="s">
        <v>28</v>
      </c>
      <c r="E467" s="2" t="s">
        <v>24</v>
      </c>
      <c r="F467" s="4" t="str">
        <f t="shared" si="15"/>
        <v>15-16N-08W</v>
      </c>
      <c r="G467" s="2">
        <v>2</v>
      </c>
    </row>
    <row r="468" spans="1:7" x14ac:dyDescent="0.25">
      <c r="A468">
        <v>16</v>
      </c>
      <c r="B468" s="2" t="s">
        <v>28</v>
      </c>
      <c r="C468" s="2" t="s">
        <v>17</v>
      </c>
      <c r="D468" s="2" t="s">
        <v>28</v>
      </c>
      <c r="E468" s="2" t="s">
        <v>24</v>
      </c>
      <c r="F468" s="4" t="str">
        <f t="shared" si="15"/>
        <v>16-16N-08W</v>
      </c>
      <c r="G468" s="2">
        <v>2</v>
      </c>
    </row>
    <row r="469" spans="1:7" x14ac:dyDescent="0.25">
      <c r="A469" s="2">
        <v>21</v>
      </c>
      <c r="B469" s="2" t="s">
        <v>28</v>
      </c>
      <c r="C469" s="2" t="s">
        <v>17</v>
      </c>
      <c r="D469" s="2" t="s">
        <v>28</v>
      </c>
      <c r="E469" s="2" t="s">
        <v>24</v>
      </c>
      <c r="F469" s="4" t="str">
        <f t="shared" si="15"/>
        <v>21-16N-08W</v>
      </c>
      <c r="G469" s="2">
        <v>2</v>
      </c>
    </row>
    <row r="470" spans="1:7" x14ac:dyDescent="0.25">
      <c r="A470" s="2">
        <v>22</v>
      </c>
      <c r="B470" s="2" t="s">
        <v>28</v>
      </c>
      <c r="C470" s="2" t="s">
        <v>17</v>
      </c>
      <c r="D470" s="2" t="s">
        <v>28</v>
      </c>
      <c r="E470" s="2" t="s">
        <v>24</v>
      </c>
      <c r="F470" s="4" t="str">
        <f t="shared" si="15"/>
        <v>22-16N-08W</v>
      </c>
      <c r="G470" s="2">
        <v>2</v>
      </c>
    </row>
    <row r="471" spans="1:7" x14ac:dyDescent="0.25">
      <c r="A471" s="2">
        <v>23</v>
      </c>
      <c r="B471" s="2" t="s">
        <v>28</v>
      </c>
      <c r="C471" s="2" t="s">
        <v>17</v>
      </c>
      <c r="D471" s="2" t="s">
        <v>28</v>
      </c>
      <c r="E471" s="2" t="s">
        <v>24</v>
      </c>
      <c r="F471" s="4" t="str">
        <f t="shared" si="15"/>
        <v>23-16N-08W</v>
      </c>
      <c r="G471" s="2">
        <v>2</v>
      </c>
    </row>
    <row r="472" spans="1:7" x14ac:dyDescent="0.25">
      <c r="A472" s="2">
        <v>24</v>
      </c>
      <c r="B472" s="2" t="s">
        <v>28</v>
      </c>
      <c r="C472" s="2" t="s">
        <v>17</v>
      </c>
      <c r="D472" s="2" t="s">
        <v>28</v>
      </c>
      <c r="E472" s="2" t="s">
        <v>24</v>
      </c>
      <c r="F472" s="4" t="str">
        <f t="shared" si="15"/>
        <v>24-16N-08W</v>
      </c>
      <c r="G472" s="2">
        <v>2</v>
      </c>
    </row>
    <row r="473" spans="1:7" x14ac:dyDescent="0.25">
      <c r="A473" s="2">
        <v>25</v>
      </c>
      <c r="B473" s="2" t="s">
        <v>28</v>
      </c>
      <c r="C473" s="2" t="s">
        <v>17</v>
      </c>
      <c r="D473" s="2" t="s">
        <v>28</v>
      </c>
      <c r="E473" s="2" t="s">
        <v>24</v>
      </c>
      <c r="F473" s="4" t="str">
        <f t="shared" si="15"/>
        <v>25-16N-08W</v>
      </c>
      <c r="G473" s="2">
        <v>2</v>
      </c>
    </row>
    <row r="474" spans="1:7" x14ac:dyDescent="0.25">
      <c r="A474" s="2">
        <v>26</v>
      </c>
      <c r="B474" s="2" t="s">
        <v>28</v>
      </c>
      <c r="C474" s="2" t="s">
        <v>17</v>
      </c>
      <c r="D474" s="2" t="s">
        <v>28</v>
      </c>
      <c r="E474" s="2" t="s">
        <v>24</v>
      </c>
      <c r="F474" s="4" t="str">
        <f t="shared" si="15"/>
        <v>26-16N-08W</v>
      </c>
      <c r="G474" s="2">
        <v>2</v>
      </c>
    </row>
    <row r="475" spans="1:7" x14ac:dyDescent="0.25">
      <c r="A475" s="2">
        <v>27</v>
      </c>
      <c r="B475" s="2" t="s">
        <v>28</v>
      </c>
      <c r="C475" s="2" t="s">
        <v>17</v>
      </c>
      <c r="D475" s="2" t="s">
        <v>28</v>
      </c>
      <c r="E475" s="2" t="s">
        <v>24</v>
      </c>
      <c r="F475" s="4" t="str">
        <f t="shared" si="15"/>
        <v>27-16N-08W</v>
      </c>
      <c r="G475" s="2">
        <v>2</v>
      </c>
    </row>
    <row r="476" spans="1:7" x14ac:dyDescent="0.25">
      <c r="A476" s="2">
        <v>28</v>
      </c>
      <c r="B476" s="2" t="s">
        <v>28</v>
      </c>
      <c r="C476" s="2" t="s">
        <v>17</v>
      </c>
      <c r="D476" s="2" t="s">
        <v>28</v>
      </c>
      <c r="E476" s="2" t="s">
        <v>24</v>
      </c>
      <c r="F476" s="4" t="str">
        <f t="shared" si="15"/>
        <v>28-16N-08W</v>
      </c>
      <c r="G476" s="2">
        <v>2</v>
      </c>
    </row>
    <row r="477" spans="1:7" x14ac:dyDescent="0.25">
      <c r="A477" s="2">
        <v>33</v>
      </c>
      <c r="B477" s="2" t="s">
        <v>28</v>
      </c>
      <c r="C477" s="2" t="s">
        <v>17</v>
      </c>
      <c r="D477" s="2" t="s">
        <v>28</v>
      </c>
      <c r="E477" s="2" t="s">
        <v>24</v>
      </c>
      <c r="F477" s="4" t="str">
        <f t="shared" si="15"/>
        <v>33-16N-08W</v>
      </c>
      <c r="G477" s="2">
        <v>2</v>
      </c>
    </row>
    <row r="478" spans="1:7" x14ac:dyDescent="0.25">
      <c r="A478" s="2">
        <v>34</v>
      </c>
      <c r="B478" s="2" t="s">
        <v>28</v>
      </c>
      <c r="C478" s="2" t="s">
        <v>17</v>
      </c>
      <c r="D478" s="2" t="s">
        <v>28</v>
      </c>
      <c r="E478" s="2" t="s">
        <v>24</v>
      </c>
      <c r="F478" s="4" t="str">
        <f t="shared" si="15"/>
        <v>34-16N-08W</v>
      </c>
      <c r="G478" s="2">
        <v>2</v>
      </c>
    </row>
    <row r="479" spans="1:7" x14ac:dyDescent="0.25">
      <c r="A479" s="2">
        <v>35</v>
      </c>
      <c r="B479" s="2" t="s">
        <v>28</v>
      </c>
      <c r="C479" s="2" t="s">
        <v>17</v>
      </c>
      <c r="D479" s="2" t="s">
        <v>28</v>
      </c>
      <c r="E479" s="2" t="s">
        <v>24</v>
      </c>
      <c r="F479" s="4" t="str">
        <f t="shared" si="15"/>
        <v>35-16N-08W</v>
      </c>
      <c r="G479" s="2">
        <v>2</v>
      </c>
    </row>
    <row r="480" spans="1:7" x14ac:dyDescent="0.25">
      <c r="A480" s="2">
        <v>36</v>
      </c>
      <c r="B480" s="2" t="s">
        <v>28</v>
      </c>
      <c r="C480" s="2" t="s">
        <v>17</v>
      </c>
      <c r="D480" s="2" t="s">
        <v>28</v>
      </c>
      <c r="E480" s="2" t="s">
        <v>24</v>
      </c>
      <c r="F480" s="4" t="str">
        <f t="shared" si="15"/>
        <v>36-16N-08W</v>
      </c>
      <c r="G480" s="2">
        <v>2</v>
      </c>
    </row>
    <row r="481" spans="1:7" x14ac:dyDescent="0.25">
      <c r="A481" s="4" t="s">
        <v>29</v>
      </c>
      <c r="B481" s="2" t="s">
        <v>28</v>
      </c>
      <c r="C481" s="2" t="s">
        <v>19</v>
      </c>
      <c r="D481" s="2" t="s">
        <v>28</v>
      </c>
      <c r="E481" s="2" t="s">
        <v>24</v>
      </c>
      <c r="F481" s="4" t="str">
        <f t="shared" ref="F481:F505" si="16">_xlfn.CONCAT(A481:E481)</f>
        <v>01-15N-08W</v>
      </c>
      <c r="G481" s="2">
        <v>2</v>
      </c>
    </row>
    <row r="482" spans="1:7" x14ac:dyDescent="0.25">
      <c r="A482" s="4" t="s">
        <v>30</v>
      </c>
      <c r="B482" s="2" t="s">
        <v>28</v>
      </c>
      <c r="C482" s="2" t="s">
        <v>19</v>
      </c>
      <c r="D482" s="2" t="s">
        <v>28</v>
      </c>
      <c r="E482" s="2" t="s">
        <v>24</v>
      </c>
      <c r="F482" s="4" t="str">
        <f t="shared" si="16"/>
        <v>02-15N-08W</v>
      </c>
      <c r="G482" s="2">
        <v>2</v>
      </c>
    </row>
    <row r="483" spans="1:7" x14ac:dyDescent="0.25">
      <c r="A483" s="4" t="s">
        <v>31</v>
      </c>
      <c r="B483" s="2" t="s">
        <v>28</v>
      </c>
      <c r="C483" s="2" t="s">
        <v>19</v>
      </c>
      <c r="D483" s="2" t="s">
        <v>28</v>
      </c>
      <c r="E483" s="2" t="s">
        <v>24</v>
      </c>
      <c r="F483" s="4" t="str">
        <f t="shared" si="16"/>
        <v>03-15N-08W</v>
      </c>
      <c r="G483" s="2">
        <v>2</v>
      </c>
    </row>
    <row r="484" spans="1:7" x14ac:dyDescent="0.25">
      <c r="A484" s="4" t="s">
        <v>32</v>
      </c>
      <c r="B484" s="2" t="s">
        <v>28</v>
      </c>
      <c r="C484" s="2" t="s">
        <v>19</v>
      </c>
      <c r="D484" s="2" t="s">
        <v>28</v>
      </c>
      <c r="E484" s="2" t="s">
        <v>24</v>
      </c>
      <c r="F484" s="4" t="str">
        <f t="shared" si="16"/>
        <v>04-15N-08W</v>
      </c>
      <c r="G484" s="2">
        <v>2</v>
      </c>
    </row>
    <row r="485" spans="1:7" x14ac:dyDescent="0.25">
      <c r="A485" s="4" t="s">
        <v>37</v>
      </c>
      <c r="B485" s="2" t="s">
        <v>28</v>
      </c>
      <c r="C485" s="2" t="s">
        <v>19</v>
      </c>
      <c r="D485" s="2" t="s">
        <v>28</v>
      </c>
      <c r="E485" s="2" t="s">
        <v>24</v>
      </c>
      <c r="F485" s="4" t="str">
        <f t="shared" si="16"/>
        <v>09-15N-08W</v>
      </c>
      <c r="G485" s="2">
        <v>2</v>
      </c>
    </row>
    <row r="486" spans="1:7" x14ac:dyDescent="0.25">
      <c r="A486" s="4">
        <v>10</v>
      </c>
      <c r="B486" s="2" t="s">
        <v>28</v>
      </c>
      <c r="C486" s="2" t="s">
        <v>19</v>
      </c>
      <c r="D486" s="2" t="s">
        <v>28</v>
      </c>
      <c r="E486" s="2" t="s">
        <v>24</v>
      </c>
      <c r="F486" s="4" t="str">
        <f t="shared" si="16"/>
        <v>10-15N-08W</v>
      </c>
      <c r="G486" s="2">
        <v>2</v>
      </c>
    </row>
    <row r="487" spans="1:7" x14ac:dyDescent="0.25">
      <c r="A487" s="4">
        <v>11</v>
      </c>
      <c r="B487" s="2" t="s">
        <v>28</v>
      </c>
      <c r="C487" s="2" t="s">
        <v>19</v>
      </c>
      <c r="D487" s="2" t="s">
        <v>28</v>
      </c>
      <c r="E487" s="2" t="s">
        <v>24</v>
      </c>
      <c r="F487" s="4" t="str">
        <f t="shared" si="16"/>
        <v>11-15N-08W</v>
      </c>
      <c r="G487" s="2">
        <v>2</v>
      </c>
    </row>
    <row r="488" spans="1:7" x14ac:dyDescent="0.25">
      <c r="A488">
        <v>12</v>
      </c>
      <c r="B488" s="2" t="s">
        <v>28</v>
      </c>
      <c r="C488" s="2" t="s">
        <v>19</v>
      </c>
      <c r="D488" s="2" t="s">
        <v>28</v>
      </c>
      <c r="E488" s="2" t="s">
        <v>24</v>
      </c>
      <c r="F488" s="4" t="str">
        <f t="shared" si="16"/>
        <v>12-15N-08W</v>
      </c>
      <c r="G488" s="2">
        <v>2</v>
      </c>
    </row>
    <row r="489" spans="1:7" x14ac:dyDescent="0.25">
      <c r="A489" s="4">
        <v>13</v>
      </c>
      <c r="B489" s="2" t="s">
        <v>28</v>
      </c>
      <c r="C489" s="2" t="s">
        <v>19</v>
      </c>
      <c r="D489" s="2" t="s">
        <v>28</v>
      </c>
      <c r="E489" s="2" t="s">
        <v>24</v>
      </c>
      <c r="F489" s="4" t="str">
        <f t="shared" si="16"/>
        <v>13-15N-08W</v>
      </c>
      <c r="G489" s="2">
        <v>2</v>
      </c>
    </row>
    <row r="490" spans="1:7" x14ac:dyDescent="0.25">
      <c r="A490">
        <v>14</v>
      </c>
      <c r="B490" s="2" t="s">
        <v>28</v>
      </c>
      <c r="C490" s="2" t="s">
        <v>19</v>
      </c>
      <c r="D490" s="2" t="s">
        <v>28</v>
      </c>
      <c r="E490" s="2" t="s">
        <v>24</v>
      </c>
      <c r="F490" s="4" t="str">
        <f t="shared" si="16"/>
        <v>14-15N-08W</v>
      </c>
      <c r="G490" s="2">
        <v>2</v>
      </c>
    </row>
    <row r="491" spans="1:7" x14ac:dyDescent="0.25">
      <c r="A491" s="4">
        <v>15</v>
      </c>
      <c r="B491" s="2" t="s">
        <v>28</v>
      </c>
      <c r="C491" s="2" t="s">
        <v>19</v>
      </c>
      <c r="D491" s="2" t="s">
        <v>28</v>
      </c>
      <c r="E491" s="2" t="s">
        <v>24</v>
      </c>
      <c r="F491" s="4" t="str">
        <f t="shared" si="16"/>
        <v>15-15N-08W</v>
      </c>
      <c r="G491" s="2">
        <v>2</v>
      </c>
    </row>
    <row r="492" spans="1:7" x14ac:dyDescent="0.25">
      <c r="A492">
        <v>16</v>
      </c>
      <c r="B492" s="2" t="s">
        <v>28</v>
      </c>
      <c r="C492" s="2" t="s">
        <v>19</v>
      </c>
      <c r="D492" s="2" t="s">
        <v>28</v>
      </c>
      <c r="E492" s="2" t="s">
        <v>24</v>
      </c>
      <c r="F492" s="4" t="str">
        <f t="shared" si="16"/>
        <v>16-15N-08W</v>
      </c>
      <c r="G492" s="2">
        <v>2</v>
      </c>
    </row>
    <row r="493" spans="1:7" x14ac:dyDescent="0.25">
      <c r="A493" s="2">
        <v>21</v>
      </c>
      <c r="B493" s="2" t="s">
        <v>28</v>
      </c>
      <c r="C493" s="2" t="s">
        <v>19</v>
      </c>
      <c r="D493" s="2" t="s">
        <v>28</v>
      </c>
      <c r="E493" s="2" t="s">
        <v>24</v>
      </c>
      <c r="F493" s="4" t="str">
        <f t="shared" si="16"/>
        <v>21-15N-08W</v>
      </c>
      <c r="G493" s="2">
        <v>2</v>
      </c>
    </row>
    <row r="494" spans="1:7" x14ac:dyDescent="0.25">
      <c r="A494" s="2">
        <v>22</v>
      </c>
      <c r="B494" s="2" t="s">
        <v>28</v>
      </c>
      <c r="C494" s="2" t="s">
        <v>19</v>
      </c>
      <c r="D494" s="2" t="s">
        <v>28</v>
      </c>
      <c r="E494" s="2" t="s">
        <v>24</v>
      </c>
      <c r="F494" s="4" t="str">
        <f t="shared" si="16"/>
        <v>22-15N-08W</v>
      </c>
      <c r="G494" s="2">
        <v>2</v>
      </c>
    </row>
    <row r="495" spans="1:7" x14ac:dyDescent="0.25">
      <c r="A495" s="2">
        <v>23</v>
      </c>
      <c r="B495" s="2" t="s">
        <v>28</v>
      </c>
      <c r="C495" s="2" t="s">
        <v>19</v>
      </c>
      <c r="D495" s="2" t="s">
        <v>28</v>
      </c>
      <c r="E495" s="2" t="s">
        <v>24</v>
      </c>
      <c r="F495" s="4" t="str">
        <f t="shared" si="16"/>
        <v>23-15N-08W</v>
      </c>
      <c r="G495" s="2">
        <v>2</v>
      </c>
    </row>
    <row r="496" spans="1:7" x14ac:dyDescent="0.25">
      <c r="A496" s="2">
        <v>24</v>
      </c>
      <c r="B496" s="2" t="s">
        <v>28</v>
      </c>
      <c r="C496" s="2" t="s">
        <v>19</v>
      </c>
      <c r="D496" s="2" t="s">
        <v>28</v>
      </c>
      <c r="E496" s="2" t="s">
        <v>24</v>
      </c>
      <c r="F496" s="4" t="str">
        <f t="shared" si="16"/>
        <v>24-15N-08W</v>
      </c>
      <c r="G496" s="2">
        <v>2</v>
      </c>
    </row>
    <row r="497" spans="1:7" x14ac:dyDescent="0.25">
      <c r="A497" s="2">
        <v>25</v>
      </c>
      <c r="B497" s="2" t="s">
        <v>28</v>
      </c>
      <c r="C497" s="2" t="s">
        <v>19</v>
      </c>
      <c r="D497" s="2" t="s">
        <v>28</v>
      </c>
      <c r="E497" s="2" t="s">
        <v>24</v>
      </c>
      <c r="F497" s="4" t="str">
        <f t="shared" si="16"/>
        <v>25-15N-08W</v>
      </c>
      <c r="G497" s="2">
        <v>2</v>
      </c>
    </row>
    <row r="498" spans="1:7" x14ac:dyDescent="0.25">
      <c r="A498" s="2">
        <v>26</v>
      </c>
      <c r="B498" s="2" t="s">
        <v>28</v>
      </c>
      <c r="C498" s="2" t="s">
        <v>19</v>
      </c>
      <c r="D498" s="2" t="s">
        <v>28</v>
      </c>
      <c r="E498" s="2" t="s">
        <v>24</v>
      </c>
      <c r="F498" s="4" t="str">
        <f t="shared" si="16"/>
        <v>26-15N-08W</v>
      </c>
      <c r="G498" s="2">
        <v>2</v>
      </c>
    </row>
    <row r="499" spans="1:7" x14ac:dyDescent="0.25">
      <c r="A499" s="2">
        <v>27</v>
      </c>
      <c r="B499" s="2" t="s">
        <v>28</v>
      </c>
      <c r="C499" s="2" t="s">
        <v>19</v>
      </c>
      <c r="D499" s="2" t="s">
        <v>28</v>
      </c>
      <c r="E499" s="2" t="s">
        <v>24</v>
      </c>
      <c r="F499" s="4" t="str">
        <f t="shared" si="16"/>
        <v>27-15N-08W</v>
      </c>
      <c r="G499" s="2">
        <v>2</v>
      </c>
    </row>
    <row r="500" spans="1:7" x14ac:dyDescent="0.25">
      <c r="A500" s="2">
        <v>28</v>
      </c>
      <c r="B500" s="2" t="s">
        <v>28</v>
      </c>
      <c r="C500" s="2" t="s">
        <v>19</v>
      </c>
      <c r="D500" s="2" t="s">
        <v>28</v>
      </c>
      <c r="E500" s="2" t="s">
        <v>24</v>
      </c>
      <c r="F500" s="4" t="str">
        <f t="shared" si="16"/>
        <v>28-15N-08W</v>
      </c>
      <c r="G500" s="2">
        <v>2</v>
      </c>
    </row>
    <row r="501" spans="1:7" x14ac:dyDescent="0.25">
      <c r="A501" s="2">
        <v>33</v>
      </c>
      <c r="B501" s="2" t="s">
        <v>28</v>
      </c>
      <c r="C501" s="2" t="s">
        <v>19</v>
      </c>
      <c r="D501" s="2" t="s">
        <v>28</v>
      </c>
      <c r="E501" s="2" t="s">
        <v>24</v>
      </c>
      <c r="F501" s="4" t="str">
        <f t="shared" si="16"/>
        <v>33-15N-08W</v>
      </c>
      <c r="G501" s="2">
        <v>2</v>
      </c>
    </row>
    <row r="502" spans="1:7" x14ac:dyDescent="0.25">
      <c r="A502" s="2">
        <v>34</v>
      </c>
      <c r="B502" s="2" t="s">
        <v>28</v>
      </c>
      <c r="C502" s="2" t="s">
        <v>19</v>
      </c>
      <c r="D502" s="2" t="s">
        <v>28</v>
      </c>
      <c r="E502" s="2" t="s">
        <v>24</v>
      </c>
      <c r="F502" s="4" t="str">
        <f t="shared" si="16"/>
        <v>34-15N-08W</v>
      </c>
      <c r="G502" s="2">
        <v>2</v>
      </c>
    </row>
    <row r="503" spans="1:7" x14ac:dyDescent="0.25">
      <c r="A503" s="2">
        <v>35</v>
      </c>
      <c r="B503" s="2" t="s">
        <v>28</v>
      </c>
      <c r="C503" s="2" t="s">
        <v>19</v>
      </c>
      <c r="D503" s="2" t="s">
        <v>28</v>
      </c>
      <c r="E503" s="2" t="s">
        <v>24</v>
      </c>
      <c r="F503" s="4" t="str">
        <f t="shared" si="16"/>
        <v>35-15N-08W</v>
      </c>
      <c r="G503" s="2">
        <v>2</v>
      </c>
    </row>
    <row r="504" spans="1:7" x14ac:dyDescent="0.25">
      <c r="A504" s="2">
        <v>36</v>
      </c>
      <c r="B504" s="2" t="s">
        <v>28</v>
      </c>
      <c r="C504" s="2" t="s">
        <v>19</v>
      </c>
      <c r="D504" s="2" t="s">
        <v>28</v>
      </c>
      <c r="E504" s="2" t="s">
        <v>24</v>
      </c>
      <c r="F504" s="4" t="str">
        <f t="shared" si="16"/>
        <v>36-15N-08W</v>
      </c>
      <c r="G504" s="2">
        <v>2</v>
      </c>
    </row>
    <row r="505" spans="1:7" x14ac:dyDescent="0.25">
      <c r="A505" s="3" t="s">
        <v>29</v>
      </c>
      <c r="B505" s="2" t="s">
        <v>28</v>
      </c>
      <c r="C505" s="2" t="s">
        <v>17</v>
      </c>
      <c r="D505" s="2" t="s">
        <v>28</v>
      </c>
      <c r="E505" s="2" t="s">
        <v>22</v>
      </c>
      <c r="F505" s="4" t="str">
        <f t="shared" si="16"/>
        <v>01-16N-11W</v>
      </c>
      <c r="G505" s="2">
        <v>2</v>
      </c>
    </row>
    <row r="506" spans="1:7" x14ac:dyDescent="0.25">
      <c r="A506" s="3" t="s">
        <v>30</v>
      </c>
      <c r="B506" s="2" t="s">
        <v>28</v>
      </c>
      <c r="C506" s="2" t="s">
        <v>17</v>
      </c>
      <c r="D506" s="2" t="s">
        <v>28</v>
      </c>
      <c r="E506" s="2" t="s">
        <v>22</v>
      </c>
      <c r="F506" s="4" t="str">
        <f t="shared" ref="F506:F517" si="17">_xlfn.CONCAT(A506:E506)</f>
        <v>02-16N-11W</v>
      </c>
      <c r="G506" s="2">
        <v>2</v>
      </c>
    </row>
    <row r="507" spans="1:7" x14ac:dyDescent="0.25">
      <c r="A507" s="3" t="s">
        <v>31</v>
      </c>
      <c r="B507" s="2" t="s">
        <v>28</v>
      </c>
      <c r="C507" s="2" t="s">
        <v>17</v>
      </c>
      <c r="D507" s="2" t="s">
        <v>28</v>
      </c>
      <c r="E507" s="2" t="s">
        <v>22</v>
      </c>
      <c r="F507" s="4" t="str">
        <f t="shared" si="17"/>
        <v>03-16N-11W</v>
      </c>
      <c r="G507" s="2">
        <v>2</v>
      </c>
    </row>
    <row r="508" spans="1:7" x14ac:dyDescent="0.25">
      <c r="A508" s="3" t="s">
        <v>32</v>
      </c>
      <c r="B508" s="2" t="s">
        <v>28</v>
      </c>
      <c r="C508" s="2" t="s">
        <v>17</v>
      </c>
      <c r="D508" s="2" t="s">
        <v>28</v>
      </c>
      <c r="E508" s="2" t="s">
        <v>22</v>
      </c>
      <c r="F508" s="4" t="str">
        <f t="shared" si="17"/>
        <v>04-16N-11W</v>
      </c>
      <c r="G508" s="2">
        <v>2</v>
      </c>
    </row>
    <row r="509" spans="1:7" x14ac:dyDescent="0.25">
      <c r="A509" s="3" t="s">
        <v>33</v>
      </c>
      <c r="B509" s="2" t="s">
        <v>28</v>
      </c>
      <c r="C509" s="2" t="s">
        <v>17</v>
      </c>
      <c r="D509" s="2" t="s">
        <v>28</v>
      </c>
      <c r="E509" s="2" t="s">
        <v>22</v>
      </c>
      <c r="F509" s="4" t="str">
        <f t="shared" si="17"/>
        <v>05-16N-11W</v>
      </c>
      <c r="G509" s="2">
        <v>2</v>
      </c>
    </row>
    <row r="510" spans="1:7" x14ac:dyDescent="0.25">
      <c r="A510" s="3" t="s">
        <v>34</v>
      </c>
      <c r="B510" s="2" t="s">
        <v>28</v>
      </c>
      <c r="C510" s="2" t="s">
        <v>17</v>
      </c>
      <c r="D510" s="2" t="s">
        <v>28</v>
      </c>
      <c r="E510" s="2" t="s">
        <v>22</v>
      </c>
      <c r="F510" s="4" t="str">
        <f t="shared" si="17"/>
        <v>06-16N-11W</v>
      </c>
      <c r="G510" s="2">
        <v>2</v>
      </c>
    </row>
    <row r="511" spans="1:7" x14ac:dyDescent="0.25">
      <c r="A511" s="3" t="s">
        <v>35</v>
      </c>
      <c r="B511" s="2" t="s">
        <v>28</v>
      </c>
      <c r="C511" s="2" t="s">
        <v>17</v>
      </c>
      <c r="D511" s="2" t="s">
        <v>28</v>
      </c>
      <c r="E511" s="2" t="s">
        <v>22</v>
      </c>
      <c r="F511" s="4" t="str">
        <f t="shared" si="17"/>
        <v>07-16N-11W</v>
      </c>
      <c r="G511" s="2">
        <v>2</v>
      </c>
    </row>
    <row r="512" spans="1:7" x14ac:dyDescent="0.25">
      <c r="A512" s="3" t="s">
        <v>36</v>
      </c>
      <c r="B512" s="2" t="s">
        <v>28</v>
      </c>
      <c r="C512" s="2" t="s">
        <v>17</v>
      </c>
      <c r="D512" s="2" t="s">
        <v>28</v>
      </c>
      <c r="E512" s="2" t="s">
        <v>22</v>
      </c>
      <c r="F512" s="4" t="str">
        <f t="shared" si="17"/>
        <v>08-16N-11W</v>
      </c>
      <c r="G512" s="2">
        <v>2</v>
      </c>
    </row>
    <row r="513" spans="1:7" x14ac:dyDescent="0.25">
      <c r="A513" s="3" t="s">
        <v>37</v>
      </c>
      <c r="B513" s="2" t="s">
        <v>28</v>
      </c>
      <c r="C513" s="2" t="s">
        <v>17</v>
      </c>
      <c r="D513" s="2" t="s">
        <v>28</v>
      </c>
      <c r="E513" s="2" t="s">
        <v>22</v>
      </c>
      <c r="F513" s="4" t="str">
        <f t="shared" si="17"/>
        <v>09-16N-11W</v>
      </c>
      <c r="G513" s="2">
        <v>2</v>
      </c>
    </row>
    <row r="514" spans="1:7" x14ac:dyDescent="0.25">
      <c r="A514" s="3" t="s">
        <v>38</v>
      </c>
      <c r="B514" s="2" t="s">
        <v>28</v>
      </c>
      <c r="C514" s="2" t="s">
        <v>17</v>
      </c>
      <c r="D514" s="2" t="s">
        <v>28</v>
      </c>
      <c r="E514" s="2" t="s">
        <v>22</v>
      </c>
      <c r="F514" s="4" t="str">
        <f t="shared" si="17"/>
        <v>10-16N-11W</v>
      </c>
      <c r="G514" s="2">
        <v>2</v>
      </c>
    </row>
    <row r="515" spans="1:7" x14ac:dyDescent="0.25">
      <c r="A515" s="3" t="s">
        <v>39</v>
      </c>
      <c r="B515" s="2" t="s">
        <v>28</v>
      </c>
      <c r="C515" s="2" t="s">
        <v>17</v>
      </c>
      <c r="D515" s="2" t="s">
        <v>28</v>
      </c>
      <c r="E515" s="2" t="s">
        <v>22</v>
      </c>
      <c r="F515" s="4" t="str">
        <f t="shared" si="17"/>
        <v>11-16N-11W</v>
      </c>
      <c r="G515" s="2">
        <v>2</v>
      </c>
    </row>
    <row r="516" spans="1:7" x14ac:dyDescent="0.25">
      <c r="A516" s="3" t="s">
        <v>40</v>
      </c>
      <c r="B516" s="2" t="s">
        <v>28</v>
      </c>
      <c r="C516" s="2" t="s">
        <v>17</v>
      </c>
      <c r="D516" s="2" t="s">
        <v>28</v>
      </c>
      <c r="E516" s="2" t="s">
        <v>22</v>
      </c>
      <c r="F516" s="4" t="str">
        <f t="shared" si="17"/>
        <v>12-16N-11W</v>
      </c>
      <c r="G516" s="2">
        <v>2</v>
      </c>
    </row>
    <row r="517" spans="1:7" x14ac:dyDescent="0.25">
      <c r="A517" s="3" t="s">
        <v>29</v>
      </c>
      <c r="B517" s="2" t="s">
        <v>28</v>
      </c>
      <c r="C517" s="2" t="s">
        <v>17</v>
      </c>
      <c r="D517" s="2" t="s">
        <v>28</v>
      </c>
      <c r="E517" s="2" t="s">
        <v>20</v>
      </c>
      <c r="F517" s="4" t="str">
        <f t="shared" si="17"/>
        <v>01-16N-10W</v>
      </c>
      <c r="G517" s="2">
        <v>2</v>
      </c>
    </row>
    <row r="518" spans="1:7" x14ac:dyDescent="0.25">
      <c r="A518" s="3" t="s">
        <v>30</v>
      </c>
      <c r="B518" s="2" t="s">
        <v>28</v>
      </c>
      <c r="C518" s="2" t="s">
        <v>17</v>
      </c>
      <c r="D518" s="2" t="s">
        <v>28</v>
      </c>
      <c r="E518" s="2" t="s">
        <v>20</v>
      </c>
      <c r="F518" s="4" t="str">
        <f t="shared" ref="F518:F529" si="18">_xlfn.CONCAT(A518:E518)</f>
        <v>02-16N-10W</v>
      </c>
      <c r="G518" s="2">
        <v>2</v>
      </c>
    </row>
    <row r="519" spans="1:7" x14ac:dyDescent="0.25">
      <c r="A519" s="3" t="s">
        <v>31</v>
      </c>
      <c r="B519" s="2" t="s">
        <v>28</v>
      </c>
      <c r="C519" s="2" t="s">
        <v>17</v>
      </c>
      <c r="D519" s="2" t="s">
        <v>28</v>
      </c>
      <c r="E519" s="2" t="s">
        <v>20</v>
      </c>
      <c r="F519" s="4" t="str">
        <f t="shared" si="18"/>
        <v>03-16N-10W</v>
      </c>
      <c r="G519" s="2">
        <v>2</v>
      </c>
    </row>
    <row r="520" spans="1:7" x14ac:dyDescent="0.25">
      <c r="A520" s="3" t="s">
        <v>32</v>
      </c>
      <c r="B520" s="2" t="s">
        <v>28</v>
      </c>
      <c r="C520" s="2" t="s">
        <v>17</v>
      </c>
      <c r="D520" s="2" t="s">
        <v>28</v>
      </c>
      <c r="E520" s="2" t="s">
        <v>20</v>
      </c>
      <c r="F520" s="4" t="str">
        <f t="shared" si="18"/>
        <v>04-16N-10W</v>
      </c>
      <c r="G520" s="2">
        <v>2</v>
      </c>
    </row>
    <row r="521" spans="1:7" x14ac:dyDescent="0.25">
      <c r="A521" s="3" t="s">
        <v>33</v>
      </c>
      <c r="B521" s="2" t="s">
        <v>28</v>
      </c>
      <c r="C521" s="2" t="s">
        <v>17</v>
      </c>
      <c r="D521" s="2" t="s">
        <v>28</v>
      </c>
      <c r="E521" s="2" t="s">
        <v>20</v>
      </c>
      <c r="F521" s="4" t="str">
        <f t="shared" si="18"/>
        <v>05-16N-10W</v>
      </c>
      <c r="G521" s="2">
        <v>2</v>
      </c>
    </row>
    <row r="522" spans="1:7" x14ac:dyDescent="0.25">
      <c r="A522" s="3" t="s">
        <v>34</v>
      </c>
      <c r="B522" s="2" t="s">
        <v>28</v>
      </c>
      <c r="C522" s="2" t="s">
        <v>17</v>
      </c>
      <c r="D522" s="2" t="s">
        <v>28</v>
      </c>
      <c r="E522" s="2" t="s">
        <v>20</v>
      </c>
      <c r="F522" s="4" t="str">
        <f t="shared" si="18"/>
        <v>06-16N-10W</v>
      </c>
      <c r="G522" s="2">
        <v>2</v>
      </c>
    </row>
    <row r="523" spans="1:7" x14ac:dyDescent="0.25">
      <c r="A523" s="3" t="s">
        <v>35</v>
      </c>
      <c r="B523" s="2" t="s">
        <v>28</v>
      </c>
      <c r="C523" s="2" t="s">
        <v>17</v>
      </c>
      <c r="D523" s="2" t="s">
        <v>28</v>
      </c>
      <c r="E523" s="2" t="s">
        <v>20</v>
      </c>
      <c r="F523" s="4" t="str">
        <f t="shared" si="18"/>
        <v>07-16N-10W</v>
      </c>
      <c r="G523" s="2">
        <v>2</v>
      </c>
    </row>
    <row r="524" spans="1:7" x14ac:dyDescent="0.25">
      <c r="A524" s="3" t="s">
        <v>36</v>
      </c>
      <c r="B524" s="2" t="s">
        <v>28</v>
      </c>
      <c r="C524" s="2" t="s">
        <v>17</v>
      </c>
      <c r="D524" s="2" t="s">
        <v>28</v>
      </c>
      <c r="E524" s="2" t="s">
        <v>20</v>
      </c>
      <c r="F524" s="4" t="str">
        <f t="shared" si="18"/>
        <v>08-16N-10W</v>
      </c>
      <c r="G524" s="2">
        <v>2</v>
      </c>
    </row>
    <row r="525" spans="1:7" x14ac:dyDescent="0.25">
      <c r="A525" s="3" t="s">
        <v>37</v>
      </c>
      <c r="B525" s="2" t="s">
        <v>28</v>
      </c>
      <c r="C525" s="2" t="s">
        <v>17</v>
      </c>
      <c r="D525" s="2" t="s">
        <v>28</v>
      </c>
      <c r="E525" s="2" t="s">
        <v>20</v>
      </c>
      <c r="F525" s="4" t="str">
        <f t="shared" si="18"/>
        <v>09-16N-10W</v>
      </c>
      <c r="G525" s="2">
        <v>2</v>
      </c>
    </row>
    <row r="526" spans="1:7" x14ac:dyDescent="0.25">
      <c r="A526" s="3" t="s">
        <v>38</v>
      </c>
      <c r="B526" s="2" t="s">
        <v>28</v>
      </c>
      <c r="C526" s="2" t="s">
        <v>17</v>
      </c>
      <c r="D526" s="2" t="s">
        <v>28</v>
      </c>
      <c r="E526" s="2" t="s">
        <v>20</v>
      </c>
      <c r="F526" s="4" t="str">
        <f t="shared" si="18"/>
        <v>10-16N-10W</v>
      </c>
      <c r="G526" s="2">
        <v>2</v>
      </c>
    </row>
    <row r="527" spans="1:7" x14ac:dyDescent="0.25">
      <c r="A527" s="3" t="s">
        <v>39</v>
      </c>
      <c r="B527" s="2" t="s">
        <v>28</v>
      </c>
      <c r="C527" s="2" t="s">
        <v>17</v>
      </c>
      <c r="D527" s="2" t="s">
        <v>28</v>
      </c>
      <c r="E527" s="2" t="s">
        <v>20</v>
      </c>
      <c r="F527" s="4" t="str">
        <f t="shared" si="18"/>
        <v>11-16N-10W</v>
      </c>
      <c r="G527" s="2">
        <v>2</v>
      </c>
    </row>
    <row r="528" spans="1:7" x14ac:dyDescent="0.25">
      <c r="A528" s="3" t="s">
        <v>40</v>
      </c>
      <c r="B528" s="2" t="s">
        <v>28</v>
      </c>
      <c r="C528" s="2" t="s">
        <v>17</v>
      </c>
      <c r="D528" s="2" t="s">
        <v>28</v>
      </c>
      <c r="E528" s="2" t="s">
        <v>20</v>
      </c>
      <c r="F528" s="4" t="str">
        <f t="shared" si="18"/>
        <v>12-16N-10W</v>
      </c>
      <c r="G528" s="2">
        <v>2</v>
      </c>
    </row>
    <row r="529" spans="1:7" x14ac:dyDescent="0.25">
      <c r="A529" s="3" t="s">
        <v>29</v>
      </c>
      <c r="B529" s="2" t="s">
        <v>28</v>
      </c>
      <c r="C529" s="2" t="s">
        <v>17</v>
      </c>
      <c r="D529" s="2" t="s">
        <v>28</v>
      </c>
      <c r="E529" s="2" t="s">
        <v>23</v>
      </c>
      <c r="F529" s="4" t="str">
        <f t="shared" si="18"/>
        <v>01-16N-09W</v>
      </c>
      <c r="G529" s="2">
        <v>2</v>
      </c>
    </row>
    <row r="530" spans="1:7" x14ac:dyDescent="0.25">
      <c r="A530" s="3" t="s">
        <v>30</v>
      </c>
      <c r="B530" s="2" t="s">
        <v>28</v>
      </c>
      <c r="C530" s="2" t="s">
        <v>17</v>
      </c>
      <c r="D530" s="2" t="s">
        <v>28</v>
      </c>
      <c r="E530" s="2" t="s">
        <v>23</v>
      </c>
      <c r="F530" s="4" t="str">
        <f t="shared" ref="F530:F540" si="19">_xlfn.CONCAT(A530:E530)</f>
        <v>02-16N-09W</v>
      </c>
      <c r="G530" s="2">
        <v>2</v>
      </c>
    </row>
    <row r="531" spans="1:7" x14ac:dyDescent="0.25">
      <c r="A531" s="3" t="s">
        <v>31</v>
      </c>
      <c r="B531" s="2" t="s">
        <v>28</v>
      </c>
      <c r="C531" s="2" t="s">
        <v>17</v>
      </c>
      <c r="D531" s="2" t="s">
        <v>28</v>
      </c>
      <c r="E531" s="2" t="s">
        <v>23</v>
      </c>
      <c r="F531" s="4" t="str">
        <f t="shared" si="19"/>
        <v>03-16N-09W</v>
      </c>
      <c r="G531" s="2">
        <v>2</v>
      </c>
    </row>
    <row r="532" spans="1:7" x14ac:dyDescent="0.25">
      <c r="A532" s="3" t="s">
        <v>32</v>
      </c>
      <c r="B532" s="2" t="s">
        <v>28</v>
      </c>
      <c r="C532" s="2" t="s">
        <v>17</v>
      </c>
      <c r="D532" s="2" t="s">
        <v>28</v>
      </c>
      <c r="E532" s="2" t="s">
        <v>23</v>
      </c>
      <c r="F532" s="4" t="str">
        <f t="shared" si="19"/>
        <v>04-16N-09W</v>
      </c>
      <c r="G532" s="2">
        <v>2</v>
      </c>
    </row>
    <row r="533" spans="1:7" x14ac:dyDescent="0.25">
      <c r="A533" s="3" t="s">
        <v>33</v>
      </c>
      <c r="B533" s="2" t="s">
        <v>28</v>
      </c>
      <c r="C533" s="2" t="s">
        <v>17</v>
      </c>
      <c r="D533" s="2" t="s">
        <v>28</v>
      </c>
      <c r="E533" s="2" t="s">
        <v>23</v>
      </c>
      <c r="F533" s="4" t="str">
        <f t="shared" si="19"/>
        <v>05-16N-09W</v>
      </c>
      <c r="G533" s="2">
        <v>2</v>
      </c>
    </row>
    <row r="534" spans="1:7" x14ac:dyDescent="0.25">
      <c r="A534" s="3" t="s">
        <v>34</v>
      </c>
      <c r="B534" s="2" t="s">
        <v>28</v>
      </c>
      <c r="C534" s="2" t="s">
        <v>17</v>
      </c>
      <c r="D534" s="2" t="s">
        <v>28</v>
      </c>
      <c r="E534" s="2" t="s">
        <v>23</v>
      </c>
      <c r="F534" s="4" t="str">
        <f t="shared" si="19"/>
        <v>06-16N-09W</v>
      </c>
      <c r="G534" s="2">
        <v>2</v>
      </c>
    </row>
    <row r="535" spans="1:7" x14ac:dyDescent="0.25">
      <c r="A535" s="3" t="s">
        <v>35</v>
      </c>
      <c r="B535" s="2" t="s">
        <v>28</v>
      </c>
      <c r="C535" s="2" t="s">
        <v>17</v>
      </c>
      <c r="D535" s="2" t="s">
        <v>28</v>
      </c>
      <c r="E535" s="2" t="s">
        <v>23</v>
      </c>
      <c r="F535" s="4" t="str">
        <f t="shared" si="19"/>
        <v>07-16N-09W</v>
      </c>
      <c r="G535" s="2">
        <v>2</v>
      </c>
    </row>
    <row r="536" spans="1:7" x14ac:dyDescent="0.25">
      <c r="A536" s="3" t="s">
        <v>36</v>
      </c>
      <c r="B536" s="2" t="s">
        <v>28</v>
      </c>
      <c r="C536" s="2" t="s">
        <v>17</v>
      </c>
      <c r="D536" s="2" t="s">
        <v>28</v>
      </c>
      <c r="E536" s="2" t="s">
        <v>23</v>
      </c>
      <c r="F536" s="4" t="str">
        <f t="shared" si="19"/>
        <v>08-16N-09W</v>
      </c>
      <c r="G536" s="2">
        <v>2</v>
      </c>
    </row>
    <row r="537" spans="1:7" x14ac:dyDescent="0.25">
      <c r="A537" s="3" t="s">
        <v>37</v>
      </c>
      <c r="B537" s="2" t="s">
        <v>28</v>
      </c>
      <c r="C537" s="2" t="s">
        <v>17</v>
      </c>
      <c r="D537" s="2" t="s">
        <v>28</v>
      </c>
      <c r="E537" s="2" t="s">
        <v>23</v>
      </c>
      <c r="F537" s="4" t="str">
        <f t="shared" si="19"/>
        <v>09-16N-09W</v>
      </c>
      <c r="G537" s="2">
        <v>2</v>
      </c>
    </row>
    <row r="538" spans="1:7" x14ac:dyDescent="0.25">
      <c r="A538" s="3" t="s">
        <v>38</v>
      </c>
      <c r="B538" s="2" t="s">
        <v>28</v>
      </c>
      <c r="C538" s="2" t="s">
        <v>17</v>
      </c>
      <c r="D538" s="2" t="s">
        <v>28</v>
      </c>
      <c r="E538" s="2" t="s">
        <v>23</v>
      </c>
      <c r="F538" s="4" t="str">
        <f t="shared" si="19"/>
        <v>10-16N-09W</v>
      </c>
      <c r="G538" s="2">
        <v>2</v>
      </c>
    </row>
    <row r="539" spans="1:7" x14ac:dyDescent="0.25">
      <c r="A539" s="3" t="s">
        <v>39</v>
      </c>
      <c r="B539" s="2" t="s">
        <v>28</v>
      </c>
      <c r="C539" s="2" t="s">
        <v>17</v>
      </c>
      <c r="D539" s="2" t="s">
        <v>28</v>
      </c>
      <c r="E539" s="2" t="s">
        <v>23</v>
      </c>
      <c r="F539" s="4" t="str">
        <f t="shared" si="19"/>
        <v>11-16N-09W</v>
      </c>
      <c r="G539" s="2">
        <v>2</v>
      </c>
    </row>
    <row r="540" spans="1:7" x14ac:dyDescent="0.25">
      <c r="A540" s="3" t="s">
        <v>40</v>
      </c>
      <c r="B540" s="2" t="s">
        <v>28</v>
      </c>
      <c r="C540" s="2" t="s">
        <v>17</v>
      </c>
      <c r="D540" s="2" t="s">
        <v>28</v>
      </c>
      <c r="E540" s="2" t="s">
        <v>23</v>
      </c>
      <c r="F540" s="4" t="str">
        <f t="shared" si="19"/>
        <v>12-16N-09W</v>
      </c>
      <c r="G540" s="2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983"/>
  <sheetViews>
    <sheetView workbookViewId="0">
      <selection activeCell="F978" sqref="F978"/>
    </sheetView>
  </sheetViews>
  <sheetFormatPr defaultRowHeight="15" x14ac:dyDescent="0.25"/>
  <cols>
    <col min="5" max="5" width="25.140625" bestFit="1" customWidth="1"/>
  </cols>
  <sheetData>
    <row r="1" spans="1:9" x14ac:dyDescent="0.25">
      <c r="A1" s="6" t="s">
        <v>3</v>
      </c>
      <c r="B1" s="6" t="s">
        <v>2587</v>
      </c>
      <c r="C1" s="6" t="s">
        <v>2588</v>
      </c>
      <c r="D1" s="6"/>
      <c r="E1" s="6" t="s">
        <v>1739</v>
      </c>
      <c r="I1" s="7"/>
    </row>
    <row r="2" spans="1:9" x14ac:dyDescent="0.25">
      <c r="A2" s="6"/>
      <c r="B2" s="6"/>
      <c r="E2" s="6"/>
      <c r="I2" s="7"/>
    </row>
    <row r="3" spans="1:9" x14ac:dyDescent="0.25">
      <c r="A3" t="s">
        <v>1</v>
      </c>
      <c r="B3">
        <v>641632</v>
      </c>
      <c r="C3" t="s">
        <v>68</v>
      </c>
      <c r="E3" t="s">
        <v>2981</v>
      </c>
      <c r="I3" s="7"/>
    </row>
    <row r="4" spans="1:9" x14ac:dyDescent="0.25">
      <c r="A4" t="s">
        <v>1</v>
      </c>
      <c r="B4">
        <v>661054</v>
      </c>
      <c r="C4" t="s">
        <v>395</v>
      </c>
      <c r="E4" t="s">
        <v>2978</v>
      </c>
      <c r="I4" s="7"/>
    </row>
    <row r="5" spans="1:9" x14ac:dyDescent="0.25">
      <c r="A5" t="s">
        <v>1</v>
      </c>
      <c r="B5">
        <v>655817</v>
      </c>
      <c r="C5" t="s">
        <v>44</v>
      </c>
      <c r="E5" t="s">
        <v>2976</v>
      </c>
      <c r="I5" s="7"/>
    </row>
    <row r="6" spans="1:9" x14ac:dyDescent="0.25">
      <c r="A6" t="s">
        <v>1</v>
      </c>
      <c r="B6">
        <v>662323</v>
      </c>
      <c r="C6" t="s">
        <v>177</v>
      </c>
      <c r="E6" t="s">
        <v>2974</v>
      </c>
      <c r="I6" s="7"/>
    </row>
    <row r="7" spans="1:9" x14ac:dyDescent="0.25">
      <c r="A7" t="s">
        <v>1</v>
      </c>
      <c r="B7">
        <v>648850</v>
      </c>
      <c r="C7" t="s">
        <v>68</v>
      </c>
      <c r="E7" t="s">
        <v>2972</v>
      </c>
      <c r="I7" s="7"/>
    </row>
    <row r="8" spans="1:9" x14ac:dyDescent="0.25">
      <c r="A8" t="s">
        <v>1</v>
      </c>
      <c r="B8">
        <v>653815</v>
      </c>
      <c r="C8" t="s">
        <v>44</v>
      </c>
      <c r="E8" t="s">
        <v>2969</v>
      </c>
      <c r="I8" s="7"/>
    </row>
    <row r="9" spans="1:9" x14ac:dyDescent="0.25">
      <c r="A9" t="s">
        <v>1</v>
      </c>
      <c r="B9">
        <v>645103</v>
      </c>
      <c r="C9" t="s">
        <v>68</v>
      </c>
      <c r="E9" t="s">
        <v>2967</v>
      </c>
      <c r="I9" s="7"/>
    </row>
    <row r="10" spans="1:9" x14ac:dyDescent="0.25">
      <c r="A10" t="s">
        <v>1</v>
      </c>
      <c r="B10">
        <v>645558</v>
      </c>
      <c r="C10" t="s">
        <v>68</v>
      </c>
      <c r="E10" t="s">
        <v>2965</v>
      </c>
      <c r="I10" s="7"/>
    </row>
    <row r="11" spans="1:9" x14ac:dyDescent="0.25">
      <c r="A11" t="s">
        <v>1</v>
      </c>
      <c r="B11">
        <v>646568</v>
      </c>
      <c r="C11" t="s">
        <v>68</v>
      </c>
      <c r="E11" t="s">
        <v>2963</v>
      </c>
      <c r="I11" s="7"/>
    </row>
    <row r="12" spans="1:9" x14ac:dyDescent="0.25">
      <c r="A12" t="s">
        <v>1</v>
      </c>
      <c r="B12">
        <v>645807</v>
      </c>
      <c r="C12" t="s">
        <v>68</v>
      </c>
      <c r="E12" t="s">
        <v>2960</v>
      </c>
      <c r="I12" s="7"/>
    </row>
    <row r="13" spans="1:9" x14ac:dyDescent="0.25">
      <c r="A13" t="s">
        <v>1</v>
      </c>
      <c r="B13">
        <v>661469</v>
      </c>
      <c r="C13" t="s">
        <v>136</v>
      </c>
      <c r="E13" t="s">
        <v>2956</v>
      </c>
      <c r="I13" s="7"/>
    </row>
    <row r="14" spans="1:9" x14ac:dyDescent="0.25">
      <c r="A14" t="s">
        <v>1</v>
      </c>
      <c r="B14">
        <v>658170</v>
      </c>
      <c r="C14" t="s">
        <v>177</v>
      </c>
      <c r="E14" t="s">
        <v>2954</v>
      </c>
      <c r="I14" s="7"/>
    </row>
    <row r="15" spans="1:9" x14ac:dyDescent="0.25">
      <c r="A15" t="s">
        <v>1</v>
      </c>
      <c r="B15">
        <v>657896</v>
      </c>
      <c r="C15" t="s">
        <v>44</v>
      </c>
      <c r="E15" t="s">
        <v>2952</v>
      </c>
      <c r="I15" s="7"/>
    </row>
    <row r="16" spans="1:9" x14ac:dyDescent="0.25">
      <c r="A16" t="s">
        <v>1</v>
      </c>
      <c r="B16">
        <v>646770</v>
      </c>
      <c r="C16" t="s">
        <v>332</v>
      </c>
      <c r="E16" t="s">
        <v>2950</v>
      </c>
      <c r="I16" s="7"/>
    </row>
    <row r="17" spans="1:9" x14ac:dyDescent="0.25">
      <c r="A17" t="s">
        <v>1</v>
      </c>
      <c r="B17">
        <v>634641</v>
      </c>
      <c r="C17" t="s">
        <v>332</v>
      </c>
      <c r="E17" t="s">
        <v>2947</v>
      </c>
      <c r="I17" s="7"/>
    </row>
    <row r="18" spans="1:9" x14ac:dyDescent="0.25">
      <c r="A18" t="s">
        <v>1</v>
      </c>
      <c r="B18">
        <v>647529</v>
      </c>
      <c r="C18" t="s">
        <v>68</v>
      </c>
      <c r="E18" t="s">
        <v>2943</v>
      </c>
      <c r="I18" s="7"/>
    </row>
    <row r="19" spans="1:9" x14ac:dyDescent="0.25">
      <c r="A19" t="s">
        <v>1</v>
      </c>
      <c r="B19">
        <v>648662</v>
      </c>
      <c r="C19" t="s">
        <v>44</v>
      </c>
      <c r="E19" t="s">
        <v>2939</v>
      </c>
      <c r="I19" s="7"/>
    </row>
    <row r="20" spans="1:9" x14ac:dyDescent="0.25">
      <c r="A20" t="s">
        <v>1</v>
      </c>
      <c r="B20">
        <v>620616</v>
      </c>
      <c r="C20" t="s">
        <v>44</v>
      </c>
      <c r="E20" t="s">
        <v>2936</v>
      </c>
      <c r="I20" s="7"/>
    </row>
    <row r="21" spans="1:9" x14ac:dyDescent="0.25">
      <c r="A21" t="s">
        <v>1</v>
      </c>
      <c r="B21">
        <v>655662</v>
      </c>
      <c r="C21" t="s">
        <v>44</v>
      </c>
      <c r="E21" t="s">
        <v>2934</v>
      </c>
      <c r="I21" s="7"/>
    </row>
    <row r="22" spans="1:9" x14ac:dyDescent="0.25">
      <c r="A22" t="s">
        <v>1</v>
      </c>
      <c r="B22">
        <v>638011</v>
      </c>
      <c r="C22" t="s">
        <v>44</v>
      </c>
      <c r="E22" t="s">
        <v>2932</v>
      </c>
      <c r="I22" s="7"/>
    </row>
    <row r="23" spans="1:9" x14ac:dyDescent="0.25">
      <c r="A23" s="6"/>
      <c r="B23" s="6"/>
      <c r="E23" s="6"/>
      <c r="I23" s="7"/>
    </row>
    <row r="24" spans="1:9" x14ac:dyDescent="0.25">
      <c r="A24" s="6"/>
      <c r="B24" s="6"/>
      <c r="E24" s="6"/>
      <c r="I24" s="7"/>
    </row>
    <row r="25" spans="1:9" x14ac:dyDescent="0.25">
      <c r="A25" s="6"/>
      <c r="B25" s="6"/>
      <c r="E25" s="6"/>
      <c r="I25" s="7"/>
    </row>
    <row r="26" spans="1:9" x14ac:dyDescent="0.25">
      <c r="A26" t="s">
        <v>1</v>
      </c>
      <c r="B26">
        <v>644576</v>
      </c>
      <c r="C26" t="s">
        <v>68</v>
      </c>
      <c r="E26" t="s">
        <v>2925</v>
      </c>
      <c r="I26" s="7"/>
    </row>
    <row r="27" spans="1:9" x14ac:dyDescent="0.25">
      <c r="A27" t="s">
        <v>1</v>
      </c>
      <c r="B27">
        <v>620247</v>
      </c>
      <c r="C27" t="s">
        <v>210</v>
      </c>
      <c r="E27" t="s">
        <v>2916</v>
      </c>
      <c r="I27" s="7"/>
    </row>
    <row r="28" spans="1:9" x14ac:dyDescent="0.25">
      <c r="A28" t="s">
        <v>1</v>
      </c>
      <c r="B28">
        <v>646068</v>
      </c>
      <c r="C28" t="s">
        <v>397</v>
      </c>
      <c r="E28" t="s">
        <v>2914</v>
      </c>
      <c r="I28" s="7"/>
    </row>
    <row r="29" spans="1:9" x14ac:dyDescent="0.25">
      <c r="A29" t="s">
        <v>1</v>
      </c>
      <c r="B29">
        <v>647513</v>
      </c>
      <c r="C29" t="s">
        <v>177</v>
      </c>
      <c r="E29" t="s">
        <v>2910</v>
      </c>
      <c r="I29" s="7"/>
    </row>
    <row r="30" spans="1:9" x14ac:dyDescent="0.25">
      <c r="A30" t="s">
        <v>1</v>
      </c>
      <c r="B30">
        <v>647049</v>
      </c>
      <c r="C30" t="s">
        <v>397</v>
      </c>
      <c r="E30" t="s">
        <v>2903</v>
      </c>
      <c r="I30" s="7"/>
    </row>
    <row r="31" spans="1:9" x14ac:dyDescent="0.25">
      <c r="A31" t="s">
        <v>1</v>
      </c>
      <c r="B31">
        <v>651854</v>
      </c>
      <c r="C31" t="s">
        <v>68</v>
      </c>
      <c r="E31" t="s">
        <v>2901</v>
      </c>
      <c r="I31" s="7"/>
    </row>
    <row r="32" spans="1:9" x14ac:dyDescent="0.25">
      <c r="A32" t="s">
        <v>1</v>
      </c>
      <c r="B32">
        <v>662953</v>
      </c>
      <c r="C32" t="s">
        <v>163</v>
      </c>
      <c r="E32" t="s">
        <v>2899</v>
      </c>
      <c r="I32" s="7"/>
    </row>
    <row r="33" spans="1:9" x14ac:dyDescent="0.25">
      <c r="A33" t="s">
        <v>1</v>
      </c>
      <c r="B33">
        <v>647528</v>
      </c>
      <c r="C33" t="s">
        <v>68</v>
      </c>
      <c r="E33" t="s">
        <v>2892</v>
      </c>
      <c r="I33" s="7"/>
    </row>
    <row r="34" spans="1:9" x14ac:dyDescent="0.25">
      <c r="A34" t="s">
        <v>1</v>
      </c>
      <c r="B34">
        <v>644575</v>
      </c>
      <c r="C34" t="s">
        <v>68</v>
      </c>
      <c r="E34" t="s">
        <v>2889</v>
      </c>
      <c r="I34" s="7"/>
    </row>
    <row r="35" spans="1:9" x14ac:dyDescent="0.25">
      <c r="A35" s="6"/>
      <c r="B35" s="6"/>
      <c r="E35" s="6"/>
      <c r="I35" s="7"/>
    </row>
    <row r="36" spans="1:9" x14ac:dyDescent="0.25">
      <c r="A36" s="6"/>
      <c r="B36" s="6"/>
      <c r="E36" s="6"/>
      <c r="I36" s="7"/>
    </row>
    <row r="37" spans="1:9" x14ac:dyDescent="0.25">
      <c r="A37" t="s">
        <v>1</v>
      </c>
      <c r="B37">
        <v>649914</v>
      </c>
      <c r="C37" t="s">
        <v>44</v>
      </c>
      <c r="E37" t="s">
        <v>2886</v>
      </c>
      <c r="I37" s="7"/>
    </row>
    <row r="38" spans="1:9" x14ac:dyDescent="0.25">
      <c r="A38" t="s">
        <v>1</v>
      </c>
      <c r="B38">
        <v>656154</v>
      </c>
      <c r="C38" t="s">
        <v>163</v>
      </c>
      <c r="E38" t="s">
        <v>2881</v>
      </c>
      <c r="I38" s="7"/>
    </row>
    <row r="39" spans="1:9" x14ac:dyDescent="0.25">
      <c r="A39" t="s">
        <v>1</v>
      </c>
      <c r="B39">
        <v>645911</v>
      </c>
      <c r="C39" t="s">
        <v>332</v>
      </c>
      <c r="E39" t="s">
        <v>2879</v>
      </c>
      <c r="I39" s="7"/>
    </row>
    <row r="40" spans="1:9" x14ac:dyDescent="0.25">
      <c r="A40" t="s">
        <v>1</v>
      </c>
      <c r="B40">
        <v>647144</v>
      </c>
      <c r="C40" t="s">
        <v>332</v>
      </c>
      <c r="E40" t="s">
        <v>2877</v>
      </c>
      <c r="I40" s="7"/>
    </row>
    <row r="41" spans="1:9" x14ac:dyDescent="0.25">
      <c r="A41" t="s">
        <v>1</v>
      </c>
      <c r="B41">
        <v>649913</v>
      </c>
      <c r="C41" t="s">
        <v>44</v>
      </c>
      <c r="E41" t="s">
        <v>2875</v>
      </c>
      <c r="I41" s="7"/>
    </row>
    <row r="42" spans="1:9" x14ac:dyDescent="0.25">
      <c r="A42" t="s">
        <v>1</v>
      </c>
      <c r="B42">
        <v>658505</v>
      </c>
      <c r="C42" t="s">
        <v>44</v>
      </c>
      <c r="E42" t="s">
        <v>2870</v>
      </c>
      <c r="I42" s="7"/>
    </row>
    <row r="43" spans="1:9" x14ac:dyDescent="0.25">
      <c r="A43" t="s">
        <v>1</v>
      </c>
      <c r="B43">
        <v>652571</v>
      </c>
      <c r="C43" t="s">
        <v>44</v>
      </c>
      <c r="E43" t="s">
        <v>2867</v>
      </c>
      <c r="I43" s="7"/>
    </row>
    <row r="44" spans="1:9" x14ac:dyDescent="0.25">
      <c r="A44" t="s">
        <v>1</v>
      </c>
      <c r="B44">
        <v>647143</v>
      </c>
      <c r="C44" t="s">
        <v>332</v>
      </c>
      <c r="E44" t="s">
        <v>2864</v>
      </c>
      <c r="I44" s="7"/>
    </row>
    <row r="45" spans="1:9" x14ac:dyDescent="0.25">
      <c r="A45" t="s">
        <v>1</v>
      </c>
      <c r="B45">
        <v>619440</v>
      </c>
      <c r="C45" t="s">
        <v>44</v>
      </c>
      <c r="E45" t="s">
        <v>2862</v>
      </c>
      <c r="I45" s="7"/>
    </row>
    <row r="46" spans="1:9" x14ac:dyDescent="0.25">
      <c r="A46" t="s">
        <v>1</v>
      </c>
      <c r="B46">
        <v>608461</v>
      </c>
      <c r="C46" t="s">
        <v>44</v>
      </c>
      <c r="E46" t="s">
        <v>2860</v>
      </c>
      <c r="I46" s="7"/>
    </row>
    <row r="47" spans="1:9" x14ac:dyDescent="0.25">
      <c r="A47" t="s">
        <v>1</v>
      </c>
      <c r="B47">
        <v>608460</v>
      </c>
      <c r="C47" t="s">
        <v>44</v>
      </c>
      <c r="E47" t="s">
        <v>2858</v>
      </c>
      <c r="I47" s="7"/>
    </row>
    <row r="48" spans="1:9" x14ac:dyDescent="0.25">
      <c r="A48" t="s">
        <v>1</v>
      </c>
      <c r="B48">
        <v>619439</v>
      </c>
      <c r="C48" t="s">
        <v>44</v>
      </c>
      <c r="E48" t="s">
        <v>2856</v>
      </c>
      <c r="I48" s="7"/>
    </row>
    <row r="49" spans="1:9" x14ac:dyDescent="0.25">
      <c r="A49" t="s">
        <v>1</v>
      </c>
      <c r="B49">
        <v>644904</v>
      </c>
      <c r="C49" t="s">
        <v>44</v>
      </c>
      <c r="E49" t="s">
        <v>2853</v>
      </c>
      <c r="I49" s="7"/>
    </row>
    <row r="50" spans="1:9" x14ac:dyDescent="0.25">
      <c r="A50" t="s">
        <v>1</v>
      </c>
      <c r="B50">
        <v>655673</v>
      </c>
      <c r="C50" t="s">
        <v>44</v>
      </c>
      <c r="E50" t="s">
        <v>2850</v>
      </c>
      <c r="I50" s="7"/>
    </row>
    <row r="51" spans="1:9" x14ac:dyDescent="0.25">
      <c r="A51" t="s">
        <v>1</v>
      </c>
      <c r="B51">
        <v>658861</v>
      </c>
      <c r="C51" t="s">
        <v>44</v>
      </c>
      <c r="E51" t="s">
        <v>2846</v>
      </c>
      <c r="I51" s="7"/>
    </row>
    <row r="52" spans="1:9" x14ac:dyDescent="0.25">
      <c r="A52" t="s">
        <v>1</v>
      </c>
      <c r="B52">
        <v>641175</v>
      </c>
      <c r="C52" t="s">
        <v>332</v>
      </c>
      <c r="E52" t="s">
        <v>2840</v>
      </c>
      <c r="I52" s="7"/>
    </row>
    <row r="53" spans="1:9" x14ac:dyDescent="0.25">
      <c r="A53" t="s">
        <v>1</v>
      </c>
      <c r="B53">
        <v>646773</v>
      </c>
      <c r="C53" t="s">
        <v>44</v>
      </c>
      <c r="E53" t="s">
        <v>2838</v>
      </c>
      <c r="I53" s="7"/>
    </row>
    <row r="54" spans="1:9" x14ac:dyDescent="0.25">
      <c r="A54" t="s">
        <v>1</v>
      </c>
      <c r="B54">
        <v>623484</v>
      </c>
      <c r="C54" t="s">
        <v>44</v>
      </c>
      <c r="E54" t="s">
        <v>2836</v>
      </c>
      <c r="I54" s="7"/>
    </row>
    <row r="55" spans="1:9" x14ac:dyDescent="0.25">
      <c r="A55" t="s">
        <v>1</v>
      </c>
      <c r="B55">
        <v>622258</v>
      </c>
      <c r="C55" t="s">
        <v>44</v>
      </c>
      <c r="E55" t="s">
        <v>2834</v>
      </c>
      <c r="I55" s="7"/>
    </row>
    <row r="56" spans="1:9" x14ac:dyDescent="0.25">
      <c r="A56" t="s">
        <v>1</v>
      </c>
      <c r="B56">
        <v>622257</v>
      </c>
      <c r="C56" t="s">
        <v>44</v>
      </c>
      <c r="E56" t="s">
        <v>2830</v>
      </c>
      <c r="I56" s="7"/>
    </row>
    <row r="57" spans="1:9" x14ac:dyDescent="0.25">
      <c r="A57" t="s">
        <v>1</v>
      </c>
      <c r="B57">
        <v>623483</v>
      </c>
      <c r="C57" t="s">
        <v>44</v>
      </c>
      <c r="E57" t="s">
        <v>2828</v>
      </c>
      <c r="I57" s="7"/>
    </row>
    <row r="58" spans="1:9" x14ac:dyDescent="0.25">
      <c r="A58" t="s">
        <v>1</v>
      </c>
      <c r="B58">
        <v>639186</v>
      </c>
      <c r="C58" t="s">
        <v>68</v>
      </c>
      <c r="E58" t="s">
        <v>2826</v>
      </c>
      <c r="I58" s="7"/>
    </row>
    <row r="59" spans="1:9" x14ac:dyDescent="0.25">
      <c r="A59" t="s">
        <v>1</v>
      </c>
      <c r="B59">
        <v>626524</v>
      </c>
      <c r="C59" t="s">
        <v>68</v>
      </c>
      <c r="E59" t="s">
        <v>2823</v>
      </c>
      <c r="I59" s="7"/>
    </row>
    <row r="60" spans="1:9" x14ac:dyDescent="0.25">
      <c r="A60" s="6"/>
      <c r="B60" s="6"/>
      <c r="E60" s="6"/>
      <c r="I60" s="7"/>
    </row>
    <row r="61" spans="1:9" x14ac:dyDescent="0.25">
      <c r="A61" s="6"/>
      <c r="B61" s="6"/>
      <c r="E61" s="6"/>
      <c r="I61" s="7"/>
    </row>
    <row r="62" spans="1:9" x14ac:dyDescent="0.25">
      <c r="A62" t="s">
        <v>1</v>
      </c>
      <c r="B62">
        <v>635077</v>
      </c>
      <c r="C62" t="s">
        <v>44</v>
      </c>
      <c r="E62" t="s">
        <v>2818</v>
      </c>
      <c r="I62" s="7"/>
    </row>
    <row r="63" spans="1:9" x14ac:dyDescent="0.25">
      <c r="A63" t="s">
        <v>1</v>
      </c>
      <c r="B63">
        <v>632508</v>
      </c>
      <c r="C63" t="s">
        <v>332</v>
      </c>
      <c r="E63" t="s">
        <v>2815</v>
      </c>
      <c r="I63" s="7"/>
    </row>
    <row r="64" spans="1:9" x14ac:dyDescent="0.25">
      <c r="A64" t="s">
        <v>1</v>
      </c>
      <c r="B64">
        <v>615954</v>
      </c>
      <c r="C64" t="s">
        <v>44</v>
      </c>
      <c r="E64" t="s">
        <v>2813</v>
      </c>
      <c r="I64" s="7"/>
    </row>
    <row r="65" spans="1:9" x14ac:dyDescent="0.25">
      <c r="A65" t="s">
        <v>1</v>
      </c>
      <c r="B65">
        <v>640896</v>
      </c>
      <c r="C65" t="s">
        <v>44</v>
      </c>
      <c r="E65" t="s">
        <v>2811</v>
      </c>
      <c r="I65" s="7"/>
    </row>
    <row r="66" spans="1:9" x14ac:dyDescent="0.25">
      <c r="A66" t="s">
        <v>1</v>
      </c>
      <c r="B66">
        <v>645280</v>
      </c>
      <c r="C66" t="s">
        <v>44</v>
      </c>
      <c r="E66" t="s">
        <v>2808</v>
      </c>
      <c r="I66" s="7"/>
    </row>
    <row r="67" spans="1:9" x14ac:dyDescent="0.25">
      <c r="A67" t="s">
        <v>1</v>
      </c>
      <c r="B67">
        <v>639663</v>
      </c>
      <c r="C67" t="s">
        <v>332</v>
      </c>
      <c r="E67" t="s">
        <v>2806</v>
      </c>
      <c r="I67" s="7"/>
    </row>
    <row r="68" spans="1:9" x14ac:dyDescent="0.25">
      <c r="A68" t="s">
        <v>1</v>
      </c>
      <c r="B68">
        <v>650888</v>
      </c>
      <c r="C68" t="s">
        <v>332</v>
      </c>
      <c r="E68" t="s">
        <v>2803</v>
      </c>
      <c r="I68" s="7"/>
    </row>
    <row r="69" spans="1:9" x14ac:dyDescent="0.25">
      <c r="A69" t="s">
        <v>1</v>
      </c>
      <c r="B69">
        <v>640424</v>
      </c>
      <c r="C69" t="s">
        <v>44</v>
      </c>
      <c r="E69" t="s">
        <v>2801</v>
      </c>
      <c r="I69" s="7"/>
    </row>
    <row r="70" spans="1:9" x14ac:dyDescent="0.25">
      <c r="A70" t="s">
        <v>1</v>
      </c>
      <c r="B70">
        <v>632626</v>
      </c>
      <c r="C70" t="s">
        <v>1388</v>
      </c>
      <c r="E70" t="s">
        <v>2799</v>
      </c>
      <c r="I70" s="7"/>
    </row>
    <row r="71" spans="1:9" x14ac:dyDescent="0.25">
      <c r="A71" t="s">
        <v>1</v>
      </c>
      <c r="B71">
        <v>655547</v>
      </c>
      <c r="C71" t="s">
        <v>44</v>
      </c>
      <c r="E71" t="s">
        <v>2795</v>
      </c>
      <c r="I71" s="7"/>
    </row>
    <row r="72" spans="1:9" x14ac:dyDescent="0.25">
      <c r="A72" t="s">
        <v>1</v>
      </c>
      <c r="B72">
        <v>610818</v>
      </c>
      <c r="C72" t="s">
        <v>2790</v>
      </c>
      <c r="E72" t="s">
        <v>2793</v>
      </c>
      <c r="I72" s="7"/>
    </row>
    <row r="73" spans="1:9" x14ac:dyDescent="0.25">
      <c r="A73" t="s">
        <v>1</v>
      </c>
      <c r="B73">
        <v>610817</v>
      </c>
      <c r="C73" t="s">
        <v>2790</v>
      </c>
      <c r="E73" t="s">
        <v>2791</v>
      </c>
      <c r="I73" s="7"/>
    </row>
    <row r="74" spans="1:9" x14ac:dyDescent="0.25">
      <c r="A74" t="s">
        <v>1</v>
      </c>
      <c r="B74">
        <v>638192</v>
      </c>
      <c r="C74" t="s">
        <v>44</v>
      </c>
      <c r="E74" t="s">
        <v>2788</v>
      </c>
      <c r="I74" s="7"/>
    </row>
    <row r="75" spans="1:9" x14ac:dyDescent="0.25">
      <c r="A75" t="s">
        <v>1</v>
      </c>
      <c r="B75">
        <v>622262</v>
      </c>
      <c r="C75" t="s">
        <v>44</v>
      </c>
      <c r="E75" t="s">
        <v>2786</v>
      </c>
      <c r="I75" s="7"/>
    </row>
    <row r="76" spans="1:9" x14ac:dyDescent="0.25">
      <c r="A76" t="s">
        <v>1</v>
      </c>
      <c r="B76">
        <v>632502</v>
      </c>
      <c r="C76" t="s">
        <v>1388</v>
      </c>
      <c r="E76" t="s">
        <v>2784</v>
      </c>
      <c r="I76" s="7"/>
    </row>
    <row r="77" spans="1:9" x14ac:dyDescent="0.25">
      <c r="A77" t="s">
        <v>1</v>
      </c>
      <c r="B77">
        <v>638768</v>
      </c>
      <c r="C77" t="s">
        <v>68</v>
      </c>
      <c r="E77" t="s">
        <v>2782</v>
      </c>
      <c r="I77" s="7"/>
    </row>
    <row r="78" spans="1:9" x14ac:dyDescent="0.25">
      <c r="A78" t="s">
        <v>1</v>
      </c>
      <c r="B78">
        <v>636141</v>
      </c>
      <c r="C78" t="s">
        <v>44</v>
      </c>
      <c r="E78" t="s">
        <v>2779</v>
      </c>
      <c r="I78" s="7"/>
    </row>
    <row r="79" spans="1:9" x14ac:dyDescent="0.25">
      <c r="A79" t="s">
        <v>1</v>
      </c>
      <c r="B79">
        <v>641708</v>
      </c>
      <c r="C79" t="s">
        <v>44</v>
      </c>
      <c r="E79" t="s">
        <v>2775</v>
      </c>
      <c r="I79" s="7"/>
    </row>
    <row r="80" spans="1:9" x14ac:dyDescent="0.25">
      <c r="A80" t="s">
        <v>1</v>
      </c>
      <c r="B80">
        <v>636083</v>
      </c>
      <c r="C80" t="s">
        <v>68</v>
      </c>
      <c r="E80" t="s">
        <v>2773</v>
      </c>
      <c r="I80" s="7"/>
    </row>
    <row r="81" spans="1:9" x14ac:dyDescent="0.25">
      <c r="A81" t="s">
        <v>1</v>
      </c>
      <c r="B81">
        <v>639567</v>
      </c>
      <c r="C81" t="s">
        <v>44</v>
      </c>
      <c r="E81" t="s">
        <v>2771</v>
      </c>
      <c r="I81" s="7"/>
    </row>
    <row r="82" spans="1:9" x14ac:dyDescent="0.25">
      <c r="A82" t="s">
        <v>1</v>
      </c>
      <c r="B82">
        <v>622261</v>
      </c>
      <c r="C82" t="s">
        <v>44</v>
      </c>
      <c r="E82" t="s">
        <v>2769</v>
      </c>
      <c r="I82" s="7"/>
    </row>
    <row r="83" spans="1:9" x14ac:dyDescent="0.25">
      <c r="A83" t="s">
        <v>1</v>
      </c>
      <c r="B83">
        <v>611385</v>
      </c>
      <c r="C83" t="s">
        <v>44</v>
      </c>
      <c r="E83" t="s">
        <v>2767</v>
      </c>
      <c r="I83" s="7"/>
    </row>
    <row r="84" spans="1:9" x14ac:dyDescent="0.25">
      <c r="A84" t="s">
        <v>1</v>
      </c>
      <c r="B84">
        <v>611572</v>
      </c>
      <c r="C84" t="s">
        <v>44</v>
      </c>
      <c r="E84" t="s">
        <v>2765</v>
      </c>
      <c r="I84" s="7"/>
    </row>
    <row r="85" spans="1:9" x14ac:dyDescent="0.25">
      <c r="A85" t="s">
        <v>1</v>
      </c>
      <c r="B85">
        <v>605533</v>
      </c>
      <c r="C85" t="s">
        <v>44</v>
      </c>
      <c r="E85" t="s">
        <v>2763</v>
      </c>
      <c r="I85" s="7"/>
    </row>
    <row r="86" spans="1:9" x14ac:dyDescent="0.25">
      <c r="A86" t="s">
        <v>1</v>
      </c>
      <c r="B86">
        <v>605218</v>
      </c>
      <c r="C86" t="s">
        <v>44</v>
      </c>
      <c r="E86" t="s">
        <v>2761</v>
      </c>
      <c r="I86" s="7"/>
    </row>
    <row r="87" spans="1:9" x14ac:dyDescent="0.25">
      <c r="A87" t="s">
        <v>1</v>
      </c>
      <c r="B87">
        <v>639952</v>
      </c>
      <c r="C87" t="s">
        <v>44</v>
      </c>
      <c r="E87" t="s">
        <v>2759</v>
      </c>
      <c r="I87" s="7"/>
    </row>
    <row r="88" spans="1:9" x14ac:dyDescent="0.25">
      <c r="A88" t="s">
        <v>1</v>
      </c>
      <c r="B88">
        <v>657238</v>
      </c>
      <c r="C88" t="s">
        <v>163</v>
      </c>
      <c r="E88" t="s">
        <v>2757</v>
      </c>
      <c r="I88" s="7"/>
    </row>
    <row r="89" spans="1:9" x14ac:dyDescent="0.25">
      <c r="A89" t="s">
        <v>1</v>
      </c>
      <c r="B89">
        <v>642682</v>
      </c>
      <c r="C89" t="s">
        <v>332</v>
      </c>
      <c r="E89" t="s">
        <v>2752</v>
      </c>
      <c r="I89" s="7"/>
    </row>
    <row r="90" spans="1:9" x14ac:dyDescent="0.25">
      <c r="A90" t="s">
        <v>1</v>
      </c>
      <c r="B90">
        <v>605929</v>
      </c>
      <c r="C90" t="s">
        <v>44</v>
      </c>
      <c r="E90" t="s">
        <v>2750</v>
      </c>
      <c r="I90" s="7"/>
    </row>
    <row r="91" spans="1:9" x14ac:dyDescent="0.25">
      <c r="I91" s="7"/>
    </row>
    <row r="92" spans="1:9" x14ac:dyDescent="0.25">
      <c r="A92" t="s">
        <v>1</v>
      </c>
      <c r="B92">
        <v>653097</v>
      </c>
      <c r="C92" t="s">
        <v>332</v>
      </c>
      <c r="E92" t="s">
        <v>2727</v>
      </c>
      <c r="I92" s="7"/>
    </row>
    <row r="93" spans="1:9" x14ac:dyDescent="0.25">
      <c r="A93" t="s">
        <v>1</v>
      </c>
      <c r="B93">
        <v>658202</v>
      </c>
      <c r="C93" t="s">
        <v>397</v>
      </c>
      <c r="E93" t="s">
        <v>2725</v>
      </c>
      <c r="I93" s="7"/>
    </row>
    <row r="94" spans="1:9" x14ac:dyDescent="0.25">
      <c r="A94" t="s">
        <v>1</v>
      </c>
      <c r="B94">
        <v>630456</v>
      </c>
      <c r="C94" t="s">
        <v>332</v>
      </c>
      <c r="E94" t="s">
        <v>2722</v>
      </c>
      <c r="I94" s="7"/>
    </row>
    <row r="95" spans="1:9" ht="14.25" customHeight="1" x14ac:dyDescent="0.25">
      <c r="A95" t="s">
        <v>1</v>
      </c>
      <c r="B95">
        <v>651994</v>
      </c>
      <c r="C95" t="s">
        <v>68</v>
      </c>
      <c r="E95" t="s">
        <v>2719</v>
      </c>
      <c r="I95" s="7"/>
    </row>
    <row r="96" spans="1:9" x14ac:dyDescent="0.25">
      <c r="A96" t="s">
        <v>1</v>
      </c>
      <c r="B96">
        <v>633607</v>
      </c>
      <c r="C96" t="s">
        <v>332</v>
      </c>
      <c r="E96" t="s">
        <v>2715</v>
      </c>
      <c r="I96" s="7"/>
    </row>
    <row r="97" spans="1:9" x14ac:dyDescent="0.25">
      <c r="A97" t="s">
        <v>1</v>
      </c>
      <c r="B97">
        <v>650304</v>
      </c>
      <c r="C97" t="s">
        <v>68</v>
      </c>
      <c r="E97" t="s">
        <v>2712</v>
      </c>
      <c r="I97" s="7"/>
    </row>
    <row r="98" spans="1:9" x14ac:dyDescent="0.25">
      <c r="A98" t="s">
        <v>1</v>
      </c>
      <c r="B98">
        <v>630971</v>
      </c>
      <c r="C98" t="s">
        <v>332</v>
      </c>
      <c r="E98" t="s">
        <v>2710</v>
      </c>
      <c r="I98" s="7"/>
    </row>
    <row r="99" spans="1:9" x14ac:dyDescent="0.25">
      <c r="A99" t="s">
        <v>1</v>
      </c>
      <c r="B99">
        <v>658203</v>
      </c>
      <c r="C99" t="s">
        <v>397</v>
      </c>
      <c r="E99" t="s">
        <v>2707</v>
      </c>
      <c r="I99" s="7"/>
    </row>
    <row r="100" spans="1:9" x14ac:dyDescent="0.25">
      <c r="A100" t="s">
        <v>1</v>
      </c>
      <c r="B100">
        <v>653402</v>
      </c>
      <c r="C100" t="s">
        <v>332</v>
      </c>
      <c r="E100" t="s">
        <v>2705</v>
      </c>
      <c r="I100" s="7"/>
    </row>
    <row r="101" spans="1:9" x14ac:dyDescent="0.25">
      <c r="A101" t="s">
        <v>1</v>
      </c>
      <c r="B101">
        <v>650894</v>
      </c>
      <c r="C101" t="s">
        <v>136</v>
      </c>
      <c r="E101" t="s">
        <v>2703</v>
      </c>
      <c r="I101" s="7"/>
    </row>
    <row r="102" spans="1:9" x14ac:dyDescent="0.25">
      <c r="A102" t="s">
        <v>1</v>
      </c>
      <c r="B102">
        <v>651573</v>
      </c>
      <c r="C102" t="s">
        <v>397</v>
      </c>
      <c r="E102" t="s">
        <v>2700</v>
      </c>
      <c r="I102" s="7"/>
    </row>
    <row r="103" spans="1:9" x14ac:dyDescent="0.25">
      <c r="A103" t="s">
        <v>1</v>
      </c>
      <c r="B103">
        <v>631230</v>
      </c>
      <c r="C103" t="s">
        <v>44</v>
      </c>
      <c r="E103" t="s">
        <v>2697</v>
      </c>
      <c r="I103" s="7"/>
    </row>
    <row r="104" spans="1:9" x14ac:dyDescent="0.25">
      <c r="A104" t="s">
        <v>1</v>
      </c>
      <c r="B104">
        <v>651572</v>
      </c>
      <c r="C104" t="s">
        <v>397</v>
      </c>
      <c r="E104" t="s">
        <v>2693</v>
      </c>
      <c r="I104" s="7"/>
    </row>
    <row r="105" spans="1:9" x14ac:dyDescent="0.25">
      <c r="A105" t="s">
        <v>1</v>
      </c>
      <c r="B105">
        <v>628521</v>
      </c>
      <c r="C105" t="s">
        <v>332</v>
      </c>
      <c r="E105" t="s">
        <v>2690</v>
      </c>
      <c r="I105" s="7"/>
    </row>
    <row r="106" spans="1:9" x14ac:dyDescent="0.25">
      <c r="A106" t="s">
        <v>1</v>
      </c>
      <c r="B106">
        <v>662315</v>
      </c>
      <c r="C106" t="s">
        <v>177</v>
      </c>
      <c r="E106" t="s">
        <v>2686</v>
      </c>
      <c r="I106" s="7"/>
    </row>
    <row r="107" spans="1:9" x14ac:dyDescent="0.25">
      <c r="I107" s="7"/>
    </row>
    <row r="108" spans="1:9" x14ac:dyDescent="0.25">
      <c r="A108" t="s">
        <v>1</v>
      </c>
      <c r="B108">
        <v>659738</v>
      </c>
      <c r="C108" t="s">
        <v>136</v>
      </c>
      <c r="E108" t="s">
        <v>2673</v>
      </c>
      <c r="I108" s="7"/>
    </row>
    <row r="109" spans="1:9" x14ac:dyDescent="0.25">
      <c r="A109" t="s">
        <v>1</v>
      </c>
      <c r="B109">
        <v>662445</v>
      </c>
      <c r="C109" t="s">
        <v>136</v>
      </c>
      <c r="E109" t="s">
        <v>2671</v>
      </c>
      <c r="I109" s="7"/>
    </row>
    <row r="110" spans="1:9" x14ac:dyDescent="0.25">
      <c r="A110" t="s">
        <v>1</v>
      </c>
      <c r="B110">
        <v>603563</v>
      </c>
      <c r="C110" t="s">
        <v>136</v>
      </c>
      <c r="E110" t="s">
        <v>2668</v>
      </c>
      <c r="I110" s="7"/>
    </row>
    <row r="111" spans="1:9" x14ac:dyDescent="0.25">
      <c r="A111" t="s">
        <v>1</v>
      </c>
      <c r="B111">
        <v>662444</v>
      </c>
      <c r="C111" t="s">
        <v>136</v>
      </c>
      <c r="E111" t="s">
        <v>2666</v>
      </c>
      <c r="I111" s="7"/>
    </row>
    <row r="112" spans="1:9" x14ac:dyDescent="0.25">
      <c r="A112" t="s">
        <v>1</v>
      </c>
      <c r="B112">
        <v>641616</v>
      </c>
      <c r="C112" t="s">
        <v>332</v>
      </c>
      <c r="E112" t="s">
        <v>2662</v>
      </c>
      <c r="I112" s="7"/>
    </row>
    <row r="113" spans="1:9" x14ac:dyDescent="0.25">
      <c r="A113" t="s">
        <v>1</v>
      </c>
      <c r="B113">
        <v>645792</v>
      </c>
      <c r="C113" t="s">
        <v>332</v>
      </c>
      <c r="E113" t="s">
        <v>2658</v>
      </c>
      <c r="I113" s="7"/>
    </row>
    <row r="114" spans="1:9" x14ac:dyDescent="0.25">
      <c r="A114" t="s">
        <v>1</v>
      </c>
      <c r="B114">
        <v>641615</v>
      </c>
      <c r="C114" t="s">
        <v>332</v>
      </c>
      <c r="E114" t="s">
        <v>2656</v>
      </c>
      <c r="I114" s="7"/>
    </row>
    <row r="115" spans="1:9" x14ac:dyDescent="0.25">
      <c r="A115" s="6"/>
      <c r="B115" s="6"/>
      <c r="E115" s="6"/>
      <c r="I115" s="7"/>
    </row>
    <row r="116" spans="1:9" x14ac:dyDescent="0.25">
      <c r="A116" s="6"/>
      <c r="B116" s="6"/>
      <c r="E116" s="6"/>
      <c r="I116" s="7"/>
    </row>
    <row r="117" spans="1:9" x14ac:dyDescent="0.25">
      <c r="A117" t="s">
        <v>1</v>
      </c>
      <c r="B117">
        <v>650082</v>
      </c>
      <c r="C117" t="s">
        <v>397</v>
      </c>
      <c r="E117" t="s">
        <v>2653</v>
      </c>
      <c r="I117" s="7"/>
    </row>
    <row r="118" spans="1:9" x14ac:dyDescent="0.25">
      <c r="A118" t="s">
        <v>1</v>
      </c>
      <c r="B118">
        <v>650081</v>
      </c>
      <c r="C118" t="s">
        <v>397</v>
      </c>
      <c r="E118" t="s">
        <v>2653</v>
      </c>
      <c r="I118" s="7"/>
    </row>
    <row r="119" spans="1:9" x14ac:dyDescent="0.25">
      <c r="A119" t="s">
        <v>1</v>
      </c>
      <c r="B119">
        <v>650083</v>
      </c>
      <c r="C119" t="s">
        <v>397</v>
      </c>
      <c r="E119" t="s">
        <v>2651</v>
      </c>
      <c r="I119" s="7"/>
    </row>
    <row r="120" spans="1:9" x14ac:dyDescent="0.25">
      <c r="A120" t="s">
        <v>1</v>
      </c>
      <c r="B120">
        <v>661089</v>
      </c>
      <c r="C120" t="s">
        <v>163</v>
      </c>
      <c r="E120" t="s">
        <v>2647</v>
      </c>
      <c r="I120" s="7"/>
    </row>
    <row r="121" spans="1:9" x14ac:dyDescent="0.25">
      <c r="A121" t="s">
        <v>1</v>
      </c>
      <c r="B121">
        <v>659523</v>
      </c>
      <c r="C121" t="s">
        <v>163</v>
      </c>
      <c r="E121" t="s">
        <v>2641</v>
      </c>
      <c r="I121" s="7"/>
    </row>
    <row r="122" spans="1:9" x14ac:dyDescent="0.25">
      <c r="A122" t="s">
        <v>1</v>
      </c>
      <c r="B122">
        <v>607409</v>
      </c>
      <c r="C122" t="s">
        <v>2640</v>
      </c>
      <c r="E122" t="s">
        <v>2641</v>
      </c>
      <c r="I122" s="7"/>
    </row>
    <row r="123" spans="1:9" x14ac:dyDescent="0.25">
      <c r="A123" t="s">
        <v>1</v>
      </c>
      <c r="B123">
        <v>630664</v>
      </c>
      <c r="C123" t="s">
        <v>397</v>
      </c>
      <c r="E123" t="s">
        <v>2638</v>
      </c>
    </row>
    <row r="124" spans="1:9" x14ac:dyDescent="0.25">
      <c r="A124" t="s">
        <v>1</v>
      </c>
      <c r="B124">
        <v>631818</v>
      </c>
      <c r="C124" t="s">
        <v>397</v>
      </c>
      <c r="E124" t="s">
        <v>2636</v>
      </c>
      <c r="I124" s="7"/>
    </row>
    <row r="125" spans="1:9" x14ac:dyDescent="0.25">
      <c r="A125" s="6"/>
      <c r="B125" s="6"/>
      <c r="E125" s="6"/>
      <c r="I125" s="7"/>
    </row>
    <row r="126" spans="1:9" x14ac:dyDescent="0.25">
      <c r="A126" s="6"/>
      <c r="B126" s="6"/>
      <c r="E126" s="6"/>
      <c r="I126" s="7"/>
    </row>
    <row r="127" spans="1:9" x14ac:dyDescent="0.25">
      <c r="A127" t="s">
        <v>1</v>
      </c>
      <c r="B127">
        <v>650935</v>
      </c>
      <c r="C127" t="s">
        <v>280</v>
      </c>
      <c r="E127" t="s">
        <v>2634</v>
      </c>
      <c r="I127" s="7"/>
    </row>
    <row r="128" spans="1:9" x14ac:dyDescent="0.25">
      <c r="A128" t="s">
        <v>1</v>
      </c>
      <c r="B128">
        <v>656605</v>
      </c>
      <c r="C128" t="s">
        <v>163</v>
      </c>
      <c r="E128" t="s">
        <v>2629</v>
      </c>
      <c r="I128" s="7"/>
    </row>
    <row r="129" spans="1:9" x14ac:dyDescent="0.25">
      <c r="A129" t="s">
        <v>1</v>
      </c>
      <c r="B129">
        <v>658462</v>
      </c>
      <c r="C129" t="s">
        <v>192</v>
      </c>
      <c r="E129" t="s">
        <v>2618</v>
      </c>
      <c r="I129" s="7"/>
    </row>
    <row r="130" spans="1:9" x14ac:dyDescent="0.25">
      <c r="A130" t="s">
        <v>1</v>
      </c>
      <c r="B130">
        <v>651201</v>
      </c>
      <c r="C130" t="s">
        <v>163</v>
      </c>
      <c r="E130" t="s">
        <v>2616</v>
      </c>
      <c r="I130" s="7"/>
    </row>
    <row r="131" spans="1:9" x14ac:dyDescent="0.25">
      <c r="A131" t="s">
        <v>1</v>
      </c>
      <c r="B131">
        <v>645791</v>
      </c>
      <c r="C131" t="s">
        <v>280</v>
      </c>
      <c r="E131" t="s">
        <v>2602</v>
      </c>
      <c r="I131" s="7"/>
    </row>
    <row r="132" spans="1:9" x14ac:dyDescent="0.25">
      <c r="A132" t="s">
        <v>1</v>
      </c>
      <c r="B132">
        <v>664208</v>
      </c>
      <c r="C132" t="s">
        <v>163</v>
      </c>
      <c r="E132" t="s">
        <v>2600</v>
      </c>
      <c r="I132" s="7"/>
    </row>
    <row r="133" spans="1:9" x14ac:dyDescent="0.25">
      <c r="A133" t="s">
        <v>1</v>
      </c>
      <c r="B133">
        <v>653783</v>
      </c>
      <c r="C133" t="s">
        <v>280</v>
      </c>
      <c r="E133" t="s">
        <v>2598</v>
      </c>
      <c r="I133" s="7"/>
    </row>
    <row r="134" spans="1:9" x14ac:dyDescent="0.25">
      <c r="A134" t="s">
        <v>1</v>
      </c>
      <c r="B134">
        <v>648236</v>
      </c>
      <c r="C134" t="s">
        <v>163</v>
      </c>
      <c r="E134" t="s">
        <v>2590</v>
      </c>
      <c r="I134" s="7"/>
    </row>
    <row r="135" spans="1:9" x14ac:dyDescent="0.25">
      <c r="A135" s="6"/>
      <c r="B135" s="6"/>
      <c r="E135" s="6"/>
      <c r="I135" s="7"/>
    </row>
    <row r="136" spans="1:9" x14ac:dyDescent="0.25">
      <c r="A136" s="6"/>
      <c r="B136" s="6"/>
      <c r="E136" s="6"/>
      <c r="I136" s="7"/>
    </row>
    <row r="137" spans="1:9" x14ac:dyDescent="0.25">
      <c r="A137" t="s">
        <v>1</v>
      </c>
      <c r="B137">
        <v>651307</v>
      </c>
      <c r="C137" t="s">
        <v>280</v>
      </c>
      <c r="E137" t="s">
        <v>2580</v>
      </c>
      <c r="I137" s="7"/>
    </row>
    <row r="138" spans="1:9" x14ac:dyDescent="0.25">
      <c r="A138" t="s">
        <v>1</v>
      </c>
      <c r="B138">
        <v>663457</v>
      </c>
      <c r="C138" t="s">
        <v>280</v>
      </c>
      <c r="E138" t="s">
        <v>2573</v>
      </c>
      <c r="I138" s="7"/>
    </row>
    <row r="139" spans="1:9" x14ac:dyDescent="0.25">
      <c r="A139" t="s">
        <v>1</v>
      </c>
      <c r="B139">
        <v>649609</v>
      </c>
      <c r="C139" t="s">
        <v>280</v>
      </c>
      <c r="E139" t="s">
        <v>2571</v>
      </c>
      <c r="I139" s="7"/>
    </row>
    <row r="140" spans="1:9" x14ac:dyDescent="0.25">
      <c r="A140" t="s">
        <v>1</v>
      </c>
      <c r="B140">
        <v>655132</v>
      </c>
      <c r="C140" t="s">
        <v>280</v>
      </c>
      <c r="E140" t="s">
        <v>2565</v>
      </c>
      <c r="I140" s="7"/>
    </row>
    <row r="141" spans="1:9" x14ac:dyDescent="0.25">
      <c r="A141" t="s">
        <v>1</v>
      </c>
      <c r="B141">
        <v>650408</v>
      </c>
      <c r="C141" t="s">
        <v>280</v>
      </c>
      <c r="E141" t="s">
        <v>2554</v>
      </c>
      <c r="I141" s="7"/>
    </row>
    <row r="142" spans="1:9" x14ac:dyDescent="0.25">
      <c r="A142" t="s">
        <v>1</v>
      </c>
      <c r="B142">
        <v>651267</v>
      </c>
      <c r="C142" t="s">
        <v>280</v>
      </c>
      <c r="E142" t="s">
        <v>2524</v>
      </c>
      <c r="I142" s="7"/>
    </row>
    <row r="143" spans="1:9" x14ac:dyDescent="0.25">
      <c r="I143" s="7"/>
    </row>
    <row r="144" spans="1:9" x14ac:dyDescent="0.25">
      <c r="A144" t="s">
        <v>1</v>
      </c>
      <c r="B144">
        <v>653440</v>
      </c>
      <c r="C144" t="s">
        <v>280</v>
      </c>
      <c r="E144" t="s">
        <v>2504</v>
      </c>
      <c r="I144" s="7"/>
    </row>
    <row r="145" spans="1:9" x14ac:dyDescent="0.25">
      <c r="A145" t="s">
        <v>1</v>
      </c>
      <c r="B145">
        <v>661665</v>
      </c>
      <c r="C145" t="s">
        <v>280</v>
      </c>
      <c r="E145" t="s">
        <v>2500</v>
      </c>
      <c r="I145" s="7"/>
    </row>
    <row r="146" spans="1:9" x14ac:dyDescent="0.25">
      <c r="A146" t="s">
        <v>1</v>
      </c>
      <c r="B146">
        <v>642430</v>
      </c>
      <c r="C146" t="s">
        <v>280</v>
      </c>
      <c r="E146" t="s">
        <v>2498</v>
      </c>
      <c r="I146" s="7"/>
    </row>
    <row r="147" spans="1:9" x14ac:dyDescent="0.25">
      <c r="A147" t="s">
        <v>1</v>
      </c>
      <c r="B147">
        <v>645079</v>
      </c>
      <c r="C147" t="s">
        <v>280</v>
      </c>
      <c r="E147" t="s">
        <v>2496</v>
      </c>
      <c r="I147" s="7"/>
    </row>
    <row r="148" spans="1:9" x14ac:dyDescent="0.25">
      <c r="A148" t="s">
        <v>1</v>
      </c>
      <c r="B148">
        <v>639285</v>
      </c>
      <c r="C148" t="s">
        <v>280</v>
      </c>
      <c r="E148" t="s">
        <v>2494</v>
      </c>
      <c r="I148" s="7"/>
    </row>
    <row r="149" spans="1:9" x14ac:dyDescent="0.25">
      <c r="A149" t="s">
        <v>1</v>
      </c>
      <c r="B149">
        <v>654242</v>
      </c>
      <c r="C149" t="s">
        <v>280</v>
      </c>
      <c r="E149" t="s">
        <v>2492</v>
      </c>
      <c r="I149" s="7"/>
    </row>
    <row r="150" spans="1:9" x14ac:dyDescent="0.25">
      <c r="A150" t="s">
        <v>1</v>
      </c>
      <c r="B150">
        <v>662569</v>
      </c>
      <c r="C150" t="s">
        <v>280</v>
      </c>
      <c r="E150" t="s">
        <v>2490</v>
      </c>
      <c r="I150" s="7"/>
    </row>
    <row r="151" spans="1:9" x14ac:dyDescent="0.25">
      <c r="A151" t="s">
        <v>1</v>
      </c>
      <c r="B151">
        <v>639830</v>
      </c>
      <c r="C151" t="s">
        <v>280</v>
      </c>
      <c r="E151" t="s">
        <v>2482</v>
      </c>
      <c r="I151" s="7"/>
    </row>
    <row r="152" spans="1:9" x14ac:dyDescent="0.25">
      <c r="A152" t="s">
        <v>1</v>
      </c>
      <c r="B152">
        <v>634805</v>
      </c>
      <c r="C152" t="s">
        <v>280</v>
      </c>
      <c r="E152" t="s">
        <v>2480</v>
      </c>
      <c r="I152" s="7"/>
    </row>
    <row r="153" spans="1:9" x14ac:dyDescent="0.25">
      <c r="A153" t="s">
        <v>1</v>
      </c>
      <c r="B153">
        <v>636903</v>
      </c>
      <c r="C153" t="s">
        <v>280</v>
      </c>
      <c r="E153" t="s">
        <v>2478</v>
      </c>
      <c r="I153" s="7"/>
    </row>
    <row r="154" spans="1:9" x14ac:dyDescent="0.25">
      <c r="A154" t="s">
        <v>1</v>
      </c>
      <c r="B154">
        <v>636902</v>
      </c>
      <c r="C154" t="s">
        <v>280</v>
      </c>
      <c r="E154" t="s">
        <v>2476</v>
      </c>
      <c r="I154" s="7"/>
    </row>
    <row r="155" spans="1:9" x14ac:dyDescent="0.25">
      <c r="A155" t="s">
        <v>1</v>
      </c>
      <c r="B155">
        <v>634804</v>
      </c>
      <c r="C155" t="s">
        <v>280</v>
      </c>
      <c r="E155" t="s">
        <v>2474</v>
      </c>
      <c r="I155" s="7"/>
    </row>
    <row r="156" spans="1:9" x14ac:dyDescent="0.25">
      <c r="A156" t="s">
        <v>1</v>
      </c>
      <c r="B156">
        <v>645434</v>
      </c>
      <c r="C156" t="s">
        <v>280</v>
      </c>
      <c r="E156" t="s">
        <v>2472</v>
      </c>
      <c r="I156" s="7"/>
    </row>
    <row r="157" spans="1:9" x14ac:dyDescent="0.25">
      <c r="A157" s="6"/>
      <c r="B157" s="6"/>
      <c r="E157" s="6"/>
      <c r="I157" s="7"/>
    </row>
    <row r="158" spans="1:9" x14ac:dyDescent="0.25">
      <c r="A158" s="6"/>
      <c r="B158" s="6"/>
      <c r="E158" s="6"/>
      <c r="I158" s="7"/>
    </row>
    <row r="159" spans="1:9" x14ac:dyDescent="0.25">
      <c r="A159" t="s">
        <v>1</v>
      </c>
      <c r="B159">
        <v>645439</v>
      </c>
      <c r="C159" t="s">
        <v>397</v>
      </c>
      <c r="E159" t="s">
        <v>2464</v>
      </c>
      <c r="I159" s="7"/>
    </row>
    <row r="160" spans="1:9" x14ac:dyDescent="0.25">
      <c r="A160" t="s">
        <v>1</v>
      </c>
      <c r="B160">
        <v>647251</v>
      </c>
      <c r="C160" t="s">
        <v>397</v>
      </c>
      <c r="E160" t="s">
        <v>2456</v>
      </c>
      <c r="I160" s="7"/>
    </row>
    <row r="161" spans="1:9" x14ac:dyDescent="0.25">
      <c r="A161" t="s">
        <v>1</v>
      </c>
      <c r="B161">
        <v>603813</v>
      </c>
      <c r="C161" t="s">
        <v>136</v>
      </c>
      <c r="E161" t="s">
        <v>2454</v>
      </c>
      <c r="I161" s="7"/>
    </row>
    <row r="162" spans="1:9" x14ac:dyDescent="0.25">
      <c r="A162" t="s">
        <v>1</v>
      </c>
      <c r="B162">
        <v>645862</v>
      </c>
      <c r="C162" t="s">
        <v>397</v>
      </c>
      <c r="E162" t="s">
        <v>2451</v>
      </c>
      <c r="I162" s="7"/>
    </row>
    <row r="163" spans="1:9" x14ac:dyDescent="0.25">
      <c r="A163" t="s">
        <v>1</v>
      </c>
      <c r="B163">
        <v>647325</v>
      </c>
      <c r="C163" t="s">
        <v>397</v>
      </c>
      <c r="E163" t="s">
        <v>2449</v>
      </c>
      <c r="I163" s="7"/>
    </row>
    <row r="164" spans="1:9" x14ac:dyDescent="0.25">
      <c r="A164" t="s">
        <v>1</v>
      </c>
      <c r="B164">
        <v>658617</v>
      </c>
      <c r="C164" t="s">
        <v>136</v>
      </c>
      <c r="E164" t="s">
        <v>2443</v>
      </c>
      <c r="I164" s="7"/>
    </row>
    <row r="165" spans="1:9" x14ac:dyDescent="0.25">
      <c r="A165" t="s">
        <v>1</v>
      </c>
      <c r="B165">
        <v>644031</v>
      </c>
      <c r="C165" t="s">
        <v>332</v>
      </c>
      <c r="E165" t="s">
        <v>2440</v>
      </c>
      <c r="I165" s="7"/>
    </row>
    <row r="166" spans="1:9" x14ac:dyDescent="0.25">
      <c r="A166" t="s">
        <v>1</v>
      </c>
      <c r="B166">
        <v>660725</v>
      </c>
      <c r="C166" t="s">
        <v>136</v>
      </c>
      <c r="E166" t="s">
        <v>2436</v>
      </c>
      <c r="I166" s="7"/>
    </row>
    <row r="167" spans="1:9" x14ac:dyDescent="0.25">
      <c r="A167" t="s">
        <v>1</v>
      </c>
      <c r="B167">
        <v>641768</v>
      </c>
      <c r="C167" t="s">
        <v>332</v>
      </c>
      <c r="E167" t="s">
        <v>2434</v>
      </c>
      <c r="I167" s="7"/>
    </row>
    <row r="168" spans="1:9" x14ac:dyDescent="0.25">
      <c r="A168" t="s">
        <v>1</v>
      </c>
      <c r="B168">
        <v>641931</v>
      </c>
      <c r="C168" t="s">
        <v>332</v>
      </c>
      <c r="E168" t="s">
        <v>2432</v>
      </c>
      <c r="I168" s="7"/>
    </row>
    <row r="169" spans="1:9" x14ac:dyDescent="0.25">
      <c r="A169" t="s">
        <v>1</v>
      </c>
      <c r="B169">
        <v>658956</v>
      </c>
      <c r="C169" t="s">
        <v>136</v>
      </c>
      <c r="E169" t="s">
        <v>2429</v>
      </c>
      <c r="I169" s="7"/>
    </row>
    <row r="170" spans="1:9" x14ac:dyDescent="0.25">
      <c r="A170" t="s">
        <v>1</v>
      </c>
      <c r="B170">
        <v>659513</v>
      </c>
      <c r="C170" t="s">
        <v>136</v>
      </c>
      <c r="E170" t="s">
        <v>2426</v>
      </c>
      <c r="I170" s="7"/>
    </row>
    <row r="171" spans="1:9" x14ac:dyDescent="0.25">
      <c r="A171" t="s">
        <v>1</v>
      </c>
      <c r="B171">
        <v>661568</v>
      </c>
      <c r="C171" t="s">
        <v>136</v>
      </c>
      <c r="E171" t="s">
        <v>2421</v>
      </c>
      <c r="I171" s="7"/>
    </row>
    <row r="172" spans="1:9" x14ac:dyDescent="0.25">
      <c r="A172" t="s">
        <v>1</v>
      </c>
      <c r="B172">
        <v>658957</v>
      </c>
      <c r="C172" t="s">
        <v>136</v>
      </c>
      <c r="E172" t="s">
        <v>2419</v>
      </c>
      <c r="I172" s="7"/>
    </row>
    <row r="173" spans="1:9" x14ac:dyDescent="0.25">
      <c r="A173" t="s">
        <v>1</v>
      </c>
      <c r="B173">
        <v>641961</v>
      </c>
      <c r="C173" t="s">
        <v>163</v>
      </c>
      <c r="E173" t="s">
        <v>2417</v>
      </c>
      <c r="I173" s="7"/>
    </row>
    <row r="174" spans="1:9" x14ac:dyDescent="0.25">
      <c r="I174" s="7"/>
    </row>
    <row r="175" spans="1:9" x14ac:dyDescent="0.25">
      <c r="A175" t="s">
        <v>1</v>
      </c>
      <c r="B175">
        <v>606379</v>
      </c>
      <c r="C175" t="s">
        <v>136</v>
      </c>
      <c r="E175" t="s">
        <v>2415</v>
      </c>
      <c r="I175" s="7"/>
    </row>
    <row r="176" spans="1:9" x14ac:dyDescent="0.25">
      <c r="A176" t="s">
        <v>1</v>
      </c>
      <c r="B176">
        <v>658931</v>
      </c>
      <c r="C176" t="s">
        <v>395</v>
      </c>
      <c r="E176" t="s">
        <v>2412</v>
      </c>
      <c r="I176" s="7"/>
    </row>
    <row r="177" spans="1:9" x14ac:dyDescent="0.25">
      <c r="A177" t="s">
        <v>1</v>
      </c>
      <c r="B177">
        <v>659019</v>
      </c>
      <c r="C177" t="s">
        <v>163</v>
      </c>
      <c r="E177" t="s">
        <v>2405</v>
      </c>
      <c r="I177" s="7"/>
    </row>
    <row r="178" spans="1:9" x14ac:dyDescent="0.25">
      <c r="A178" t="s">
        <v>1</v>
      </c>
      <c r="B178">
        <v>656578</v>
      </c>
      <c r="C178" t="s">
        <v>163</v>
      </c>
      <c r="E178" t="s">
        <v>2399</v>
      </c>
      <c r="I178" s="7"/>
    </row>
    <row r="179" spans="1:9" x14ac:dyDescent="0.25">
      <c r="A179" t="s">
        <v>1</v>
      </c>
      <c r="B179">
        <v>653110</v>
      </c>
      <c r="C179" t="s">
        <v>163</v>
      </c>
      <c r="E179" t="s">
        <v>2397</v>
      </c>
      <c r="I179" s="7"/>
    </row>
    <row r="180" spans="1:9" x14ac:dyDescent="0.25">
      <c r="A180" t="s">
        <v>1</v>
      </c>
      <c r="B180">
        <v>657571</v>
      </c>
      <c r="C180" t="s">
        <v>136</v>
      </c>
      <c r="E180" t="s">
        <v>2395</v>
      </c>
      <c r="I180" s="7"/>
    </row>
    <row r="181" spans="1:9" x14ac:dyDescent="0.25">
      <c r="A181" t="s">
        <v>1</v>
      </c>
      <c r="B181">
        <v>656809</v>
      </c>
      <c r="C181" t="s">
        <v>136</v>
      </c>
      <c r="E181" t="s">
        <v>2392</v>
      </c>
      <c r="I181" s="7"/>
    </row>
    <row r="182" spans="1:9" x14ac:dyDescent="0.25">
      <c r="A182" t="s">
        <v>1</v>
      </c>
      <c r="B182">
        <v>653265</v>
      </c>
      <c r="C182" t="s">
        <v>163</v>
      </c>
      <c r="E182" t="s">
        <v>2389</v>
      </c>
      <c r="I182" s="7"/>
    </row>
    <row r="183" spans="1:9" x14ac:dyDescent="0.25">
      <c r="A183" t="s">
        <v>1</v>
      </c>
      <c r="B183">
        <v>663422</v>
      </c>
      <c r="C183" t="s">
        <v>136</v>
      </c>
      <c r="E183" t="s">
        <v>2387</v>
      </c>
      <c r="I183" s="7"/>
    </row>
    <row r="184" spans="1:9" x14ac:dyDescent="0.25">
      <c r="A184" t="s">
        <v>1</v>
      </c>
      <c r="B184">
        <v>658971</v>
      </c>
      <c r="C184" t="s">
        <v>397</v>
      </c>
      <c r="E184" t="s">
        <v>2385</v>
      </c>
      <c r="I184" s="7"/>
    </row>
    <row r="185" spans="1:9" x14ac:dyDescent="0.25">
      <c r="A185" t="s">
        <v>1</v>
      </c>
      <c r="B185">
        <v>651988</v>
      </c>
      <c r="C185" t="s">
        <v>397</v>
      </c>
      <c r="E185" t="s">
        <v>2383</v>
      </c>
      <c r="I185" s="7"/>
    </row>
    <row r="186" spans="1:9" x14ac:dyDescent="0.25">
      <c r="A186" t="s">
        <v>1</v>
      </c>
      <c r="B186">
        <v>651987</v>
      </c>
      <c r="C186" t="s">
        <v>397</v>
      </c>
      <c r="E186" t="s">
        <v>2381</v>
      </c>
      <c r="I186" s="7"/>
    </row>
    <row r="187" spans="1:9" x14ac:dyDescent="0.25">
      <c r="A187" t="s">
        <v>1</v>
      </c>
      <c r="B187">
        <v>658697</v>
      </c>
      <c r="C187" t="s">
        <v>136</v>
      </c>
      <c r="E187" t="s">
        <v>2379</v>
      </c>
      <c r="I187" s="7"/>
    </row>
    <row r="188" spans="1:9" x14ac:dyDescent="0.25">
      <c r="A188" t="s">
        <v>1</v>
      </c>
      <c r="B188">
        <v>660872</v>
      </c>
      <c r="C188" t="s">
        <v>136</v>
      </c>
      <c r="E188" t="s">
        <v>2377</v>
      </c>
      <c r="I188" s="7"/>
    </row>
    <row r="189" spans="1:9" x14ac:dyDescent="0.25">
      <c r="A189" t="s">
        <v>1</v>
      </c>
      <c r="B189">
        <v>664187</v>
      </c>
      <c r="C189" t="s">
        <v>163</v>
      </c>
      <c r="E189" t="s">
        <v>2375</v>
      </c>
      <c r="I189" s="7"/>
    </row>
    <row r="190" spans="1:9" x14ac:dyDescent="0.25">
      <c r="A190" t="s">
        <v>1</v>
      </c>
      <c r="B190">
        <v>642391</v>
      </c>
      <c r="C190" t="s">
        <v>332</v>
      </c>
      <c r="E190" t="s">
        <v>2372</v>
      </c>
      <c r="I190" s="7"/>
    </row>
    <row r="191" spans="1:9" x14ac:dyDescent="0.25">
      <c r="A191" t="s">
        <v>1</v>
      </c>
      <c r="B191">
        <v>638306</v>
      </c>
      <c r="C191" t="s">
        <v>332</v>
      </c>
      <c r="E191" t="s">
        <v>2372</v>
      </c>
      <c r="I191" s="7"/>
    </row>
    <row r="192" spans="1:9" x14ac:dyDescent="0.25">
      <c r="A192" t="s">
        <v>1</v>
      </c>
      <c r="B192">
        <v>652995</v>
      </c>
      <c r="C192" t="s">
        <v>397</v>
      </c>
      <c r="E192" t="s">
        <v>2370</v>
      </c>
      <c r="I192" s="7"/>
    </row>
    <row r="193" spans="1:9" x14ac:dyDescent="0.25">
      <c r="A193" t="s">
        <v>1</v>
      </c>
      <c r="B193">
        <v>661266</v>
      </c>
      <c r="C193" t="s">
        <v>136</v>
      </c>
      <c r="E193" t="s">
        <v>2368</v>
      </c>
      <c r="I193" s="7"/>
    </row>
    <row r="194" spans="1:9" x14ac:dyDescent="0.25">
      <c r="A194" t="s">
        <v>1</v>
      </c>
      <c r="B194">
        <v>658696</v>
      </c>
      <c r="C194" t="s">
        <v>136</v>
      </c>
      <c r="E194" t="s">
        <v>2366</v>
      </c>
      <c r="I194" s="7"/>
    </row>
    <row r="195" spans="1:9" x14ac:dyDescent="0.25">
      <c r="A195" t="s">
        <v>1</v>
      </c>
      <c r="B195">
        <v>653974</v>
      </c>
      <c r="C195" t="s">
        <v>280</v>
      </c>
      <c r="E195" t="s">
        <v>2358</v>
      </c>
      <c r="I195" s="7"/>
    </row>
    <row r="196" spans="1:9" x14ac:dyDescent="0.25">
      <c r="A196" t="s">
        <v>1</v>
      </c>
      <c r="B196">
        <v>659505</v>
      </c>
      <c r="C196" t="s">
        <v>163</v>
      </c>
      <c r="E196" t="s">
        <v>2355</v>
      </c>
      <c r="I196" s="7"/>
    </row>
    <row r="197" spans="1:9" x14ac:dyDescent="0.25">
      <c r="I197" s="7"/>
    </row>
    <row r="198" spans="1:9" x14ac:dyDescent="0.25">
      <c r="A198" t="s">
        <v>1</v>
      </c>
      <c r="B198">
        <v>642713</v>
      </c>
      <c r="C198" t="s">
        <v>397</v>
      </c>
      <c r="E198" t="s">
        <v>2348</v>
      </c>
      <c r="I198" s="7"/>
    </row>
    <row r="199" spans="1:9" x14ac:dyDescent="0.25">
      <c r="A199" t="s">
        <v>1</v>
      </c>
      <c r="B199">
        <v>643799</v>
      </c>
      <c r="C199" t="s">
        <v>397</v>
      </c>
      <c r="E199" t="s">
        <v>2341</v>
      </c>
      <c r="I199" s="7"/>
    </row>
    <row r="200" spans="1:9" x14ac:dyDescent="0.25">
      <c r="A200" t="s">
        <v>1</v>
      </c>
      <c r="B200">
        <v>660258</v>
      </c>
      <c r="C200" t="s">
        <v>136</v>
      </c>
      <c r="E200" t="s">
        <v>2336</v>
      </c>
      <c r="I200" s="7"/>
    </row>
    <row r="201" spans="1:9" x14ac:dyDescent="0.25">
      <c r="A201" t="s">
        <v>1</v>
      </c>
      <c r="B201">
        <v>662721</v>
      </c>
      <c r="C201" t="s">
        <v>136</v>
      </c>
      <c r="E201" t="s">
        <v>2333</v>
      </c>
      <c r="I201" s="7"/>
    </row>
    <row r="202" spans="1:9" x14ac:dyDescent="0.25">
      <c r="A202" t="s">
        <v>1</v>
      </c>
      <c r="B202">
        <v>653797</v>
      </c>
      <c r="C202" t="s">
        <v>397</v>
      </c>
      <c r="E202" t="s">
        <v>2329</v>
      </c>
      <c r="I202" s="7"/>
    </row>
    <row r="203" spans="1:9" x14ac:dyDescent="0.25">
      <c r="A203" s="6"/>
      <c r="B203" s="6"/>
      <c r="E203" s="6"/>
      <c r="I203" s="7"/>
    </row>
    <row r="204" spans="1:9" x14ac:dyDescent="0.25">
      <c r="A204" t="s">
        <v>1</v>
      </c>
      <c r="B204">
        <v>662912</v>
      </c>
      <c r="C204" t="s">
        <v>44</v>
      </c>
      <c r="E204" t="s">
        <v>2264</v>
      </c>
      <c r="I204" s="7"/>
    </row>
    <row r="205" spans="1:9" x14ac:dyDescent="0.25">
      <c r="A205" t="s">
        <v>1</v>
      </c>
      <c r="B205">
        <v>661065</v>
      </c>
      <c r="C205" t="s">
        <v>395</v>
      </c>
      <c r="E205" t="s">
        <v>2254</v>
      </c>
      <c r="I205" s="7"/>
    </row>
    <row r="206" spans="1:9" x14ac:dyDescent="0.25">
      <c r="A206" t="s">
        <v>1</v>
      </c>
      <c r="B206">
        <v>663481</v>
      </c>
      <c r="C206" t="s">
        <v>397</v>
      </c>
      <c r="E206" t="s">
        <v>2252</v>
      </c>
      <c r="I206" s="7"/>
    </row>
    <row r="207" spans="1:9" x14ac:dyDescent="0.25">
      <c r="A207" t="s">
        <v>1</v>
      </c>
      <c r="B207">
        <v>663480</v>
      </c>
      <c r="C207" t="s">
        <v>397</v>
      </c>
      <c r="E207" t="s">
        <v>2250</v>
      </c>
      <c r="I207" s="7"/>
    </row>
    <row r="208" spans="1:9" x14ac:dyDescent="0.25">
      <c r="A208" t="s">
        <v>1</v>
      </c>
      <c r="B208">
        <v>659734</v>
      </c>
      <c r="C208" t="s">
        <v>1771</v>
      </c>
      <c r="E208" t="s">
        <v>2248</v>
      </c>
      <c r="I208" s="7"/>
    </row>
    <row r="209" spans="1:9" x14ac:dyDescent="0.25">
      <c r="A209" t="s">
        <v>1</v>
      </c>
      <c r="B209">
        <v>660829</v>
      </c>
      <c r="C209" t="s">
        <v>1771</v>
      </c>
      <c r="E209" t="s">
        <v>2233</v>
      </c>
      <c r="I209" s="7"/>
    </row>
    <row r="210" spans="1:9" x14ac:dyDescent="0.25">
      <c r="A210" t="s">
        <v>1</v>
      </c>
      <c r="B210">
        <v>663482</v>
      </c>
      <c r="C210" t="s">
        <v>395</v>
      </c>
      <c r="E210" t="s">
        <v>2229</v>
      </c>
      <c r="I210" s="7"/>
    </row>
    <row r="211" spans="1:9" x14ac:dyDescent="0.25">
      <c r="A211" t="s">
        <v>1</v>
      </c>
      <c r="B211">
        <v>662041</v>
      </c>
      <c r="C211" t="s">
        <v>395</v>
      </c>
      <c r="E211" t="s">
        <v>2225</v>
      </c>
      <c r="I211" s="7"/>
    </row>
    <row r="212" spans="1:9" x14ac:dyDescent="0.25">
      <c r="A212" t="s">
        <v>1</v>
      </c>
      <c r="B212">
        <v>663483</v>
      </c>
      <c r="C212" t="s">
        <v>395</v>
      </c>
      <c r="E212" t="s">
        <v>2220</v>
      </c>
      <c r="I212" s="7"/>
    </row>
    <row r="213" spans="1:9" x14ac:dyDescent="0.25">
      <c r="A213" t="s">
        <v>1</v>
      </c>
      <c r="B213">
        <v>657037</v>
      </c>
      <c r="C213" t="s">
        <v>280</v>
      </c>
      <c r="E213" t="s">
        <v>2219</v>
      </c>
      <c r="I213" s="7"/>
    </row>
    <row r="214" spans="1:9" x14ac:dyDescent="0.25">
      <c r="A214" s="6"/>
      <c r="B214" s="6"/>
      <c r="E214" s="6"/>
      <c r="I214" s="7"/>
    </row>
    <row r="215" spans="1:9" x14ac:dyDescent="0.25">
      <c r="A215" s="6"/>
      <c r="B215" s="6"/>
      <c r="E215" s="6"/>
      <c r="I215" s="7"/>
    </row>
    <row r="216" spans="1:9" x14ac:dyDescent="0.25">
      <c r="A216" s="6"/>
      <c r="B216" s="6"/>
      <c r="E216" s="6"/>
      <c r="I216" s="7"/>
    </row>
    <row r="217" spans="1:9" x14ac:dyDescent="0.25">
      <c r="A217" t="s">
        <v>1</v>
      </c>
      <c r="B217">
        <v>653798</v>
      </c>
      <c r="C217" t="s">
        <v>397</v>
      </c>
      <c r="E217" t="s">
        <v>2211</v>
      </c>
      <c r="I217" s="7"/>
    </row>
    <row r="218" spans="1:9" x14ac:dyDescent="0.25">
      <c r="A218" t="s">
        <v>1</v>
      </c>
      <c r="B218">
        <v>661651</v>
      </c>
      <c r="C218" t="s">
        <v>397</v>
      </c>
      <c r="E218" t="s">
        <v>2206</v>
      </c>
      <c r="I218" s="7"/>
    </row>
    <row r="219" spans="1:9" x14ac:dyDescent="0.25">
      <c r="A219" t="s">
        <v>1</v>
      </c>
      <c r="B219">
        <v>649761</v>
      </c>
      <c r="C219" t="s">
        <v>397</v>
      </c>
      <c r="E219" t="s">
        <v>2204</v>
      </c>
      <c r="I219" s="7"/>
    </row>
    <row r="220" spans="1:9" x14ac:dyDescent="0.25">
      <c r="A220" t="s">
        <v>1</v>
      </c>
      <c r="B220">
        <v>647734</v>
      </c>
      <c r="C220" t="s">
        <v>397</v>
      </c>
      <c r="E220" t="s">
        <v>2202</v>
      </c>
      <c r="I220" s="7"/>
    </row>
    <row r="221" spans="1:9" x14ac:dyDescent="0.25">
      <c r="A221" t="s">
        <v>1</v>
      </c>
      <c r="B221">
        <v>650615</v>
      </c>
      <c r="C221" t="s">
        <v>397</v>
      </c>
      <c r="E221" t="s">
        <v>2199</v>
      </c>
      <c r="I221" s="7"/>
    </row>
    <row r="222" spans="1:9" x14ac:dyDescent="0.25">
      <c r="A222" t="s">
        <v>1</v>
      </c>
      <c r="B222">
        <v>656447</v>
      </c>
      <c r="C222" t="s">
        <v>280</v>
      </c>
      <c r="E222" t="s">
        <v>2191</v>
      </c>
      <c r="I222" s="7"/>
    </row>
    <row r="223" spans="1:9" x14ac:dyDescent="0.25">
      <c r="A223" t="s">
        <v>1</v>
      </c>
      <c r="B223">
        <v>657203</v>
      </c>
      <c r="C223" t="s">
        <v>397</v>
      </c>
      <c r="E223" t="s">
        <v>2188</v>
      </c>
      <c r="I223" s="7"/>
    </row>
    <row r="224" spans="1:9" x14ac:dyDescent="0.25">
      <c r="A224" t="s">
        <v>1</v>
      </c>
      <c r="B224">
        <v>650614</v>
      </c>
      <c r="C224" t="s">
        <v>397</v>
      </c>
      <c r="E224" t="s">
        <v>2184</v>
      </c>
      <c r="I224" s="7"/>
    </row>
    <row r="225" spans="1:9" x14ac:dyDescent="0.25">
      <c r="A225" t="s">
        <v>1</v>
      </c>
      <c r="B225">
        <v>656394</v>
      </c>
      <c r="C225" t="s">
        <v>397</v>
      </c>
      <c r="E225" t="s">
        <v>2182</v>
      </c>
      <c r="I225" s="7"/>
    </row>
    <row r="226" spans="1:9" x14ac:dyDescent="0.25">
      <c r="A226" t="s">
        <v>1</v>
      </c>
      <c r="B226">
        <v>643771</v>
      </c>
      <c r="C226" t="s">
        <v>280</v>
      </c>
      <c r="E226" t="s">
        <v>2178</v>
      </c>
      <c r="I226" s="7"/>
    </row>
    <row r="227" spans="1:9" x14ac:dyDescent="0.25">
      <c r="A227" t="s">
        <v>1</v>
      </c>
      <c r="B227">
        <v>659737</v>
      </c>
      <c r="C227" t="s">
        <v>397</v>
      </c>
      <c r="E227" t="s">
        <v>2176</v>
      </c>
      <c r="I227" s="7"/>
    </row>
    <row r="228" spans="1:9" x14ac:dyDescent="0.25">
      <c r="A228" t="s">
        <v>1</v>
      </c>
      <c r="B228">
        <v>656421</v>
      </c>
      <c r="C228" t="s">
        <v>397</v>
      </c>
      <c r="E228" t="s">
        <v>2174</v>
      </c>
      <c r="I228" s="7"/>
    </row>
    <row r="229" spans="1:9" x14ac:dyDescent="0.25">
      <c r="A229" t="s">
        <v>1</v>
      </c>
      <c r="B229">
        <v>664186</v>
      </c>
      <c r="C229" t="s">
        <v>136</v>
      </c>
      <c r="E229" t="s">
        <v>2172</v>
      </c>
      <c r="I229" s="7"/>
    </row>
    <row r="230" spans="1:9" x14ac:dyDescent="0.25">
      <c r="A230" t="s">
        <v>1</v>
      </c>
      <c r="B230">
        <v>657204</v>
      </c>
      <c r="C230" t="s">
        <v>397</v>
      </c>
      <c r="E230" t="s">
        <v>2170</v>
      </c>
      <c r="I230" s="7"/>
    </row>
    <row r="231" spans="1:9" x14ac:dyDescent="0.25">
      <c r="A231" t="s">
        <v>1</v>
      </c>
      <c r="B231">
        <v>654230</v>
      </c>
      <c r="C231" t="s">
        <v>280</v>
      </c>
      <c r="E231" t="s">
        <v>2168</v>
      </c>
      <c r="I231" s="7"/>
    </row>
    <row r="232" spans="1:9" x14ac:dyDescent="0.25">
      <c r="A232" t="s">
        <v>1</v>
      </c>
      <c r="B232">
        <v>655944</v>
      </c>
      <c r="C232" t="s">
        <v>397</v>
      </c>
      <c r="E232" t="s">
        <v>2165</v>
      </c>
      <c r="I232" s="7"/>
    </row>
    <row r="233" spans="1:9" x14ac:dyDescent="0.25">
      <c r="A233" t="s">
        <v>1</v>
      </c>
      <c r="B233">
        <v>655943</v>
      </c>
      <c r="C233" t="s">
        <v>397</v>
      </c>
      <c r="E233" t="s">
        <v>2163</v>
      </c>
      <c r="I233" s="7"/>
    </row>
    <row r="234" spans="1:9" x14ac:dyDescent="0.25">
      <c r="A234" t="s">
        <v>1</v>
      </c>
      <c r="B234">
        <v>645945</v>
      </c>
      <c r="C234" t="s">
        <v>280</v>
      </c>
      <c r="E234" t="s">
        <v>2155</v>
      </c>
      <c r="I234" s="7"/>
    </row>
    <row r="235" spans="1:9" x14ac:dyDescent="0.25">
      <c r="A235" t="s">
        <v>1</v>
      </c>
      <c r="B235">
        <v>648254</v>
      </c>
      <c r="C235" t="s">
        <v>280</v>
      </c>
      <c r="E235" t="s">
        <v>2153</v>
      </c>
      <c r="I235" s="7"/>
    </row>
    <row r="236" spans="1:9" x14ac:dyDescent="0.25">
      <c r="A236" t="s">
        <v>1</v>
      </c>
      <c r="B236">
        <v>659736</v>
      </c>
      <c r="C236" t="s">
        <v>397</v>
      </c>
      <c r="E236" t="s">
        <v>2151</v>
      </c>
      <c r="I236" s="7"/>
    </row>
    <row r="237" spans="1:9" x14ac:dyDescent="0.25">
      <c r="A237" t="s">
        <v>1</v>
      </c>
      <c r="B237">
        <v>648599</v>
      </c>
      <c r="C237" t="s">
        <v>280</v>
      </c>
      <c r="E237" t="s">
        <v>2149</v>
      </c>
      <c r="I237" s="7"/>
    </row>
    <row r="238" spans="1:9" x14ac:dyDescent="0.25">
      <c r="A238" t="s">
        <v>1</v>
      </c>
      <c r="B238">
        <v>646292</v>
      </c>
      <c r="C238" t="s">
        <v>280</v>
      </c>
      <c r="E238" t="s">
        <v>2147</v>
      </c>
      <c r="I238" s="7"/>
    </row>
    <row r="239" spans="1:9" x14ac:dyDescent="0.25">
      <c r="A239" t="s">
        <v>1</v>
      </c>
      <c r="B239">
        <v>660477</v>
      </c>
      <c r="C239" t="s">
        <v>136</v>
      </c>
      <c r="E239" t="s">
        <v>2140</v>
      </c>
      <c r="I239" s="7"/>
    </row>
    <row r="240" spans="1:9" x14ac:dyDescent="0.25">
      <c r="A240" s="6"/>
      <c r="B240" s="6"/>
      <c r="E240" s="6"/>
      <c r="I240" s="7"/>
    </row>
    <row r="241" spans="1:9" x14ac:dyDescent="0.25">
      <c r="A241" s="6"/>
      <c r="B241" s="6"/>
      <c r="E241" s="6"/>
      <c r="I241" s="7"/>
    </row>
    <row r="242" spans="1:9" x14ac:dyDescent="0.25">
      <c r="A242" s="6"/>
      <c r="B242" s="6"/>
      <c r="E242" s="6"/>
      <c r="I242" s="7"/>
    </row>
    <row r="243" spans="1:9" x14ac:dyDescent="0.25">
      <c r="A243" s="6"/>
      <c r="B243" s="6"/>
      <c r="E243" s="6"/>
      <c r="I243" s="7"/>
    </row>
    <row r="244" spans="1:9" x14ac:dyDescent="0.25">
      <c r="A244" s="6"/>
      <c r="B244" s="6"/>
      <c r="E244" s="6"/>
      <c r="I244" s="7"/>
    </row>
    <row r="245" spans="1:9" x14ac:dyDescent="0.25">
      <c r="A245" t="s">
        <v>1</v>
      </c>
      <c r="B245">
        <v>664149</v>
      </c>
      <c r="C245" t="s">
        <v>44</v>
      </c>
      <c r="E245" t="s">
        <v>2137</v>
      </c>
      <c r="I245" s="7"/>
    </row>
    <row r="246" spans="1:9" x14ac:dyDescent="0.25">
      <c r="A246" t="s">
        <v>1</v>
      </c>
      <c r="B246">
        <v>659506</v>
      </c>
      <c r="C246" t="s">
        <v>163</v>
      </c>
      <c r="E246" t="s">
        <v>2135</v>
      </c>
      <c r="I246" s="7"/>
    </row>
    <row r="247" spans="1:9" x14ac:dyDescent="0.25">
      <c r="A247" t="s">
        <v>1</v>
      </c>
      <c r="B247">
        <v>657902</v>
      </c>
      <c r="C247" t="s">
        <v>136</v>
      </c>
      <c r="E247" t="s">
        <v>2133</v>
      </c>
      <c r="I247" s="7"/>
    </row>
    <row r="248" spans="1:9" x14ac:dyDescent="0.25">
      <c r="A248" t="s">
        <v>1</v>
      </c>
      <c r="B248">
        <v>656182</v>
      </c>
      <c r="C248" t="s">
        <v>163</v>
      </c>
      <c r="E248" t="s">
        <v>2131</v>
      </c>
      <c r="I248" s="7"/>
    </row>
    <row r="249" spans="1:9" x14ac:dyDescent="0.25">
      <c r="A249" t="s">
        <v>1</v>
      </c>
      <c r="B249">
        <v>651989</v>
      </c>
      <c r="C249" t="s">
        <v>280</v>
      </c>
      <c r="E249" t="s">
        <v>2129</v>
      </c>
      <c r="I249" s="7"/>
    </row>
    <row r="250" spans="1:9" x14ac:dyDescent="0.25">
      <c r="A250" t="s">
        <v>1</v>
      </c>
      <c r="B250">
        <v>651858</v>
      </c>
      <c r="C250" t="s">
        <v>280</v>
      </c>
      <c r="E250" t="s">
        <v>2127</v>
      </c>
      <c r="I250" s="7"/>
    </row>
    <row r="251" spans="1:9" x14ac:dyDescent="0.25">
      <c r="A251" t="s">
        <v>1</v>
      </c>
      <c r="B251">
        <v>662065</v>
      </c>
      <c r="C251" t="s">
        <v>136</v>
      </c>
      <c r="E251" t="s">
        <v>2123</v>
      </c>
      <c r="I251" s="7"/>
    </row>
    <row r="252" spans="1:9" x14ac:dyDescent="0.25">
      <c r="A252" t="s">
        <v>1</v>
      </c>
      <c r="B252">
        <v>660466</v>
      </c>
      <c r="C252" t="s">
        <v>136</v>
      </c>
      <c r="E252" t="s">
        <v>2119</v>
      </c>
      <c r="I252" s="7"/>
    </row>
    <row r="253" spans="1:9" x14ac:dyDescent="0.25">
      <c r="A253" t="s">
        <v>1</v>
      </c>
      <c r="B253">
        <v>664148</v>
      </c>
      <c r="C253" t="s">
        <v>44</v>
      </c>
      <c r="E253" t="s">
        <v>2114</v>
      </c>
      <c r="I253" s="7"/>
    </row>
    <row r="254" spans="1:9" x14ac:dyDescent="0.25">
      <c r="A254" t="s">
        <v>1</v>
      </c>
      <c r="B254">
        <v>663991</v>
      </c>
      <c r="C254" t="s">
        <v>136</v>
      </c>
      <c r="E254" t="s">
        <v>2111</v>
      </c>
      <c r="I254" s="7"/>
    </row>
    <row r="255" spans="1:9" x14ac:dyDescent="0.25">
      <c r="A255" t="s">
        <v>1</v>
      </c>
      <c r="B255">
        <v>652789</v>
      </c>
      <c r="C255" t="s">
        <v>280</v>
      </c>
      <c r="E255" t="s">
        <v>2096</v>
      </c>
      <c r="I255" s="7"/>
    </row>
    <row r="256" spans="1:9" x14ac:dyDescent="0.25">
      <c r="A256" t="s">
        <v>1</v>
      </c>
      <c r="B256">
        <v>660254</v>
      </c>
      <c r="C256" t="s">
        <v>280</v>
      </c>
      <c r="E256" t="s">
        <v>2083</v>
      </c>
      <c r="I256" s="7"/>
    </row>
    <row r="257" spans="1:9" x14ac:dyDescent="0.25">
      <c r="A257" t="s">
        <v>1</v>
      </c>
      <c r="B257">
        <v>656759</v>
      </c>
      <c r="C257" t="s">
        <v>163</v>
      </c>
      <c r="E257" t="s">
        <v>2081</v>
      </c>
      <c r="I257" s="7"/>
    </row>
    <row r="258" spans="1:9" x14ac:dyDescent="0.25">
      <c r="A258" t="s">
        <v>1</v>
      </c>
      <c r="B258">
        <v>654711</v>
      </c>
      <c r="C258" t="s">
        <v>163</v>
      </c>
      <c r="E258" t="s">
        <v>2079</v>
      </c>
      <c r="I258" s="7"/>
    </row>
    <row r="259" spans="1:9" x14ac:dyDescent="0.25">
      <c r="A259" t="s">
        <v>1</v>
      </c>
      <c r="B259">
        <v>651859</v>
      </c>
      <c r="C259" t="s">
        <v>280</v>
      </c>
      <c r="E259" t="s">
        <v>2077</v>
      </c>
      <c r="I259" s="7"/>
    </row>
    <row r="260" spans="1:9" x14ac:dyDescent="0.25">
      <c r="A260" t="s">
        <v>1</v>
      </c>
      <c r="B260">
        <v>656373</v>
      </c>
      <c r="C260" t="s">
        <v>280</v>
      </c>
      <c r="E260" t="s">
        <v>2075</v>
      </c>
      <c r="I260" s="7"/>
    </row>
    <row r="261" spans="1:9" x14ac:dyDescent="0.25">
      <c r="A261" t="s">
        <v>1</v>
      </c>
      <c r="B261">
        <v>659334</v>
      </c>
      <c r="C261" t="s">
        <v>1831</v>
      </c>
      <c r="E261" t="s">
        <v>2073</v>
      </c>
      <c r="I261" s="7"/>
    </row>
    <row r="262" spans="1:9" x14ac:dyDescent="0.25">
      <c r="A262" t="s">
        <v>1</v>
      </c>
      <c r="B262">
        <v>652788</v>
      </c>
      <c r="C262" t="s">
        <v>280</v>
      </c>
      <c r="E262" t="s">
        <v>2069</v>
      </c>
      <c r="I262" s="7"/>
    </row>
    <row r="263" spans="1:9" x14ac:dyDescent="0.25">
      <c r="A263" t="s">
        <v>1</v>
      </c>
      <c r="B263">
        <v>660456</v>
      </c>
      <c r="C263" t="s">
        <v>280</v>
      </c>
      <c r="E263" t="s">
        <v>2067</v>
      </c>
      <c r="I263" s="7"/>
    </row>
    <row r="264" spans="1:9" x14ac:dyDescent="0.25">
      <c r="A264" t="s">
        <v>1</v>
      </c>
      <c r="B264">
        <v>654235</v>
      </c>
      <c r="C264" t="s">
        <v>280</v>
      </c>
      <c r="E264" t="s">
        <v>2063</v>
      </c>
      <c r="I264" s="7"/>
    </row>
    <row r="265" spans="1:9" x14ac:dyDescent="0.25">
      <c r="A265" t="s">
        <v>1</v>
      </c>
      <c r="B265">
        <v>654710</v>
      </c>
      <c r="C265" t="s">
        <v>163</v>
      </c>
      <c r="E265" t="s">
        <v>2061</v>
      </c>
      <c r="I265" s="7"/>
    </row>
    <row r="266" spans="1:9" x14ac:dyDescent="0.25">
      <c r="A266" t="s">
        <v>1</v>
      </c>
      <c r="B266">
        <v>651195</v>
      </c>
      <c r="C266" t="s">
        <v>163</v>
      </c>
      <c r="E266" t="s">
        <v>2059</v>
      </c>
      <c r="I266" s="7"/>
    </row>
    <row r="267" spans="1:9" x14ac:dyDescent="0.25">
      <c r="I267" s="7"/>
    </row>
    <row r="268" spans="1:9" x14ac:dyDescent="0.25">
      <c r="I268" s="7"/>
    </row>
    <row r="269" spans="1:9" x14ac:dyDescent="0.25">
      <c r="I269" s="7"/>
    </row>
    <row r="270" spans="1:9" x14ac:dyDescent="0.25">
      <c r="I270" s="7"/>
    </row>
    <row r="271" spans="1:9" x14ac:dyDescent="0.25">
      <c r="I271" s="7"/>
    </row>
    <row r="272" spans="1:9" x14ac:dyDescent="0.25">
      <c r="I272" s="7"/>
    </row>
    <row r="273" spans="1:9" x14ac:dyDescent="0.25">
      <c r="I273" s="7"/>
    </row>
    <row r="274" spans="1:9" x14ac:dyDescent="0.25">
      <c r="A274" t="s">
        <v>1</v>
      </c>
      <c r="B274">
        <v>640964</v>
      </c>
      <c r="C274" t="s">
        <v>332</v>
      </c>
      <c r="E274" t="s">
        <v>2047</v>
      </c>
      <c r="I274" s="7"/>
    </row>
    <row r="275" spans="1:9" x14ac:dyDescent="0.25">
      <c r="A275" t="s">
        <v>1</v>
      </c>
      <c r="B275">
        <v>640965</v>
      </c>
      <c r="C275" t="s">
        <v>332</v>
      </c>
      <c r="E275" t="s">
        <v>2045</v>
      </c>
      <c r="I275" s="7"/>
    </row>
    <row r="276" spans="1:9" x14ac:dyDescent="0.25">
      <c r="A276" t="s">
        <v>1</v>
      </c>
      <c r="B276">
        <v>645775</v>
      </c>
      <c r="C276" t="s">
        <v>280</v>
      </c>
      <c r="E276" t="s">
        <v>2043</v>
      </c>
      <c r="I276" s="7"/>
    </row>
    <row r="277" spans="1:9" x14ac:dyDescent="0.25">
      <c r="A277" t="s">
        <v>1</v>
      </c>
      <c r="B277">
        <v>656739</v>
      </c>
      <c r="C277" t="s">
        <v>280</v>
      </c>
      <c r="E277" t="s">
        <v>2041</v>
      </c>
      <c r="I277" s="7"/>
    </row>
    <row r="278" spans="1:9" x14ac:dyDescent="0.25">
      <c r="A278" t="s">
        <v>1</v>
      </c>
      <c r="B278">
        <v>656761</v>
      </c>
      <c r="C278" t="s">
        <v>136</v>
      </c>
      <c r="E278" t="s">
        <v>2037</v>
      </c>
      <c r="I278" s="7"/>
    </row>
    <row r="279" spans="1:9" x14ac:dyDescent="0.25">
      <c r="A279" t="s">
        <v>1</v>
      </c>
      <c r="B279">
        <v>647020</v>
      </c>
      <c r="C279" t="s">
        <v>280</v>
      </c>
      <c r="E279" t="s">
        <v>2035</v>
      </c>
      <c r="I279" s="7"/>
    </row>
    <row r="280" spans="1:9" x14ac:dyDescent="0.25">
      <c r="A280" t="s">
        <v>1</v>
      </c>
      <c r="B280">
        <v>642695</v>
      </c>
      <c r="C280" t="s">
        <v>280</v>
      </c>
      <c r="E280" t="s">
        <v>2033</v>
      </c>
      <c r="I280" s="7"/>
    </row>
    <row r="281" spans="1:9" x14ac:dyDescent="0.25">
      <c r="A281" t="s">
        <v>1</v>
      </c>
      <c r="B281">
        <v>642702</v>
      </c>
      <c r="C281" t="s">
        <v>332</v>
      </c>
      <c r="E281" t="s">
        <v>2031</v>
      </c>
      <c r="I281" s="7"/>
    </row>
    <row r="282" spans="1:9" x14ac:dyDescent="0.25">
      <c r="A282" t="s">
        <v>1</v>
      </c>
      <c r="B282">
        <v>650790</v>
      </c>
      <c r="C282" t="s">
        <v>136</v>
      </c>
      <c r="E282" t="s">
        <v>2029</v>
      </c>
      <c r="I282" s="7"/>
    </row>
    <row r="283" spans="1:9" x14ac:dyDescent="0.25">
      <c r="A283" t="s">
        <v>1</v>
      </c>
      <c r="B283">
        <v>642696</v>
      </c>
      <c r="C283" t="s">
        <v>280</v>
      </c>
      <c r="E283" t="s">
        <v>2027</v>
      </c>
      <c r="I283" s="7"/>
    </row>
    <row r="284" spans="1:9" x14ac:dyDescent="0.25">
      <c r="A284" t="s">
        <v>1</v>
      </c>
      <c r="B284">
        <v>647147</v>
      </c>
      <c r="C284" t="s">
        <v>280</v>
      </c>
      <c r="E284" t="s">
        <v>2025</v>
      </c>
      <c r="I284" s="7"/>
    </row>
    <row r="285" spans="1:9" x14ac:dyDescent="0.25">
      <c r="A285" t="s">
        <v>1</v>
      </c>
      <c r="B285">
        <v>654859</v>
      </c>
      <c r="C285" t="s">
        <v>332</v>
      </c>
      <c r="E285" t="s">
        <v>2023</v>
      </c>
      <c r="I285" s="7"/>
    </row>
    <row r="286" spans="1:9" x14ac:dyDescent="0.25">
      <c r="A286" t="s">
        <v>1</v>
      </c>
      <c r="B286">
        <v>646428</v>
      </c>
      <c r="C286" t="s">
        <v>147</v>
      </c>
      <c r="E286" t="s">
        <v>2021</v>
      </c>
      <c r="I286" s="7"/>
    </row>
    <row r="287" spans="1:9" x14ac:dyDescent="0.25">
      <c r="A287" t="s">
        <v>1</v>
      </c>
      <c r="B287">
        <v>648584</v>
      </c>
      <c r="C287" t="s">
        <v>1997</v>
      </c>
      <c r="E287" t="s">
        <v>2019</v>
      </c>
      <c r="I287" s="7"/>
    </row>
    <row r="288" spans="1:9" x14ac:dyDescent="0.25">
      <c r="A288" t="s">
        <v>1</v>
      </c>
      <c r="B288">
        <v>645464</v>
      </c>
      <c r="C288" t="s">
        <v>280</v>
      </c>
      <c r="E288" t="s">
        <v>2017</v>
      </c>
      <c r="I288" s="7"/>
    </row>
    <row r="289" spans="1:9" x14ac:dyDescent="0.25">
      <c r="A289" t="s">
        <v>1</v>
      </c>
      <c r="B289">
        <v>641689</v>
      </c>
      <c r="C289" t="s">
        <v>280</v>
      </c>
      <c r="E289" t="s">
        <v>2014</v>
      </c>
      <c r="I289" s="7"/>
    </row>
    <row r="290" spans="1:9" x14ac:dyDescent="0.25">
      <c r="A290" t="s">
        <v>1</v>
      </c>
      <c r="B290">
        <v>643125</v>
      </c>
      <c r="C290" t="s">
        <v>280</v>
      </c>
      <c r="E290" t="s">
        <v>2010</v>
      </c>
      <c r="I290" s="7"/>
    </row>
    <row r="291" spans="1:9" x14ac:dyDescent="0.25">
      <c r="A291" t="s">
        <v>1</v>
      </c>
      <c r="B291">
        <v>643611</v>
      </c>
      <c r="C291" t="s">
        <v>280</v>
      </c>
      <c r="E291" t="s">
        <v>2008</v>
      </c>
      <c r="I291" s="7"/>
    </row>
    <row r="292" spans="1:9" x14ac:dyDescent="0.25">
      <c r="A292" t="s">
        <v>1</v>
      </c>
      <c r="B292">
        <v>643253</v>
      </c>
      <c r="C292" t="s">
        <v>280</v>
      </c>
      <c r="E292" t="s">
        <v>2006</v>
      </c>
      <c r="I292" s="7"/>
    </row>
    <row r="293" spans="1:9" x14ac:dyDescent="0.25">
      <c r="A293" t="s">
        <v>1</v>
      </c>
      <c r="B293">
        <v>641618</v>
      </c>
      <c r="C293" t="s">
        <v>280</v>
      </c>
      <c r="E293" t="s">
        <v>2003</v>
      </c>
      <c r="I293" s="7"/>
    </row>
    <row r="294" spans="1:9" x14ac:dyDescent="0.25">
      <c r="A294" t="s">
        <v>1</v>
      </c>
      <c r="B294">
        <v>644909</v>
      </c>
      <c r="C294" t="s">
        <v>280</v>
      </c>
      <c r="E294" t="s">
        <v>2000</v>
      </c>
      <c r="I294" s="7"/>
    </row>
    <row r="295" spans="1:9" x14ac:dyDescent="0.25">
      <c r="A295" t="s">
        <v>1</v>
      </c>
      <c r="B295">
        <v>648583</v>
      </c>
      <c r="C295" t="s">
        <v>1997</v>
      </c>
      <c r="E295" t="s">
        <v>1998</v>
      </c>
      <c r="I295" s="7"/>
    </row>
    <row r="296" spans="1:9" x14ac:dyDescent="0.25">
      <c r="A296" t="s">
        <v>1</v>
      </c>
      <c r="B296">
        <v>646427</v>
      </c>
      <c r="C296" t="s">
        <v>147</v>
      </c>
      <c r="E296" t="s">
        <v>1995</v>
      </c>
      <c r="I296" s="7"/>
    </row>
    <row r="297" spans="1:9" x14ac:dyDescent="0.25">
      <c r="A297" t="s">
        <v>1</v>
      </c>
      <c r="B297">
        <v>650320</v>
      </c>
      <c r="C297" t="s">
        <v>163</v>
      </c>
      <c r="E297" t="s">
        <v>1993</v>
      </c>
      <c r="I297" s="7"/>
    </row>
    <row r="298" spans="1:9" x14ac:dyDescent="0.25">
      <c r="A298" t="s">
        <v>1</v>
      </c>
      <c r="B298">
        <v>658205</v>
      </c>
      <c r="C298" t="s">
        <v>136</v>
      </c>
      <c r="E298" t="s">
        <v>1990</v>
      </c>
      <c r="I298" s="7"/>
    </row>
    <row r="299" spans="1:9" x14ac:dyDescent="0.25">
      <c r="A299" t="s">
        <v>1</v>
      </c>
      <c r="B299">
        <v>647042</v>
      </c>
      <c r="C299" t="s">
        <v>44</v>
      </c>
      <c r="E299" t="s">
        <v>1988</v>
      </c>
      <c r="I299" s="7"/>
    </row>
    <row r="300" spans="1:9" x14ac:dyDescent="0.25">
      <c r="A300" t="s">
        <v>1</v>
      </c>
      <c r="B300">
        <v>647278</v>
      </c>
      <c r="C300" t="s">
        <v>332</v>
      </c>
      <c r="E300" t="s">
        <v>1986</v>
      </c>
      <c r="I300" s="7"/>
    </row>
    <row r="301" spans="1:9" x14ac:dyDescent="0.25">
      <c r="A301" t="s">
        <v>1</v>
      </c>
      <c r="B301">
        <v>648533</v>
      </c>
      <c r="C301" t="s">
        <v>147</v>
      </c>
      <c r="E301" t="s">
        <v>1981</v>
      </c>
      <c r="I301" s="7"/>
    </row>
    <row r="302" spans="1:9" x14ac:dyDescent="0.25">
      <c r="A302" t="s">
        <v>1</v>
      </c>
      <c r="B302">
        <v>648306</v>
      </c>
      <c r="C302" t="s">
        <v>163</v>
      </c>
      <c r="E302" t="s">
        <v>1979</v>
      </c>
      <c r="I302" s="7"/>
    </row>
    <row r="303" spans="1:9" x14ac:dyDescent="0.25">
      <c r="A303" t="s">
        <v>1</v>
      </c>
      <c r="B303">
        <v>646700</v>
      </c>
      <c r="C303" t="s">
        <v>332</v>
      </c>
      <c r="E303" t="s">
        <v>1977</v>
      </c>
      <c r="I303" s="7"/>
    </row>
    <row r="304" spans="1:9" x14ac:dyDescent="0.25">
      <c r="A304" t="s">
        <v>1</v>
      </c>
      <c r="B304">
        <v>651199</v>
      </c>
      <c r="C304" t="s">
        <v>163</v>
      </c>
      <c r="E304" t="s">
        <v>1975</v>
      </c>
      <c r="I304" s="7"/>
    </row>
    <row r="305" spans="1:9" x14ac:dyDescent="0.25">
      <c r="A305" t="s">
        <v>1</v>
      </c>
      <c r="B305">
        <v>650319</v>
      </c>
      <c r="C305" t="s">
        <v>163</v>
      </c>
      <c r="E305" t="s">
        <v>1972</v>
      </c>
      <c r="I305" s="7"/>
    </row>
    <row r="306" spans="1:9" x14ac:dyDescent="0.25">
      <c r="A306" t="s">
        <v>1</v>
      </c>
      <c r="B306">
        <v>645433</v>
      </c>
      <c r="C306" t="s">
        <v>332</v>
      </c>
      <c r="E306" t="s">
        <v>1969</v>
      </c>
      <c r="I306" s="7"/>
    </row>
    <row r="307" spans="1:9" x14ac:dyDescent="0.25">
      <c r="A307" t="s">
        <v>1</v>
      </c>
      <c r="B307">
        <v>649886</v>
      </c>
      <c r="C307" t="s">
        <v>163</v>
      </c>
      <c r="E307" t="s">
        <v>1967</v>
      </c>
      <c r="I307" s="7"/>
    </row>
    <row r="308" spans="1:9" x14ac:dyDescent="0.25">
      <c r="A308" t="s">
        <v>1</v>
      </c>
      <c r="B308">
        <v>640692</v>
      </c>
      <c r="C308" t="s">
        <v>44</v>
      </c>
      <c r="E308" t="s">
        <v>1965</v>
      </c>
      <c r="I308" s="7"/>
    </row>
    <row r="309" spans="1:9" x14ac:dyDescent="0.25">
      <c r="A309" t="s">
        <v>1</v>
      </c>
      <c r="B309">
        <v>664385</v>
      </c>
      <c r="C309" t="s">
        <v>136</v>
      </c>
      <c r="E309" t="s">
        <v>1963</v>
      </c>
      <c r="I309" s="7"/>
    </row>
    <row r="310" spans="1:9" x14ac:dyDescent="0.25">
      <c r="A310" t="s">
        <v>1</v>
      </c>
      <c r="B310">
        <v>643564</v>
      </c>
      <c r="C310" t="s">
        <v>44</v>
      </c>
      <c r="E310" t="s">
        <v>1961</v>
      </c>
      <c r="I310" s="7"/>
    </row>
    <row r="311" spans="1:9" x14ac:dyDescent="0.25">
      <c r="A311" t="s">
        <v>1</v>
      </c>
      <c r="B311">
        <v>640691</v>
      </c>
      <c r="C311" t="s">
        <v>44</v>
      </c>
      <c r="E311" t="s">
        <v>1959</v>
      </c>
      <c r="I311" s="7"/>
    </row>
    <row r="312" spans="1:9" x14ac:dyDescent="0.25">
      <c r="A312" t="s">
        <v>1</v>
      </c>
      <c r="B312">
        <v>627791</v>
      </c>
      <c r="C312" t="s">
        <v>44</v>
      </c>
      <c r="E312" t="s">
        <v>1956</v>
      </c>
      <c r="I312" s="7"/>
    </row>
    <row r="313" spans="1:9" x14ac:dyDescent="0.25">
      <c r="A313" t="s">
        <v>1</v>
      </c>
      <c r="B313">
        <v>627791</v>
      </c>
      <c r="C313" t="s">
        <v>1939</v>
      </c>
      <c r="E313" t="s">
        <v>1956</v>
      </c>
      <c r="I313" s="7"/>
    </row>
    <row r="314" spans="1:9" x14ac:dyDescent="0.25">
      <c r="A314" t="s">
        <v>1</v>
      </c>
      <c r="B314">
        <v>649887</v>
      </c>
      <c r="C314" t="s">
        <v>163</v>
      </c>
      <c r="E314" t="s">
        <v>1954</v>
      </c>
      <c r="I314" s="7"/>
    </row>
    <row r="315" spans="1:9" x14ac:dyDescent="0.25">
      <c r="A315" t="s">
        <v>1</v>
      </c>
      <c r="B315">
        <v>637557</v>
      </c>
      <c r="C315" t="s">
        <v>332</v>
      </c>
      <c r="E315" t="s">
        <v>1952</v>
      </c>
      <c r="I315" s="7"/>
    </row>
    <row r="316" spans="1:9" x14ac:dyDescent="0.25">
      <c r="A316" t="s">
        <v>1</v>
      </c>
      <c r="B316">
        <v>646385</v>
      </c>
      <c r="C316" t="s">
        <v>332</v>
      </c>
      <c r="E316" t="s">
        <v>1948</v>
      </c>
      <c r="I316" s="7"/>
    </row>
    <row r="317" spans="1:9" x14ac:dyDescent="0.25">
      <c r="A317" t="s">
        <v>1</v>
      </c>
      <c r="B317">
        <v>641304</v>
      </c>
      <c r="C317" t="s">
        <v>44</v>
      </c>
      <c r="E317" t="s">
        <v>1946</v>
      </c>
      <c r="I317" s="7"/>
    </row>
    <row r="318" spans="1:9" x14ac:dyDescent="0.25">
      <c r="A318" t="s">
        <v>1</v>
      </c>
      <c r="B318">
        <v>643565</v>
      </c>
      <c r="C318" t="s">
        <v>332</v>
      </c>
      <c r="E318" t="s">
        <v>1943</v>
      </c>
      <c r="I318" s="7"/>
    </row>
    <row r="319" spans="1:9" x14ac:dyDescent="0.25">
      <c r="A319" t="s">
        <v>1</v>
      </c>
      <c r="B319">
        <v>627793</v>
      </c>
      <c r="C319" t="s">
        <v>44</v>
      </c>
      <c r="E319" t="s">
        <v>1940</v>
      </c>
      <c r="I319" s="7"/>
    </row>
    <row r="320" spans="1:9" x14ac:dyDescent="0.25">
      <c r="A320" t="s">
        <v>1</v>
      </c>
      <c r="B320">
        <v>627793</v>
      </c>
      <c r="C320" t="s">
        <v>1939</v>
      </c>
      <c r="E320" t="s">
        <v>1940</v>
      </c>
      <c r="I320" s="7"/>
    </row>
    <row r="321" spans="1:9" x14ac:dyDescent="0.25">
      <c r="A321" t="s">
        <v>1</v>
      </c>
      <c r="B321">
        <v>648219</v>
      </c>
      <c r="C321" t="s">
        <v>44</v>
      </c>
      <c r="E321" t="s">
        <v>1936</v>
      </c>
      <c r="I321" s="7"/>
    </row>
    <row r="322" spans="1:9" x14ac:dyDescent="0.25">
      <c r="A322" t="s">
        <v>1</v>
      </c>
      <c r="B322">
        <v>648082</v>
      </c>
      <c r="C322" t="s">
        <v>44</v>
      </c>
      <c r="E322" t="s">
        <v>1933</v>
      </c>
      <c r="I322" s="7"/>
    </row>
    <row r="323" spans="1:9" x14ac:dyDescent="0.25">
      <c r="A323" t="s">
        <v>1</v>
      </c>
      <c r="B323">
        <v>646290</v>
      </c>
      <c r="C323" t="s">
        <v>44</v>
      </c>
      <c r="E323" t="s">
        <v>1928</v>
      </c>
      <c r="I323" s="7"/>
    </row>
    <row r="324" spans="1:9" x14ac:dyDescent="0.25">
      <c r="A324" t="s">
        <v>1</v>
      </c>
      <c r="B324">
        <v>644423</v>
      </c>
      <c r="C324" t="s">
        <v>44</v>
      </c>
      <c r="E324" t="s">
        <v>1926</v>
      </c>
      <c r="I324" s="7"/>
    </row>
    <row r="325" spans="1:9" x14ac:dyDescent="0.25">
      <c r="A325" s="6"/>
      <c r="B325" s="6"/>
      <c r="E325" s="6"/>
      <c r="I325" s="7"/>
    </row>
    <row r="326" spans="1:9" x14ac:dyDescent="0.25">
      <c r="A326" t="s">
        <v>1</v>
      </c>
      <c r="B326">
        <v>659618</v>
      </c>
      <c r="C326" t="s">
        <v>136</v>
      </c>
      <c r="E326" t="s">
        <v>1924</v>
      </c>
      <c r="I326" s="7"/>
    </row>
    <row r="327" spans="1:9" x14ac:dyDescent="0.25">
      <c r="A327" t="s">
        <v>1</v>
      </c>
      <c r="B327">
        <v>655655</v>
      </c>
      <c r="C327" t="s">
        <v>280</v>
      </c>
      <c r="E327" t="s">
        <v>1921</v>
      </c>
      <c r="I327" s="7"/>
    </row>
    <row r="328" spans="1:9" x14ac:dyDescent="0.25">
      <c r="A328" t="s">
        <v>1</v>
      </c>
      <c r="B328">
        <v>657446</v>
      </c>
      <c r="C328" t="s">
        <v>280</v>
      </c>
      <c r="E328" t="s">
        <v>1916</v>
      </c>
      <c r="I328" s="7"/>
    </row>
    <row r="329" spans="1:9" x14ac:dyDescent="0.25">
      <c r="A329" t="s">
        <v>1</v>
      </c>
      <c r="B329">
        <v>651683</v>
      </c>
      <c r="C329" t="s">
        <v>280</v>
      </c>
      <c r="E329" t="s">
        <v>1916</v>
      </c>
      <c r="I329" s="7"/>
    </row>
    <row r="330" spans="1:9" x14ac:dyDescent="0.25">
      <c r="A330" t="s">
        <v>1</v>
      </c>
      <c r="B330">
        <v>660457</v>
      </c>
      <c r="C330" t="s">
        <v>280</v>
      </c>
      <c r="E330" t="s">
        <v>1914</v>
      </c>
      <c r="I330" s="7"/>
    </row>
    <row r="331" spans="1:9" x14ac:dyDescent="0.25">
      <c r="A331" t="s">
        <v>1</v>
      </c>
      <c r="B331">
        <v>660465</v>
      </c>
      <c r="C331" t="s">
        <v>1771</v>
      </c>
      <c r="E331" t="s">
        <v>1908</v>
      </c>
      <c r="I331" s="7"/>
    </row>
    <row r="332" spans="1:9" x14ac:dyDescent="0.25">
      <c r="A332" t="s">
        <v>1</v>
      </c>
      <c r="B332">
        <v>652330</v>
      </c>
      <c r="C332" t="s">
        <v>280</v>
      </c>
      <c r="E332" t="s">
        <v>1906</v>
      </c>
      <c r="I332" s="7"/>
    </row>
    <row r="333" spans="1:9" x14ac:dyDescent="0.25">
      <c r="A333" t="s">
        <v>1</v>
      </c>
      <c r="B333">
        <v>655657</v>
      </c>
      <c r="C333" t="s">
        <v>280</v>
      </c>
      <c r="E333" t="s">
        <v>1904</v>
      </c>
      <c r="I333" s="7"/>
    </row>
    <row r="334" spans="1:9" x14ac:dyDescent="0.25">
      <c r="A334" t="s">
        <v>1</v>
      </c>
      <c r="B334">
        <v>659726</v>
      </c>
      <c r="C334" t="s">
        <v>136</v>
      </c>
      <c r="E334" t="s">
        <v>1900</v>
      </c>
      <c r="I334" s="7"/>
    </row>
    <row r="335" spans="1:9" x14ac:dyDescent="0.25">
      <c r="A335" t="s">
        <v>1</v>
      </c>
      <c r="B335">
        <v>650609</v>
      </c>
      <c r="C335" t="s">
        <v>44</v>
      </c>
      <c r="E335" t="s">
        <v>1898</v>
      </c>
      <c r="I335" s="7"/>
    </row>
    <row r="336" spans="1:9" x14ac:dyDescent="0.25">
      <c r="A336" t="s">
        <v>1</v>
      </c>
      <c r="B336">
        <v>663521</v>
      </c>
      <c r="C336" t="s">
        <v>136</v>
      </c>
      <c r="E336" t="s">
        <v>1896</v>
      </c>
      <c r="I336" s="7"/>
    </row>
    <row r="337" spans="1:9" x14ac:dyDescent="0.25">
      <c r="A337" t="s">
        <v>1</v>
      </c>
      <c r="B337">
        <v>660714</v>
      </c>
      <c r="C337" t="s">
        <v>1771</v>
      </c>
      <c r="E337" t="s">
        <v>1894</v>
      </c>
      <c r="I337" s="7"/>
    </row>
    <row r="338" spans="1:9" x14ac:dyDescent="0.25">
      <c r="A338" t="s">
        <v>1</v>
      </c>
      <c r="B338">
        <v>659040</v>
      </c>
      <c r="C338" t="s">
        <v>1771</v>
      </c>
      <c r="E338" t="s">
        <v>1892</v>
      </c>
      <c r="I338" s="7"/>
    </row>
    <row r="339" spans="1:9" x14ac:dyDescent="0.25">
      <c r="A339" t="s">
        <v>1</v>
      </c>
      <c r="B339">
        <v>660251</v>
      </c>
      <c r="C339" t="s">
        <v>1771</v>
      </c>
      <c r="E339" t="s">
        <v>1889</v>
      </c>
      <c r="I339" s="7"/>
    </row>
    <row r="340" spans="1:9" x14ac:dyDescent="0.25">
      <c r="A340" t="s">
        <v>1</v>
      </c>
      <c r="B340">
        <v>663802</v>
      </c>
      <c r="C340" t="s">
        <v>395</v>
      </c>
      <c r="E340" t="s">
        <v>1878</v>
      </c>
      <c r="I340" s="7"/>
    </row>
    <row r="341" spans="1:9" x14ac:dyDescent="0.25">
      <c r="A341" t="s">
        <v>1</v>
      </c>
      <c r="B341">
        <v>660358</v>
      </c>
      <c r="C341" t="s">
        <v>1771</v>
      </c>
      <c r="E341" t="s">
        <v>1874</v>
      </c>
      <c r="I341" s="7"/>
    </row>
    <row r="342" spans="1:9" x14ac:dyDescent="0.25">
      <c r="A342" t="s">
        <v>1</v>
      </c>
      <c r="B342">
        <v>660715</v>
      </c>
      <c r="C342" t="s">
        <v>1771</v>
      </c>
      <c r="E342" t="s">
        <v>1872</v>
      </c>
      <c r="I342" s="7"/>
    </row>
    <row r="343" spans="1:9" x14ac:dyDescent="0.25">
      <c r="A343" s="6"/>
      <c r="B343" s="6"/>
      <c r="E343" s="6"/>
      <c r="I343" s="7"/>
    </row>
    <row r="344" spans="1:9" x14ac:dyDescent="0.25">
      <c r="A344" s="6"/>
      <c r="B344" s="6"/>
      <c r="E344" s="6"/>
      <c r="I344" s="7"/>
    </row>
    <row r="345" spans="1:9" x14ac:dyDescent="0.25">
      <c r="A345" s="6"/>
      <c r="B345" s="6"/>
      <c r="E345" s="6"/>
      <c r="I345" s="7"/>
    </row>
    <row r="346" spans="1:9" x14ac:dyDescent="0.25">
      <c r="A346" s="6"/>
      <c r="B346" s="6"/>
      <c r="E346" s="6"/>
      <c r="I346" s="7"/>
    </row>
    <row r="347" spans="1:9" x14ac:dyDescent="0.25">
      <c r="A347" s="6"/>
      <c r="B347" s="6"/>
      <c r="E347" s="6"/>
      <c r="I347" s="7"/>
    </row>
    <row r="348" spans="1:9" x14ac:dyDescent="0.25">
      <c r="A348" s="6"/>
      <c r="B348" s="6"/>
      <c r="E348" s="6"/>
      <c r="I348" s="7"/>
    </row>
    <row r="349" spans="1:9" x14ac:dyDescent="0.25">
      <c r="A349" s="6"/>
      <c r="B349" s="6"/>
      <c r="E349" s="6"/>
      <c r="I349" s="7"/>
    </row>
    <row r="350" spans="1:9" x14ac:dyDescent="0.25">
      <c r="A350" s="6"/>
      <c r="B350" s="6"/>
      <c r="E350" s="6"/>
      <c r="I350" s="7"/>
    </row>
    <row r="351" spans="1:9" x14ac:dyDescent="0.25">
      <c r="A351" t="s">
        <v>1870</v>
      </c>
      <c r="E351" t="s">
        <v>1868</v>
      </c>
      <c r="I351" s="7"/>
    </row>
    <row r="352" spans="1:9" x14ac:dyDescent="0.25">
      <c r="E352" t="s">
        <v>1862</v>
      </c>
      <c r="I352" s="7"/>
    </row>
    <row r="353" spans="1:9" x14ac:dyDescent="0.25">
      <c r="E353" t="s">
        <v>1859</v>
      </c>
      <c r="I353" s="7"/>
    </row>
    <row r="354" spans="1:9" x14ac:dyDescent="0.25">
      <c r="E354" t="s">
        <v>1856</v>
      </c>
      <c r="I354" s="7"/>
    </row>
    <row r="355" spans="1:9" x14ac:dyDescent="0.25">
      <c r="E355" t="s">
        <v>1854</v>
      </c>
      <c r="I355" s="7"/>
    </row>
    <row r="356" spans="1:9" x14ac:dyDescent="0.25">
      <c r="E356" t="s">
        <v>1851</v>
      </c>
      <c r="I356" s="7"/>
    </row>
    <row r="357" spans="1:9" x14ac:dyDescent="0.25">
      <c r="E357" t="s">
        <v>1846</v>
      </c>
      <c r="I357" s="7"/>
    </row>
    <row r="358" spans="1:9" x14ac:dyDescent="0.25">
      <c r="E358" t="s">
        <v>1842</v>
      </c>
      <c r="I358" s="7"/>
    </row>
    <row r="359" spans="1:9" x14ac:dyDescent="0.25">
      <c r="E359" t="s">
        <v>1840</v>
      </c>
      <c r="I359" s="7"/>
    </row>
    <row r="360" spans="1:9" x14ac:dyDescent="0.25">
      <c r="E360" t="s">
        <v>1838</v>
      </c>
      <c r="I360" s="7"/>
    </row>
    <row r="361" spans="1:9" x14ac:dyDescent="0.25">
      <c r="E361" t="s">
        <v>1836</v>
      </c>
      <c r="I361" s="7"/>
    </row>
    <row r="362" spans="1:9" x14ac:dyDescent="0.25">
      <c r="E362" t="s">
        <v>1834</v>
      </c>
      <c r="I362" s="7"/>
    </row>
    <row r="363" spans="1:9" x14ac:dyDescent="0.25">
      <c r="E363" t="s">
        <v>1828</v>
      </c>
      <c r="I363" s="7"/>
    </row>
    <row r="364" spans="1:9" x14ac:dyDescent="0.25">
      <c r="E364" t="s">
        <v>1826</v>
      </c>
      <c r="I364" s="7"/>
    </row>
    <row r="365" spans="1:9" x14ac:dyDescent="0.25">
      <c r="E365" t="s">
        <v>1824</v>
      </c>
      <c r="I365" s="7"/>
    </row>
    <row r="366" spans="1:9" x14ac:dyDescent="0.25">
      <c r="E366" t="s">
        <v>1822</v>
      </c>
      <c r="I366" s="7"/>
    </row>
    <row r="367" spans="1:9" x14ac:dyDescent="0.25">
      <c r="A367" s="6"/>
      <c r="B367" s="6"/>
      <c r="E367" s="6"/>
      <c r="I367" s="7"/>
    </row>
    <row r="368" spans="1:9" x14ac:dyDescent="0.25">
      <c r="A368" t="s">
        <v>1870</v>
      </c>
      <c r="E368" t="s">
        <v>1818</v>
      </c>
      <c r="I368" s="7"/>
    </row>
    <row r="369" spans="1:9" x14ac:dyDescent="0.25">
      <c r="E369" t="s">
        <v>1816</v>
      </c>
      <c r="I369" s="7"/>
    </row>
    <row r="370" spans="1:9" x14ac:dyDescent="0.25">
      <c r="E370" t="s">
        <v>1814</v>
      </c>
      <c r="I370" s="7"/>
    </row>
    <row r="371" spans="1:9" x14ac:dyDescent="0.25">
      <c r="E371" t="s">
        <v>1812</v>
      </c>
      <c r="I371" s="7"/>
    </row>
    <row r="372" spans="1:9" x14ac:dyDescent="0.25">
      <c r="E372" t="s">
        <v>1809</v>
      </c>
      <c r="I372" s="7"/>
    </row>
    <row r="373" spans="1:9" x14ac:dyDescent="0.25">
      <c r="E373" t="s">
        <v>1807</v>
      </c>
      <c r="I373" s="7"/>
    </row>
    <row r="374" spans="1:9" x14ac:dyDescent="0.25">
      <c r="E374" t="s">
        <v>1803</v>
      </c>
      <c r="I374" s="7"/>
    </row>
    <row r="375" spans="1:9" x14ac:dyDescent="0.25">
      <c r="E375" t="s">
        <v>1801</v>
      </c>
      <c r="I375" s="7"/>
    </row>
    <row r="376" spans="1:9" x14ac:dyDescent="0.25">
      <c r="E376" t="s">
        <v>1799</v>
      </c>
      <c r="I376" s="7"/>
    </row>
    <row r="377" spans="1:9" x14ac:dyDescent="0.25">
      <c r="E377" t="s">
        <v>1795</v>
      </c>
      <c r="I377" s="7"/>
    </row>
    <row r="378" spans="1:9" x14ac:dyDescent="0.25">
      <c r="E378" t="s">
        <v>1795</v>
      </c>
      <c r="I378" s="7"/>
    </row>
    <row r="379" spans="1:9" x14ac:dyDescent="0.25">
      <c r="A379" s="6"/>
      <c r="B379" s="6"/>
      <c r="E379" s="6"/>
      <c r="I379" s="7"/>
    </row>
    <row r="380" spans="1:9" x14ac:dyDescent="0.25">
      <c r="A380" t="s">
        <v>1740</v>
      </c>
      <c r="E380" t="s">
        <v>1738</v>
      </c>
    </row>
    <row r="381" spans="1:9" x14ac:dyDescent="0.25">
      <c r="E381" t="s">
        <v>344</v>
      </c>
    </row>
    <row r="382" spans="1:9" x14ac:dyDescent="0.25">
      <c r="E382" t="s">
        <v>1735</v>
      </c>
    </row>
    <row r="383" spans="1:9" x14ac:dyDescent="0.25">
      <c r="E383" t="s">
        <v>1733</v>
      </c>
    </row>
    <row r="384" spans="1:9" x14ac:dyDescent="0.25">
      <c r="E384" t="s">
        <v>1731</v>
      </c>
    </row>
    <row r="385" spans="1:5" x14ac:dyDescent="0.25">
      <c r="E385" t="s">
        <v>240</v>
      </c>
    </row>
    <row r="386" spans="1:5" x14ac:dyDescent="0.25">
      <c r="E386" t="s">
        <v>1727</v>
      </c>
    </row>
    <row r="387" spans="1:5" x14ac:dyDescent="0.25">
      <c r="E387" t="s">
        <v>198</v>
      </c>
    </row>
    <row r="388" spans="1:5" x14ac:dyDescent="0.25">
      <c r="E388" t="s">
        <v>1725</v>
      </c>
    </row>
    <row r="389" spans="1:5" x14ac:dyDescent="0.25">
      <c r="E389" t="s">
        <v>172</v>
      </c>
    </row>
    <row r="391" spans="1:5" x14ac:dyDescent="0.25">
      <c r="A391" t="s">
        <v>1741</v>
      </c>
      <c r="E391" t="s">
        <v>541</v>
      </c>
    </row>
    <row r="392" spans="1:5" x14ac:dyDescent="0.25">
      <c r="E392" t="s">
        <v>530</v>
      </c>
    </row>
    <row r="393" spans="1:5" x14ac:dyDescent="0.25">
      <c r="E393" t="s">
        <v>1718</v>
      </c>
    </row>
    <row r="394" spans="1:5" x14ac:dyDescent="0.25">
      <c r="E394" t="s">
        <v>1715</v>
      </c>
    </row>
    <row r="395" spans="1:5" x14ac:dyDescent="0.25">
      <c r="E395" t="s">
        <v>1713</v>
      </c>
    </row>
    <row r="396" spans="1:5" x14ac:dyDescent="0.25">
      <c r="E396" t="s">
        <v>1710</v>
      </c>
    </row>
    <row r="397" spans="1:5" x14ac:dyDescent="0.25">
      <c r="E397" t="s">
        <v>1706</v>
      </c>
    </row>
    <row r="398" spans="1:5" x14ac:dyDescent="0.25">
      <c r="E398" t="s">
        <v>463</v>
      </c>
    </row>
    <row r="399" spans="1:5" x14ac:dyDescent="0.25">
      <c r="E399" t="s">
        <v>1702</v>
      </c>
    </row>
    <row r="400" spans="1:5" x14ac:dyDescent="0.25">
      <c r="E400" t="s">
        <v>1696</v>
      </c>
    </row>
    <row r="401" spans="5:5" x14ac:dyDescent="0.25">
      <c r="E401" t="s">
        <v>1694</v>
      </c>
    </row>
    <row r="402" spans="5:5" x14ac:dyDescent="0.25">
      <c r="E402" t="s">
        <v>411</v>
      </c>
    </row>
    <row r="403" spans="5:5" x14ac:dyDescent="0.25">
      <c r="E403" t="s">
        <v>402</v>
      </c>
    </row>
    <row r="404" spans="5:5" x14ac:dyDescent="0.25">
      <c r="E404" t="s">
        <v>1690</v>
      </c>
    </row>
    <row r="405" spans="5:5" x14ac:dyDescent="0.25">
      <c r="E405" t="s">
        <v>1688</v>
      </c>
    </row>
    <row r="406" spans="5:5" x14ac:dyDescent="0.25">
      <c r="E406" t="s">
        <v>1686</v>
      </c>
    </row>
    <row r="407" spans="5:5" x14ac:dyDescent="0.25">
      <c r="E407" t="s">
        <v>1684</v>
      </c>
    </row>
    <row r="408" spans="5:5" x14ac:dyDescent="0.25">
      <c r="E408" t="s">
        <v>1682</v>
      </c>
    </row>
    <row r="409" spans="5:5" x14ac:dyDescent="0.25">
      <c r="E409" t="s">
        <v>353</v>
      </c>
    </row>
    <row r="410" spans="5:5" x14ac:dyDescent="0.25">
      <c r="E410" t="s">
        <v>1679</v>
      </c>
    </row>
    <row r="411" spans="5:5" x14ac:dyDescent="0.25">
      <c r="E411" t="s">
        <v>1677</v>
      </c>
    </row>
    <row r="412" spans="5:5" x14ac:dyDescent="0.25">
      <c r="E412" t="s">
        <v>313</v>
      </c>
    </row>
    <row r="413" spans="5:5" x14ac:dyDescent="0.25">
      <c r="E413" t="s">
        <v>301</v>
      </c>
    </row>
    <row r="414" spans="5:5" x14ac:dyDescent="0.25">
      <c r="E414" t="s">
        <v>289</v>
      </c>
    </row>
    <row r="415" spans="5:5" x14ac:dyDescent="0.25">
      <c r="E415" t="s">
        <v>270</v>
      </c>
    </row>
    <row r="416" spans="5:5" x14ac:dyDescent="0.25">
      <c r="E416" t="s">
        <v>1670</v>
      </c>
    </row>
    <row r="417" spans="1:5" x14ac:dyDescent="0.25">
      <c r="E417" t="s">
        <v>224</v>
      </c>
    </row>
    <row r="418" spans="1:5" x14ac:dyDescent="0.25">
      <c r="E418" t="s">
        <v>1666</v>
      </c>
    </row>
    <row r="419" spans="1:5" x14ac:dyDescent="0.25">
      <c r="E419" t="s">
        <v>1663</v>
      </c>
    </row>
    <row r="420" spans="1:5" x14ac:dyDescent="0.25">
      <c r="E420" t="s">
        <v>1660</v>
      </c>
    </row>
    <row r="421" spans="1:5" x14ac:dyDescent="0.25">
      <c r="E421" t="s">
        <v>173</v>
      </c>
    </row>
    <row r="422" spans="1:5" x14ac:dyDescent="0.25">
      <c r="E422" t="s">
        <v>164</v>
      </c>
    </row>
    <row r="423" spans="1:5" x14ac:dyDescent="0.25">
      <c r="E423" t="s">
        <v>135</v>
      </c>
    </row>
    <row r="425" spans="1:5" x14ac:dyDescent="0.25">
      <c r="A425" t="s">
        <v>1742</v>
      </c>
      <c r="E425" t="s">
        <v>1652</v>
      </c>
    </row>
    <row r="426" spans="1:5" x14ac:dyDescent="0.25">
      <c r="E426" t="s">
        <v>1650</v>
      </c>
    </row>
    <row r="427" spans="1:5" x14ac:dyDescent="0.25">
      <c r="E427" t="s">
        <v>1648</v>
      </c>
    </row>
    <row r="428" spans="1:5" x14ac:dyDescent="0.25">
      <c r="E428" t="s">
        <v>507</v>
      </c>
    </row>
    <row r="429" spans="1:5" x14ac:dyDescent="0.25">
      <c r="E429" t="s">
        <v>481</v>
      </c>
    </row>
    <row r="430" spans="1:5" x14ac:dyDescent="0.25">
      <c r="E430" t="s">
        <v>471</v>
      </c>
    </row>
    <row r="431" spans="1:5" x14ac:dyDescent="0.25">
      <c r="E431" t="s">
        <v>1643</v>
      </c>
    </row>
    <row r="432" spans="1:5" x14ac:dyDescent="0.25">
      <c r="E432" t="s">
        <v>446</v>
      </c>
    </row>
    <row r="433" spans="5:5" x14ac:dyDescent="0.25">
      <c r="E433" t="s">
        <v>1638</v>
      </c>
    </row>
    <row r="434" spans="5:5" x14ac:dyDescent="0.25">
      <c r="E434" t="s">
        <v>1636</v>
      </c>
    </row>
    <row r="435" spans="5:5" x14ac:dyDescent="0.25">
      <c r="E435" t="s">
        <v>1634</v>
      </c>
    </row>
    <row r="436" spans="5:5" x14ac:dyDescent="0.25">
      <c r="E436" t="s">
        <v>1632</v>
      </c>
    </row>
    <row r="437" spans="5:5" x14ac:dyDescent="0.25">
      <c r="E437" t="s">
        <v>1629</v>
      </c>
    </row>
    <row r="438" spans="5:5" x14ac:dyDescent="0.25">
      <c r="E438" t="s">
        <v>394</v>
      </c>
    </row>
    <row r="439" spans="5:5" x14ac:dyDescent="0.25">
      <c r="E439" t="s">
        <v>384</v>
      </c>
    </row>
    <row r="440" spans="5:5" x14ac:dyDescent="0.25">
      <c r="E440" t="s">
        <v>1620</v>
      </c>
    </row>
    <row r="441" spans="5:5" x14ac:dyDescent="0.25">
      <c r="E441" t="s">
        <v>1617</v>
      </c>
    </row>
    <row r="442" spans="5:5" x14ac:dyDescent="0.25">
      <c r="E442" t="s">
        <v>1614</v>
      </c>
    </row>
    <row r="443" spans="5:5" x14ac:dyDescent="0.25">
      <c r="E443" t="s">
        <v>333</v>
      </c>
    </row>
    <row r="444" spans="5:5" x14ac:dyDescent="0.25">
      <c r="E444" t="s">
        <v>1608</v>
      </c>
    </row>
    <row r="445" spans="5:5" x14ac:dyDescent="0.25">
      <c r="E445" t="s">
        <v>1606</v>
      </c>
    </row>
    <row r="446" spans="5:5" x14ac:dyDescent="0.25">
      <c r="E446" t="s">
        <v>1603</v>
      </c>
    </row>
    <row r="447" spans="5:5" x14ac:dyDescent="0.25">
      <c r="E447" t="s">
        <v>1601</v>
      </c>
    </row>
    <row r="448" spans="5:5" x14ac:dyDescent="0.25">
      <c r="E448" t="s">
        <v>1600</v>
      </c>
    </row>
    <row r="449" spans="1:5" x14ac:dyDescent="0.25">
      <c r="E449" t="s">
        <v>1598</v>
      </c>
    </row>
    <row r="450" spans="1:5" x14ac:dyDescent="0.25">
      <c r="E450" t="s">
        <v>1596</v>
      </c>
    </row>
    <row r="451" spans="1:5" x14ac:dyDescent="0.25">
      <c r="E451" t="s">
        <v>208</v>
      </c>
    </row>
    <row r="452" spans="1:5" x14ac:dyDescent="0.25">
      <c r="E452" t="s">
        <v>1593</v>
      </c>
    </row>
    <row r="453" spans="1:5" x14ac:dyDescent="0.25">
      <c r="E453" t="s">
        <v>1591</v>
      </c>
    </row>
    <row r="454" spans="1:5" x14ac:dyDescent="0.25">
      <c r="E454" t="s">
        <v>1589</v>
      </c>
    </row>
    <row r="455" spans="1:5" x14ac:dyDescent="0.25">
      <c r="E455" t="s">
        <v>1587</v>
      </c>
    </row>
    <row r="457" spans="1:5" x14ac:dyDescent="0.25">
      <c r="A457" t="s">
        <v>1743</v>
      </c>
      <c r="E457" t="s">
        <v>1585</v>
      </c>
    </row>
    <row r="458" spans="1:5" x14ac:dyDescent="0.25">
      <c r="E458" t="s">
        <v>514</v>
      </c>
    </row>
    <row r="459" spans="1:5" x14ac:dyDescent="0.25">
      <c r="E459" t="s">
        <v>1583</v>
      </c>
    </row>
    <row r="460" spans="1:5" x14ac:dyDescent="0.25">
      <c r="E460" t="s">
        <v>1579</v>
      </c>
    </row>
    <row r="461" spans="1:5" x14ac:dyDescent="0.25">
      <c r="E461" t="s">
        <v>1577</v>
      </c>
    </row>
    <row r="462" spans="1:5" x14ac:dyDescent="0.25">
      <c r="E462" t="s">
        <v>1575</v>
      </c>
    </row>
    <row r="463" spans="1:5" x14ac:dyDescent="0.25">
      <c r="E463" t="s">
        <v>1572</v>
      </c>
    </row>
    <row r="464" spans="1:5" x14ac:dyDescent="0.25">
      <c r="E464" t="s">
        <v>1570</v>
      </c>
    </row>
    <row r="465" spans="5:5" x14ac:dyDescent="0.25">
      <c r="E465" t="s">
        <v>1568</v>
      </c>
    </row>
    <row r="466" spans="5:5" x14ac:dyDescent="0.25">
      <c r="E466" t="s">
        <v>396</v>
      </c>
    </row>
    <row r="467" spans="5:5" x14ac:dyDescent="0.25">
      <c r="E467" t="s">
        <v>385</v>
      </c>
    </row>
    <row r="468" spans="5:5" x14ac:dyDescent="0.25">
      <c r="E468" t="s">
        <v>1562</v>
      </c>
    </row>
    <row r="469" spans="5:5" x14ac:dyDescent="0.25">
      <c r="E469" t="s">
        <v>1560</v>
      </c>
    </row>
    <row r="470" spans="5:5" x14ac:dyDescent="0.25">
      <c r="E470" t="s">
        <v>1558</v>
      </c>
    </row>
    <row r="471" spans="5:5" x14ac:dyDescent="0.25">
      <c r="E471" t="s">
        <v>1555</v>
      </c>
    </row>
    <row r="472" spans="5:5" x14ac:dyDescent="0.25">
      <c r="E472" t="s">
        <v>1553</v>
      </c>
    </row>
    <row r="473" spans="5:5" x14ac:dyDescent="0.25">
      <c r="E473" t="s">
        <v>302</v>
      </c>
    </row>
    <row r="474" spans="5:5" x14ac:dyDescent="0.25">
      <c r="E474" t="s">
        <v>1551</v>
      </c>
    </row>
    <row r="475" spans="5:5" x14ac:dyDescent="0.25">
      <c r="E475" t="s">
        <v>1547</v>
      </c>
    </row>
    <row r="476" spans="5:5" x14ac:dyDescent="0.25">
      <c r="E476" t="s">
        <v>1545</v>
      </c>
    </row>
    <row r="477" spans="5:5" x14ac:dyDescent="0.25">
      <c r="E477" t="s">
        <v>1543</v>
      </c>
    </row>
    <row r="478" spans="5:5" x14ac:dyDescent="0.25">
      <c r="E478" t="s">
        <v>1541</v>
      </c>
    </row>
    <row r="479" spans="5:5" x14ac:dyDescent="0.25">
      <c r="E479" t="s">
        <v>1538</v>
      </c>
    </row>
    <row r="480" spans="5:5" x14ac:dyDescent="0.25">
      <c r="E480" t="s">
        <v>1534</v>
      </c>
    </row>
    <row r="481" spans="1:5" x14ac:dyDescent="0.25">
      <c r="E481" t="s">
        <v>1532</v>
      </c>
    </row>
    <row r="482" spans="1:5" x14ac:dyDescent="0.25">
      <c r="E482" t="s">
        <v>1528</v>
      </c>
    </row>
    <row r="483" spans="1:5" x14ac:dyDescent="0.25">
      <c r="E483" t="s">
        <v>1524</v>
      </c>
    </row>
    <row r="484" spans="1:5" x14ac:dyDescent="0.25">
      <c r="E484" t="s">
        <v>1522</v>
      </c>
    </row>
    <row r="486" spans="1:5" x14ac:dyDescent="0.25">
      <c r="A486" t="s">
        <v>1744</v>
      </c>
      <c r="E486" t="s">
        <v>515</v>
      </c>
    </row>
    <row r="487" spans="1:5" x14ac:dyDescent="0.25">
      <c r="E487" t="s">
        <v>1516</v>
      </c>
    </row>
    <row r="488" spans="1:5" x14ac:dyDescent="0.25">
      <c r="E488" t="s">
        <v>1514</v>
      </c>
    </row>
    <row r="489" spans="1:5" x14ac:dyDescent="0.25">
      <c r="E489" t="s">
        <v>472</v>
      </c>
    </row>
    <row r="490" spans="1:5" x14ac:dyDescent="0.25">
      <c r="E490" t="s">
        <v>1510</v>
      </c>
    </row>
    <row r="491" spans="1:5" x14ac:dyDescent="0.25">
      <c r="E491" t="s">
        <v>1508</v>
      </c>
    </row>
    <row r="492" spans="1:5" x14ac:dyDescent="0.25">
      <c r="E492" t="s">
        <v>403</v>
      </c>
    </row>
    <row r="493" spans="1:5" x14ac:dyDescent="0.25">
      <c r="E493" t="s">
        <v>1503</v>
      </c>
    </row>
    <row r="494" spans="1:5" x14ac:dyDescent="0.25">
      <c r="E494" t="s">
        <v>354</v>
      </c>
    </row>
    <row r="495" spans="1:5" x14ac:dyDescent="0.25">
      <c r="E495" t="s">
        <v>345</v>
      </c>
    </row>
    <row r="496" spans="1:5" x14ac:dyDescent="0.25">
      <c r="E496" t="s">
        <v>1499</v>
      </c>
    </row>
    <row r="497" spans="1:5" x14ac:dyDescent="0.25">
      <c r="E497" t="s">
        <v>1496</v>
      </c>
    </row>
    <row r="498" spans="1:5" x14ac:dyDescent="0.25">
      <c r="E498" t="s">
        <v>1493</v>
      </c>
    </row>
    <row r="499" spans="1:5" x14ac:dyDescent="0.25">
      <c r="E499" t="s">
        <v>271</v>
      </c>
    </row>
    <row r="500" spans="1:5" x14ac:dyDescent="0.25">
      <c r="E500" t="s">
        <v>257</v>
      </c>
    </row>
    <row r="501" spans="1:5" x14ac:dyDescent="0.25">
      <c r="E501" t="s">
        <v>241</v>
      </c>
    </row>
    <row r="502" spans="1:5" x14ac:dyDescent="0.25">
      <c r="E502" t="s">
        <v>225</v>
      </c>
    </row>
    <row r="503" spans="1:5" x14ac:dyDescent="0.25">
      <c r="E503" t="s">
        <v>209</v>
      </c>
    </row>
    <row r="504" spans="1:5" x14ac:dyDescent="0.25">
      <c r="E504" t="s">
        <v>174</v>
      </c>
    </row>
    <row r="505" spans="1:5" x14ac:dyDescent="0.25">
      <c r="E505" t="s">
        <v>165</v>
      </c>
    </row>
    <row r="506" spans="1:5" x14ac:dyDescent="0.25">
      <c r="E506" t="s">
        <v>137</v>
      </c>
    </row>
    <row r="508" spans="1:5" x14ac:dyDescent="0.25">
      <c r="A508" t="s">
        <v>1745</v>
      </c>
      <c r="E508" t="s">
        <v>1478</v>
      </c>
    </row>
    <row r="509" spans="1:5" x14ac:dyDescent="0.25">
      <c r="E509" t="s">
        <v>521</v>
      </c>
    </row>
    <row r="510" spans="1:5" x14ac:dyDescent="0.25">
      <c r="E510" t="s">
        <v>486</v>
      </c>
    </row>
    <row r="511" spans="1:5" x14ac:dyDescent="0.25">
      <c r="E511" t="s">
        <v>1472</v>
      </c>
    </row>
    <row r="512" spans="1:5" x14ac:dyDescent="0.25">
      <c r="E512" t="s">
        <v>464</v>
      </c>
    </row>
    <row r="513" spans="5:5" x14ac:dyDescent="0.25">
      <c r="E513" t="s">
        <v>450</v>
      </c>
    </row>
    <row r="514" spans="5:5" x14ac:dyDescent="0.25">
      <c r="E514" t="s">
        <v>1466</v>
      </c>
    </row>
    <row r="515" spans="5:5" x14ac:dyDescent="0.25">
      <c r="E515" t="s">
        <v>1463</v>
      </c>
    </row>
    <row r="516" spans="5:5" x14ac:dyDescent="0.25">
      <c r="E516" t="s">
        <v>1461</v>
      </c>
    </row>
    <row r="517" spans="5:5" x14ac:dyDescent="0.25">
      <c r="E517" t="s">
        <v>388</v>
      </c>
    </row>
    <row r="518" spans="5:5" x14ac:dyDescent="0.25">
      <c r="E518" t="s">
        <v>379</v>
      </c>
    </row>
    <row r="519" spans="5:5" x14ac:dyDescent="0.25">
      <c r="E519" t="s">
        <v>376</v>
      </c>
    </row>
    <row r="520" spans="5:5" x14ac:dyDescent="0.25">
      <c r="E520" t="s">
        <v>366</v>
      </c>
    </row>
    <row r="521" spans="5:5" x14ac:dyDescent="0.25">
      <c r="E521" t="s">
        <v>335</v>
      </c>
    </row>
    <row r="522" spans="5:5" x14ac:dyDescent="0.25">
      <c r="E522" t="s">
        <v>1448</v>
      </c>
    </row>
    <row r="523" spans="5:5" x14ac:dyDescent="0.25">
      <c r="E523" t="s">
        <v>1446</v>
      </c>
    </row>
    <row r="524" spans="5:5" x14ac:dyDescent="0.25">
      <c r="E524" t="s">
        <v>1441</v>
      </c>
    </row>
    <row r="525" spans="5:5" x14ac:dyDescent="0.25">
      <c r="E525" t="s">
        <v>1438</v>
      </c>
    </row>
    <row r="526" spans="5:5" x14ac:dyDescent="0.25">
      <c r="E526" t="s">
        <v>228</v>
      </c>
    </row>
    <row r="527" spans="5:5" x14ac:dyDescent="0.25">
      <c r="E527" t="s">
        <v>213</v>
      </c>
    </row>
    <row r="528" spans="5:5" x14ac:dyDescent="0.25">
      <c r="E528" t="s">
        <v>1431</v>
      </c>
    </row>
    <row r="529" spans="1:5" x14ac:dyDescent="0.25">
      <c r="E529" t="s">
        <v>189</v>
      </c>
    </row>
    <row r="530" spans="1:5" x14ac:dyDescent="0.25">
      <c r="E530" t="s">
        <v>179</v>
      </c>
    </row>
    <row r="531" spans="1:5" x14ac:dyDescent="0.25">
      <c r="E531" t="s">
        <v>168</v>
      </c>
    </row>
    <row r="532" spans="1:5" x14ac:dyDescent="0.25">
      <c r="E532" t="s">
        <v>1422</v>
      </c>
    </row>
    <row r="534" spans="1:5" x14ac:dyDescent="0.25">
      <c r="A534" t="s">
        <v>1746</v>
      </c>
      <c r="E534" t="s">
        <v>1420</v>
      </c>
    </row>
    <row r="535" spans="1:5" x14ac:dyDescent="0.25">
      <c r="E535" t="s">
        <v>1417</v>
      </c>
    </row>
    <row r="536" spans="1:5" x14ac:dyDescent="0.25">
      <c r="E536" t="s">
        <v>520</v>
      </c>
    </row>
    <row r="537" spans="1:5" x14ac:dyDescent="0.25">
      <c r="E537" t="s">
        <v>1414</v>
      </c>
    </row>
    <row r="538" spans="1:5" x14ac:dyDescent="0.25">
      <c r="E538" t="s">
        <v>1412</v>
      </c>
    </row>
    <row r="539" spans="1:5" x14ac:dyDescent="0.25">
      <c r="E539" t="s">
        <v>1410</v>
      </c>
    </row>
    <row r="540" spans="1:5" x14ac:dyDescent="0.25">
      <c r="E540" t="s">
        <v>1408</v>
      </c>
    </row>
    <row r="541" spans="1:5" x14ac:dyDescent="0.25">
      <c r="E541" t="s">
        <v>1406</v>
      </c>
    </row>
    <row r="542" spans="1:5" x14ac:dyDescent="0.25">
      <c r="E542" t="s">
        <v>443</v>
      </c>
    </row>
    <row r="543" spans="1:5" x14ac:dyDescent="0.25">
      <c r="E543" t="s">
        <v>1403</v>
      </c>
    </row>
    <row r="544" spans="1:5" x14ac:dyDescent="0.25">
      <c r="E544" t="s">
        <v>1400</v>
      </c>
    </row>
    <row r="545" spans="5:5" x14ac:dyDescent="0.25">
      <c r="E545" t="s">
        <v>405</v>
      </c>
    </row>
    <row r="546" spans="5:5" x14ac:dyDescent="0.25">
      <c r="E546" t="s">
        <v>1397</v>
      </c>
    </row>
    <row r="547" spans="5:5" x14ac:dyDescent="0.25">
      <c r="E547" t="s">
        <v>1395</v>
      </c>
    </row>
    <row r="548" spans="5:5" x14ac:dyDescent="0.25">
      <c r="E548" t="s">
        <v>1393</v>
      </c>
    </row>
    <row r="549" spans="5:5" x14ac:dyDescent="0.25">
      <c r="E549" t="s">
        <v>1391</v>
      </c>
    </row>
    <row r="550" spans="5:5" x14ac:dyDescent="0.25">
      <c r="E550" t="s">
        <v>1389</v>
      </c>
    </row>
    <row r="551" spans="5:5" x14ac:dyDescent="0.25">
      <c r="E551" t="s">
        <v>1386</v>
      </c>
    </row>
    <row r="552" spans="5:5" x14ac:dyDescent="0.25">
      <c r="E552" t="s">
        <v>1384</v>
      </c>
    </row>
    <row r="553" spans="5:5" x14ac:dyDescent="0.25">
      <c r="E553" t="s">
        <v>1382</v>
      </c>
    </row>
    <row r="554" spans="5:5" x14ac:dyDescent="0.25">
      <c r="E554" t="s">
        <v>318</v>
      </c>
    </row>
    <row r="555" spans="5:5" x14ac:dyDescent="0.25">
      <c r="E555" t="s">
        <v>1377</v>
      </c>
    </row>
    <row r="556" spans="5:5" x14ac:dyDescent="0.25">
      <c r="E556" t="s">
        <v>1375</v>
      </c>
    </row>
    <row r="557" spans="5:5" x14ac:dyDescent="0.25">
      <c r="E557" t="s">
        <v>1373</v>
      </c>
    </row>
    <row r="558" spans="5:5" x14ac:dyDescent="0.25">
      <c r="E558" t="s">
        <v>1371</v>
      </c>
    </row>
    <row r="559" spans="5:5" x14ac:dyDescent="0.25">
      <c r="E559" t="s">
        <v>1367</v>
      </c>
    </row>
    <row r="560" spans="5:5" x14ac:dyDescent="0.25">
      <c r="E560" t="s">
        <v>1364</v>
      </c>
    </row>
    <row r="561" spans="1:5" x14ac:dyDescent="0.25">
      <c r="E561" t="s">
        <v>1361</v>
      </c>
    </row>
    <row r="562" spans="1:5" x14ac:dyDescent="0.25">
      <c r="E562" t="s">
        <v>1357</v>
      </c>
    </row>
    <row r="563" spans="1:5" x14ac:dyDescent="0.25">
      <c r="E563" t="s">
        <v>1355</v>
      </c>
    </row>
    <row r="564" spans="1:5" x14ac:dyDescent="0.25">
      <c r="E564" t="s">
        <v>1352</v>
      </c>
    </row>
    <row r="565" spans="1:5" x14ac:dyDescent="0.25">
      <c r="E565" t="s">
        <v>1350</v>
      </c>
    </row>
    <row r="566" spans="1:5" x14ac:dyDescent="0.25">
      <c r="E566" t="s">
        <v>1345</v>
      </c>
    </row>
    <row r="568" spans="1:5" x14ac:dyDescent="0.25">
      <c r="A568" t="s">
        <v>1747</v>
      </c>
      <c r="E568" t="s">
        <v>1342</v>
      </c>
    </row>
    <row r="569" spans="1:5" x14ac:dyDescent="0.25">
      <c r="E569" t="s">
        <v>534</v>
      </c>
    </row>
    <row r="570" spans="1:5" x14ac:dyDescent="0.25">
      <c r="E570" t="s">
        <v>1339</v>
      </c>
    </row>
    <row r="571" spans="1:5" x14ac:dyDescent="0.25">
      <c r="E571" t="s">
        <v>508</v>
      </c>
    </row>
    <row r="572" spans="1:5" x14ac:dyDescent="0.25">
      <c r="E572" t="s">
        <v>494</v>
      </c>
    </row>
    <row r="573" spans="1:5" x14ac:dyDescent="0.25">
      <c r="E573" t="s">
        <v>483</v>
      </c>
    </row>
    <row r="574" spans="1:5" x14ac:dyDescent="0.25">
      <c r="E574" t="s">
        <v>474</v>
      </c>
    </row>
    <row r="575" spans="1:5" x14ac:dyDescent="0.25">
      <c r="E575" t="s">
        <v>1334</v>
      </c>
    </row>
    <row r="576" spans="1:5" x14ac:dyDescent="0.25">
      <c r="E576" t="s">
        <v>1332</v>
      </c>
    </row>
    <row r="577" spans="5:5" x14ac:dyDescent="0.25">
      <c r="E577" t="s">
        <v>1329</v>
      </c>
    </row>
    <row r="578" spans="5:5" x14ac:dyDescent="0.25">
      <c r="E578" t="s">
        <v>1327</v>
      </c>
    </row>
    <row r="579" spans="5:5" x14ac:dyDescent="0.25">
      <c r="E579" t="s">
        <v>1325</v>
      </c>
    </row>
    <row r="580" spans="5:5" x14ac:dyDescent="0.25">
      <c r="E580" t="s">
        <v>404</v>
      </c>
    </row>
    <row r="581" spans="5:5" x14ac:dyDescent="0.25">
      <c r="E581" t="s">
        <v>387</v>
      </c>
    </row>
    <row r="582" spans="5:5" x14ac:dyDescent="0.25">
      <c r="E582" t="s">
        <v>1320</v>
      </c>
    </row>
    <row r="583" spans="5:5" x14ac:dyDescent="0.25">
      <c r="E583" t="s">
        <v>1318</v>
      </c>
    </row>
    <row r="584" spans="5:5" x14ac:dyDescent="0.25">
      <c r="E584" t="s">
        <v>1316</v>
      </c>
    </row>
    <row r="585" spans="5:5" x14ac:dyDescent="0.25">
      <c r="E585" t="s">
        <v>1314</v>
      </c>
    </row>
    <row r="586" spans="5:5" x14ac:dyDescent="0.25">
      <c r="E586" t="s">
        <v>317</v>
      </c>
    </row>
    <row r="587" spans="5:5" x14ac:dyDescent="0.25">
      <c r="E587" t="s">
        <v>304</v>
      </c>
    </row>
    <row r="588" spans="5:5" x14ac:dyDescent="0.25">
      <c r="E588" t="s">
        <v>291</v>
      </c>
    </row>
    <row r="589" spans="5:5" x14ac:dyDescent="0.25">
      <c r="E589" t="s">
        <v>1309</v>
      </c>
    </row>
    <row r="590" spans="5:5" x14ac:dyDescent="0.25">
      <c r="E590" t="s">
        <v>1305</v>
      </c>
    </row>
    <row r="591" spans="5:5" x14ac:dyDescent="0.25">
      <c r="E591" t="s">
        <v>1303</v>
      </c>
    </row>
    <row r="592" spans="5:5" x14ac:dyDescent="0.25">
      <c r="E592" t="s">
        <v>244</v>
      </c>
    </row>
    <row r="593" spans="1:5" x14ac:dyDescent="0.25">
      <c r="E593" t="s">
        <v>200</v>
      </c>
    </row>
    <row r="594" spans="1:5" x14ac:dyDescent="0.25">
      <c r="E594" t="s">
        <v>188</v>
      </c>
    </row>
    <row r="595" spans="1:5" x14ac:dyDescent="0.25">
      <c r="E595" t="s">
        <v>1296</v>
      </c>
    </row>
    <row r="596" spans="1:5" x14ac:dyDescent="0.25">
      <c r="E596" t="s">
        <v>1294</v>
      </c>
    </row>
    <row r="597" spans="1:5" x14ac:dyDescent="0.25">
      <c r="E597" t="s">
        <v>138</v>
      </c>
    </row>
    <row r="599" spans="1:5" x14ac:dyDescent="0.25">
      <c r="A599" t="s">
        <v>1748</v>
      </c>
      <c r="E599" t="s">
        <v>1288</v>
      </c>
    </row>
    <row r="600" spans="1:5" x14ac:dyDescent="0.25">
      <c r="E600" t="s">
        <v>1285</v>
      </c>
    </row>
    <row r="601" spans="1:5" x14ac:dyDescent="0.25">
      <c r="E601" t="s">
        <v>1283</v>
      </c>
    </row>
    <row r="602" spans="1:5" x14ac:dyDescent="0.25">
      <c r="E602" t="s">
        <v>473</v>
      </c>
    </row>
    <row r="603" spans="1:5" x14ac:dyDescent="0.25">
      <c r="E603" t="s">
        <v>1278</v>
      </c>
    </row>
    <row r="604" spans="1:5" x14ac:dyDescent="0.25">
      <c r="E604" t="s">
        <v>1276</v>
      </c>
    </row>
    <row r="605" spans="1:5" x14ac:dyDescent="0.25">
      <c r="E605" t="s">
        <v>442</v>
      </c>
    </row>
    <row r="606" spans="1:5" x14ac:dyDescent="0.25">
      <c r="E606" t="s">
        <v>435</v>
      </c>
    </row>
    <row r="607" spans="1:5" x14ac:dyDescent="0.25">
      <c r="E607" t="s">
        <v>427</v>
      </c>
    </row>
    <row r="608" spans="1:5" x14ac:dyDescent="0.25">
      <c r="E608" t="s">
        <v>398</v>
      </c>
    </row>
    <row r="609" spans="5:5" x14ac:dyDescent="0.25">
      <c r="E609" t="s">
        <v>1266</v>
      </c>
    </row>
    <row r="610" spans="5:5" x14ac:dyDescent="0.25">
      <c r="E610" t="s">
        <v>1264</v>
      </c>
    </row>
    <row r="611" spans="5:5" x14ac:dyDescent="0.25">
      <c r="E611" t="s">
        <v>1262</v>
      </c>
    </row>
    <row r="612" spans="5:5" x14ac:dyDescent="0.25">
      <c r="E612" t="s">
        <v>1260</v>
      </c>
    </row>
    <row r="613" spans="5:5" x14ac:dyDescent="0.25">
      <c r="E613" t="s">
        <v>1258</v>
      </c>
    </row>
    <row r="614" spans="5:5" x14ac:dyDescent="0.25">
      <c r="E614" t="s">
        <v>334</v>
      </c>
    </row>
    <row r="615" spans="5:5" x14ac:dyDescent="0.25">
      <c r="E615" t="s">
        <v>316</v>
      </c>
    </row>
    <row r="616" spans="5:5" x14ac:dyDescent="0.25">
      <c r="E616" t="s">
        <v>290</v>
      </c>
    </row>
    <row r="617" spans="5:5" x14ac:dyDescent="0.25">
      <c r="E617" t="s">
        <v>284</v>
      </c>
    </row>
    <row r="618" spans="5:5" x14ac:dyDescent="0.25">
      <c r="E618" t="s">
        <v>261</v>
      </c>
    </row>
    <row r="619" spans="5:5" x14ac:dyDescent="0.25">
      <c r="E619" t="s">
        <v>1250</v>
      </c>
    </row>
    <row r="620" spans="5:5" x14ac:dyDescent="0.25">
      <c r="E620" t="s">
        <v>1248</v>
      </c>
    </row>
    <row r="621" spans="5:5" x14ac:dyDescent="0.25">
      <c r="E621" t="s">
        <v>1246</v>
      </c>
    </row>
    <row r="622" spans="5:5" x14ac:dyDescent="0.25">
      <c r="E622" t="s">
        <v>1243</v>
      </c>
    </row>
    <row r="623" spans="5:5" x14ac:dyDescent="0.25">
      <c r="E623" t="s">
        <v>187</v>
      </c>
    </row>
    <row r="624" spans="5:5" x14ac:dyDescent="0.25">
      <c r="E624" t="s">
        <v>178</v>
      </c>
    </row>
    <row r="626" spans="1:5" x14ac:dyDescent="0.25">
      <c r="A626" t="s">
        <v>1749</v>
      </c>
      <c r="E626" t="s">
        <v>1239</v>
      </c>
    </row>
    <row r="627" spans="1:5" x14ac:dyDescent="0.25">
      <c r="E627" t="s">
        <v>531</v>
      </c>
    </row>
    <row r="628" spans="1:5" x14ac:dyDescent="0.25">
      <c r="E628" t="s">
        <v>517</v>
      </c>
    </row>
    <row r="629" spans="1:5" x14ac:dyDescent="0.25">
      <c r="E629" t="s">
        <v>482</v>
      </c>
    </row>
    <row r="630" spans="1:5" x14ac:dyDescent="0.25">
      <c r="E630" t="s">
        <v>1233</v>
      </c>
    </row>
    <row r="631" spans="1:5" x14ac:dyDescent="0.25">
      <c r="E631" t="s">
        <v>449</v>
      </c>
    </row>
    <row r="632" spans="1:5" x14ac:dyDescent="0.25">
      <c r="E632" t="s">
        <v>1230</v>
      </c>
    </row>
    <row r="633" spans="1:5" x14ac:dyDescent="0.25">
      <c r="E633" t="s">
        <v>434</v>
      </c>
    </row>
    <row r="634" spans="1:5" x14ac:dyDescent="0.25">
      <c r="E634" t="s">
        <v>375</v>
      </c>
    </row>
    <row r="635" spans="1:5" x14ac:dyDescent="0.25">
      <c r="E635" t="s">
        <v>365</v>
      </c>
    </row>
    <row r="636" spans="1:5" x14ac:dyDescent="0.25">
      <c r="E636" t="s">
        <v>355</v>
      </c>
    </row>
    <row r="637" spans="1:5" x14ac:dyDescent="0.25">
      <c r="E637" t="s">
        <v>346</v>
      </c>
    </row>
    <row r="638" spans="1:5" x14ac:dyDescent="0.25">
      <c r="E638" t="s">
        <v>1217</v>
      </c>
    </row>
    <row r="639" spans="1:5" x14ac:dyDescent="0.25">
      <c r="E639" t="s">
        <v>315</v>
      </c>
    </row>
    <row r="640" spans="1:5" x14ac:dyDescent="0.25">
      <c r="E640" t="s">
        <v>1213</v>
      </c>
    </row>
    <row r="641" spans="1:5" x14ac:dyDescent="0.25">
      <c r="E641" t="s">
        <v>1211</v>
      </c>
    </row>
    <row r="642" spans="1:5" x14ac:dyDescent="0.25">
      <c r="E642" t="s">
        <v>273</v>
      </c>
    </row>
    <row r="643" spans="1:5" x14ac:dyDescent="0.25">
      <c r="E643" t="s">
        <v>258</v>
      </c>
    </row>
    <row r="644" spans="1:5" x14ac:dyDescent="0.25">
      <c r="E644" t="s">
        <v>226</v>
      </c>
    </row>
    <row r="645" spans="1:5" x14ac:dyDescent="0.25">
      <c r="E645" t="s">
        <v>211</v>
      </c>
    </row>
    <row r="646" spans="1:5" x14ac:dyDescent="0.25">
      <c r="E646" t="s">
        <v>1202</v>
      </c>
    </row>
    <row r="647" spans="1:5" x14ac:dyDescent="0.25">
      <c r="E647" t="s">
        <v>184</v>
      </c>
    </row>
    <row r="648" spans="1:5" x14ac:dyDescent="0.25">
      <c r="E648" t="s">
        <v>175</v>
      </c>
    </row>
    <row r="649" spans="1:5" x14ac:dyDescent="0.25">
      <c r="E649" t="s">
        <v>166</v>
      </c>
    </row>
    <row r="650" spans="1:5" x14ac:dyDescent="0.25">
      <c r="E650" t="s">
        <v>1195</v>
      </c>
    </row>
    <row r="652" spans="1:5" x14ac:dyDescent="0.25">
      <c r="A652" t="s">
        <v>1750</v>
      </c>
      <c r="E652" t="s">
        <v>1193</v>
      </c>
    </row>
    <row r="653" spans="1:5" x14ac:dyDescent="0.25">
      <c r="E653" t="s">
        <v>1188</v>
      </c>
    </row>
    <row r="654" spans="1:5" x14ac:dyDescent="0.25">
      <c r="E654" t="s">
        <v>1185</v>
      </c>
    </row>
    <row r="655" spans="1:5" x14ac:dyDescent="0.25">
      <c r="E655" t="s">
        <v>487</v>
      </c>
    </row>
    <row r="656" spans="1:5" x14ac:dyDescent="0.25">
      <c r="E656" t="s">
        <v>451</v>
      </c>
    </row>
    <row r="657" spans="5:5" x14ac:dyDescent="0.25">
      <c r="E657" t="s">
        <v>444</v>
      </c>
    </row>
    <row r="658" spans="5:5" x14ac:dyDescent="0.25">
      <c r="E658" t="s">
        <v>1173</v>
      </c>
    </row>
    <row r="659" spans="5:5" x14ac:dyDescent="0.25">
      <c r="E659" t="s">
        <v>1170</v>
      </c>
    </row>
    <row r="660" spans="5:5" x14ac:dyDescent="0.25">
      <c r="E660" t="s">
        <v>1165</v>
      </c>
    </row>
    <row r="661" spans="5:5" x14ac:dyDescent="0.25">
      <c r="E661" t="s">
        <v>1163</v>
      </c>
    </row>
    <row r="662" spans="5:5" x14ac:dyDescent="0.25">
      <c r="E662" t="s">
        <v>389</v>
      </c>
    </row>
    <row r="663" spans="5:5" x14ac:dyDescent="0.25">
      <c r="E663" t="s">
        <v>380</v>
      </c>
    </row>
    <row r="664" spans="5:5" x14ac:dyDescent="0.25">
      <c r="E664" t="s">
        <v>356</v>
      </c>
    </row>
    <row r="665" spans="5:5" x14ac:dyDescent="0.25">
      <c r="E665" t="s">
        <v>347</v>
      </c>
    </row>
    <row r="666" spans="5:5" x14ac:dyDescent="0.25">
      <c r="E666" t="s">
        <v>320</v>
      </c>
    </row>
    <row r="667" spans="5:5" x14ac:dyDescent="0.25">
      <c r="E667" t="s">
        <v>306</v>
      </c>
    </row>
    <row r="668" spans="5:5" x14ac:dyDescent="0.25">
      <c r="E668" t="s">
        <v>292</v>
      </c>
    </row>
    <row r="669" spans="5:5" x14ac:dyDescent="0.25">
      <c r="E669" t="s">
        <v>1150</v>
      </c>
    </row>
    <row r="670" spans="5:5" x14ac:dyDescent="0.25">
      <c r="E670" t="s">
        <v>276</v>
      </c>
    </row>
    <row r="671" spans="5:5" x14ac:dyDescent="0.25">
      <c r="E671" t="s">
        <v>262</v>
      </c>
    </row>
    <row r="672" spans="5:5" x14ac:dyDescent="0.25">
      <c r="E672" t="s">
        <v>245</v>
      </c>
    </row>
    <row r="673" spans="1:5" x14ac:dyDescent="0.25">
      <c r="E673" t="s">
        <v>214</v>
      </c>
    </row>
    <row r="674" spans="1:5" x14ac:dyDescent="0.25">
      <c r="E674" t="s">
        <v>1138</v>
      </c>
    </row>
    <row r="675" spans="1:5" x14ac:dyDescent="0.25">
      <c r="E675" t="s">
        <v>1136</v>
      </c>
    </row>
    <row r="676" spans="1:5" x14ac:dyDescent="0.25">
      <c r="E676" t="s">
        <v>169</v>
      </c>
    </row>
    <row r="677" spans="1:5" x14ac:dyDescent="0.25">
      <c r="E677" t="s">
        <v>1130</v>
      </c>
    </row>
    <row r="679" spans="1:5" x14ac:dyDescent="0.25">
      <c r="A679" t="s">
        <v>1751</v>
      </c>
      <c r="E679" t="s">
        <v>522</v>
      </c>
    </row>
    <row r="680" spans="1:5" x14ac:dyDescent="0.25">
      <c r="E680" t="s">
        <v>509</v>
      </c>
    </row>
    <row r="681" spans="1:5" x14ac:dyDescent="0.25">
      <c r="E681" t="s">
        <v>488</v>
      </c>
    </row>
    <row r="682" spans="1:5" x14ac:dyDescent="0.25">
      <c r="E682" t="s">
        <v>477</v>
      </c>
    </row>
    <row r="683" spans="1:5" x14ac:dyDescent="0.25">
      <c r="E683" t="s">
        <v>466</v>
      </c>
    </row>
    <row r="684" spans="1:5" x14ac:dyDescent="0.25">
      <c r="E684" t="s">
        <v>452</v>
      </c>
    </row>
    <row r="685" spans="1:5" x14ac:dyDescent="0.25">
      <c r="E685" t="s">
        <v>445</v>
      </c>
    </row>
    <row r="686" spans="1:5" x14ac:dyDescent="0.25">
      <c r="E686" t="s">
        <v>436</v>
      </c>
    </row>
    <row r="687" spans="1:5" x14ac:dyDescent="0.25">
      <c r="E687" t="s">
        <v>428</v>
      </c>
    </row>
    <row r="688" spans="1:5" x14ac:dyDescent="0.25">
      <c r="E688" t="s">
        <v>415</v>
      </c>
    </row>
    <row r="689" spans="5:5" x14ac:dyDescent="0.25">
      <c r="E689" t="s">
        <v>1104</v>
      </c>
    </row>
    <row r="690" spans="5:5" x14ac:dyDescent="0.25">
      <c r="E690" t="s">
        <v>1101</v>
      </c>
    </row>
    <row r="691" spans="5:5" x14ac:dyDescent="0.25">
      <c r="E691" t="s">
        <v>381</v>
      </c>
    </row>
    <row r="692" spans="5:5" x14ac:dyDescent="0.25">
      <c r="E692" t="s">
        <v>1096</v>
      </c>
    </row>
    <row r="693" spans="5:5" x14ac:dyDescent="0.25">
      <c r="E693" t="s">
        <v>368</v>
      </c>
    </row>
    <row r="694" spans="5:5" x14ac:dyDescent="0.25">
      <c r="E694" t="s">
        <v>1090</v>
      </c>
    </row>
    <row r="695" spans="5:5" x14ac:dyDescent="0.25">
      <c r="E695" t="s">
        <v>1088</v>
      </c>
    </row>
    <row r="696" spans="5:5" x14ac:dyDescent="0.25">
      <c r="E696" t="s">
        <v>1086</v>
      </c>
    </row>
    <row r="697" spans="5:5" x14ac:dyDescent="0.25">
      <c r="E697" t="s">
        <v>321</v>
      </c>
    </row>
    <row r="698" spans="5:5" x14ac:dyDescent="0.25">
      <c r="E698" t="s">
        <v>307</v>
      </c>
    </row>
    <row r="699" spans="5:5" x14ac:dyDescent="0.25">
      <c r="E699" t="s">
        <v>1081</v>
      </c>
    </row>
    <row r="700" spans="5:5" x14ac:dyDescent="0.25">
      <c r="E700" t="s">
        <v>277</v>
      </c>
    </row>
    <row r="701" spans="5:5" x14ac:dyDescent="0.25">
      <c r="E701" t="s">
        <v>263</v>
      </c>
    </row>
    <row r="702" spans="5:5" x14ac:dyDescent="0.25">
      <c r="E702" t="s">
        <v>246</v>
      </c>
    </row>
    <row r="703" spans="5:5" x14ac:dyDescent="0.25">
      <c r="E703" t="s">
        <v>1073</v>
      </c>
    </row>
    <row r="704" spans="5:5" x14ac:dyDescent="0.25">
      <c r="E704" t="s">
        <v>216</v>
      </c>
    </row>
    <row r="705" spans="1:5" x14ac:dyDescent="0.25">
      <c r="E705" t="s">
        <v>201</v>
      </c>
    </row>
    <row r="706" spans="1:5" x14ac:dyDescent="0.25">
      <c r="E706" t="s">
        <v>190</v>
      </c>
    </row>
    <row r="707" spans="1:5" x14ac:dyDescent="0.25">
      <c r="E707" t="s">
        <v>141</v>
      </c>
    </row>
    <row r="709" spans="1:5" x14ac:dyDescent="0.25">
      <c r="A709" t="s">
        <v>1752</v>
      </c>
      <c r="E709" t="s">
        <v>547</v>
      </c>
    </row>
    <row r="710" spans="1:5" x14ac:dyDescent="0.25">
      <c r="E710" t="s">
        <v>1064</v>
      </c>
    </row>
    <row r="711" spans="1:5" x14ac:dyDescent="0.25">
      <c r="E711" t="s">
        <v>510</v>
      </c>
    </row>
    <row r="712" spans="1:5" x14ac:dyDescent="0.25">
      <c r="E712" t="s">
        <v>1058</v>
      </c>
    </row>
    <row r="713" spans="1:5" x14ac:dyDescent="0.25">
      <c r="E713" t="s">
        <v>1056</v>
      </c>
    </row>
    <row r="714" spans="1:5" x14ac:dyDescent="0.25">
      <c r="E714" t="s">
        <v>1053</v>
      </c>
    </row>
    <row r="715" spans="1:5" x14ac:dyDescent="0.25">
      <c r="E715" t="s">
        <v>453</v>
      </c>
    </row>
    <row r="716" spans="1:5" x14ac:dyDescent="0.25">
      <c r="E716" t="s">
        <v>1046</v>
      </c>
    </row>
    <row r="717" spans="1:5" x14ac:dyDescent="0.25">
      <c r="E717" t="s">
        <v>1044</v>
      </c>
    </row>
    <row r="718" spans="1:5" x14ac:dyDescent="0.25">
      <c r="E718" t="s">
        <v>417</v>
      </c>
    </row>
    <row r="719" spans="1:5" x14ac:dyDescent="0.25">
      <c r="E719" t="s">
        <v>1037</v>
      </c>
    </row>
    <row r="720" spans="1:5" x14ac:dyDescent="0.25">
      <c r="E720" t="s">
        <v>390</v>
      </c>
    </row>
    <row r="721" spans="1:5" x14ac:dyDescent="0.25">
      <c r="E721" t="s">
        <v>382</v>
      </c>
    </row>
    <row r="722" spans="1:5" x14ac:dyDescent="0.25">
      <c r="E722" t="s">
        <v>1032</v>
      </c>
    </row>
    <row r="723" spans="1:5" x14ac:dyDescent="0.25">
      <c r="E723" t="s">
        <v>1030</v>
      </c>
    </row>
    <row r="724" spans="1:5" x14ac:dyDescent="0.25">
      <c r="E724" t="s">
        <v>357</v>
      </c>
    </row>
    <row r="725" spans="1:5" x14ac:dyDescent="0.25">
      <c r="E725" t="s">
        <v>348</v>
      </c>
    </row>
    <row r="726" spans="1:5" x14ac:dyDescent="0.25">
      <c r="E726" t="s">
        <v>308</v>
      </c>
    </row>
    <row r="727" spans="1:5" x14ac:dyDescent="0.25">
      <c r="E727" t="s">
        <v>293</v>
      </c>
    </row>
    <row r="728" spans="1:5" x14ac:dyDescent="0.25">
      <c r="E728" t="s">
        <v>1019</v>
      </c>
    </row>
    <row r="729" spans="1:5" x14ac:dyDescent="0.25">
      <c r="E729" t="s">
        <v>1017</v>
      </c>
    </row>
    <row r="730" spans="1:5" x14ac:dyDescent="0.25">
      <c r="E730" t="s">
        <v>1015</v>
      </c>
    </row>
    <row r="731" spans="1:5" x14ac:dyDescent="0.25">
      <c r="E731" t="s">
        <v>1013</v>
      </c>
    </row>
    <row r="733" spans="1:5" x14ac:dyDescent="0.25">
      <c r="A733" t="s">
        <v>1754</v>
      </c>
      <c r="E733" t="s">
        <v>132</v>
      </c>
    </row>
    <row r="734" spans="1:5" x14ac:dyDescent="0.25">
      <c r="E734" t="s">
        <v>74</v>
      </c>
    </row>
    <row r="735" spans="1:5" x14ac:dyDescent="0.25">
      <c r="E735" t="s">
        <v>73</v>
      </c>
    </row>
    <row r="736" spans="1:5" x14ac:dyDescent="0.25">
      <c r="E736" t="s">
        <v>128</v>
      </c>
    </row>
    <row r="737" spans="5:5" x14ac:dyDescent="0.25">
      <c r="E737" t="s">
        <v>126</v>
      </c>
    </row>
    <row r="738" spans="5:5" x14ac:dyDescent="0.25">
      <c r="E738" t="s">
        <v>124</v>
      </c>
    </row>
    <row r="739" spans="5:5" x14ac:dyDescent="0.25">
      <c r="E739" t="s">
        <v>122</v>
      </c>
    </row>
    <row r="740" spans="5:5" x14ac:dyDescent="0.25">
      <c r="E740" t="s">
        <v>72</v>
      </c>
    </row>
    <row r="741" spans="5:5" x14ac:dyDescent="0.25">
      <c r="E741" t="s">
        <v>71</v>
      </c>
    </row>
    <row r="742" spans="5:5" x14ac:dyDescent="0.25">
      <c r="E742" t="s">
        <v>70</v>
      </c>
    </row>
    <row r="743" spans="5:5" x14ac:dyDescent="0.25">
      <c r="E743" t="s">
        <v>116</v>
      </c>
    </row>
    <row r="744" spans="5:5" x14ac:dyDescent="0.25">
      <c r="E744" t="s">
        <v>114</v>
      </c>
    </row>
    <row r="745" spans="5:5" x14ac:dyDescent="0.25">
      <c r="E745" t="s">
        <v>69</v>
      </c>
    </row>
    <row r="746" spans="5:5" x14ac:dyDescent="0.25">
      <c r="E746" t="s">
        <v>67</v>
      </c>
    </row>
    <row r="747" spans="5:5" x14ac:dyDescent="0.25">
      <c r="E747" t="s">
        <v>66</v>
      </c>
    </row>
    <row r="748" spans="5:5" x14ac:dyDescent="0.25">
      <c r="E748" t="s">
        <v>65</v>
      </c>
    </row>
    <row r="749" spans="5:5" x14ac:dyDescent="0.25">
      <c r="E749" t="s">
        <v>64</v>
      </c>
    </row>
    <row r="750" spans="5:5" x14ac:dyDescent="0.25">
      <c r="E750" t="s">
        <v>62</v>
      </c>
    </row>
    <row r="751" spans="5:5" x14ac:dyDescent="0.25">
      <c r="E751" t="s">
        <v>101</v>
      </c>
    </row>
    <row r="752" spans="5:5" x14ac:dyDescent="0.25">
      <c r="E752" t="s">
        <v>61</v>
      </c>
    </row>
    <row r="753" spans="5:5" x14ac:dyDescent="0.25">
      <c r="E753" t="s">
        <v>60</v>
      </c>
    </row>
    <row r="754" spans="5:5" x14ac:dyDescent="0.25">
      <c r="E754" t="s">
        <v>59</v>
      </c>
    </row>
    <row r="755" spans="5:5" x14ac:dyDescent="0.25">
      <c r="E755" t="s">
        <v>58</v>
      </c>
    </row>
    <row r="756" spans="5:5" x14ac:dyDescent="0.25">
      <c r="E756" t="s">
        <v>57</v>
      </c>
    </row>
    <row r="757" spans="5:5" x14ac:dyDescent="0.25">
      <c r="E757" t="s">
        <v>55</v>
      </c>
    </row>
    <row r="758" spans="5:5" x14ac:dyDescent="0.25">
      <c r="E758" t="s">
        <v>54</v>
      </c>
    </row>
    <row r="759" spans="5:5" x14ac:dyDescent="0.25">
      <c r="E759" t="s">
        <v>53</v>
      </c>
    </row>
    <row r="760" spans="5:5" x14ac:dyDescent="0.25">
      <c r="E760" t="s">
        <v>86</v>
      </c>
    </row>
    <row r="761" spans="5:5" x14ac:dyDescent="0.25">
      <c r="E761" t="s">
        <v>52</v>
      </c>
    </row>
    <row r="762" spans="5:5" x14ac:dyDescent="0.25">
      <c r="E762" t="s">
        <v>83</v>
      </c>
    </row>
    <row r="763" spans="5:5" x14ac:dyDescent="0.25">
      <c r="E763" t="s">
        <v>51</v>
      </c>
    </row>
    <row r="764" spans="5:5" x14ac:dyDescent="0.25">
      <c r="E764" t="s">
        <v>49</v>
      </c>
    </row>
    <row r="765" spans="5:5" x14ac:dyDescent="0.25">
      <c r="E765" t="s">
        <v>47</v>
      </c>
    </row>
    <row r="766" spans="5:5" x14ac:dyDescent="0.25">
      <c r="E766" t="s">
        <v>46</v>
      </c>
    </row>
    <row r="767" spans="5:5" x14ac:dyDescent="0.25">
      <c r="E767" t="s">
        <v>75</v>
      </c>
    </row>
    <row r="768" spans="5:5" ht="15.75" customHeight="1" x14ac:dyDescent="0.25"/>
    <row r="769" spans="1:5" x14ac:dyDescent="0.25">
      <c r="A769" t="s">
        <v>1753</v>
      </c>
      <c r="E769" t="s">
        <v>1011</v>
      </c>
    </row>
    <row r="770" spans="1:5" x14ac:dyDescent="0.25">
      <c r="E770" t="s">
        <v>933</v>
      </c>
    </row>
    <row r="771" spans="1:5" x14ac:dyDescent="0.25">
      <c r="E771" t="s">
        <v>1009</v>
      </c>
    </row>
    <row r="772" spans="1:5" x14ac:dyDescent="0.25">
      <c r="E772" t="s">
        <v>1006</v>
      </c>
    </row>
    <row r="773" spans="1:5" x14ac:dyDescent="0.25">
      <c r="E773" t="s">
        <v>1003</v>
      </c>
    </row>
    <row r="774" spans="1:5" x14ac:dyDescent="0.25">
      <c r="E774" t="s">
        <v>489</v>
      </c>
    </row>
    <row r="775" spans="1:5" x14ac:dyDescent="0.25">
      <c r="E775" t="s">
        <v>478</v>
      </c>
    </row>
    <row r="776" spans="1:5" x14ac:dyDescent="0.25">
      <c r="E776" t="s">
        <v>997</v>
      </c>
    </row>
    <row r="777" spans="1:5" x14ac:dyDescent="0.25">
      <c r="E777" t="s">
        <v>995</v>
      </c>
    </row>
    <row r="778" spans="1:5" x14ac:dyDescent="0.25">
      <c r="E778" t="s">
        <v>993</v>
      </c>
    </row>
    <row r="779" spans="1:5" x14ac:dyDescent="0.25">
      <c r="E779" t="s">
        <v>991</v>
      </c>
    </row>
    <row r="780" spans="1:5" x14ac:dyDescent="0.25">
      <c r="E780" t="s">
        <v>989</v>
      </c>
    </row>
    <row r="781" spans="1:5" x14ac:dyDescent="0.25">
      <c r="E781" t="s">
        <v>986</v>
      </c>
    </row>
    <row r="782" spans="1:5" x14ac:dyDescent="0.25">
      <c r="E782" t="s">
        <v>984</v>
      </c>
    </row>
    <row r="783" spans="1:5" x14ac:dyDescent="0.25">
      <c r="E783" t="s">
        <v>982</v>
      </c>
    </row>
    <row r="784" spans="1:5" x14ac:dyDescent="0.25">
      <c r="E784" t="s">
        <v>391</v>
      </c>
    </row>
    <row r="785" spans="5:5" x14ac:dyDescent="0.25">
      <c r="E785" t="s">
        <v>979</v>
      </c>
    </row>
    <row r="786" spans="5:5" x14ac:dyDescent="0.25">
      <c r="E786" t="s">
        <v>977</v>
      </c>
    </row>
    <row r="787" spans="5:5" x14ac:dyDescent="0.25">
      <c r="E787" t="s">
        <v>974</v>
      </c>
    </row>
    <row r="788" spans="5:5" x14ac:dyDescent="0.25">
      <c r="E788" t="s">
        <v>971</v>
      </c>
    </row>
    <row r="789" spans="5:5" x14ac:dyDescent="0.25">
      <c r="E789" t="s">
        <v>349</v>
      </c>
    </row>
    <row r="790" spans="5:5" x14ac:dyDescent="0.25">
      <c r="E790" t="s">
        <v>968</v>
      </c>
    </row>
    <row r="791" spans="5:5" x14ac:dyDescent="0.25">
      <c r="E791" t="s">
        <v>966</v>
      </c>
    </row>
    <row r="792" spans="5:5" x14ac:dyDescent="0.25">
      <c r="E792" t="s">
        <v>964</v>
      </c>
    </row>
    <row r="793" spans="5:5" x14ac:dyDescent="0.25">
      <c r="E793" t="s">
        <v>962</v>
      </c>
    </row>
    <row r="794" spans="5:5" x14ac:dyDescent="0.25">
      <c r="E794" t="s">
        <v>960</v>
      </c>
    </row>
    <row r="795" spans="5:5" x14ac:dyDescent="0.25">
      <c r="E795" t="s">
        <v>958</v>
      </c>
    </row>
    <row r="796" spans="5:5" x14ac:dyDescent="0.25">
      <c r="E796" t="s">
        <v>956</v>
      </c>
    </row>
    <row r="797" spans="5:5" x14ac:dyDescent="0.25">
      <c r="E797" t="s">
        <v>953</v>
      </c>
    </row>
    <row r="798" spans="5:5" x14ac:dyDescent="0.25">
      <c r="E798" t="s">
        <v>950</v>
      </c>
    </row>
    <row r="799" spans="5:5" x14ac:dyDescent="0.25">
      <c r="E799" t="s">
        <v>948</v>
      </c>
    </row>
    <row r="800" spans="5:5" x14ac:dyDescent="0.25">
      <c r="E800" t="s">
        <v>943</v>
      </c>
    </row>
    <row r="801" spans="1:5" x14ac:dyDescent="0.25">
      <c r="E801" t="s">
        <v>941</v>
      </c>
    </row>
    <row r="802" spans="1:5" x14ac:dyDescent="0.25">
      <c r="E802" t="s">
        <v>939</v>
      </c>
    </row>
    <row r="803" spans="1:5" x14ac:dyDescent="0.25">
      <c r="E803" t="s">
        <v>937</v>
      </c>
    </row>
    <row r="805" spans="1:5" x14ac:dyDescent="0.25">
      <c r="A805" t="s">
        <v>1765</v>
      </c>
      <c r="E805" t="s">
        <v>935</v>
      </c>
    </row>
    <row r="806" spans="1:5" x14ac:dyDescent="0.25">
      <c r="E806" t="s">
        <v>933</v>
      </c>
    </row>
    <row r="807" spans="1:5" x14ac:dyDescent="0.25">
      <c r="E807" t="s">
        <v>930</v>
      </c>
    </row>
    <row r="808" spans="1:5" x14ac:dyDescent="0.25">
      <c r="E808" t="s">
        <v>928</v>
      </c>
    </row>
    <row r="809" spans="1:5" x14ac:dyDescent="0.25">
      <c r="E809" t="s">
        <v>924</v>
      </c>
    </row>
    <row r="810" spans="1:5" x14ac:dyDescent="0.25">
      <c r="E810" t="s">
        <v>922</v>
      </c>
    </row>
    <row r="811" spans="1:5" x14ac:dyDescent="0.25">
      <c r="E811" t="s">
        <v>410</v>
      </c>
    </row>
    <row r="812" spans="1:5" x14ac:dyDescent="0.25">
      <c r="E812" t="s">
        <v>372</v>
      </c>
    </row>
    <row r="813" spans="1:5" x14ac:dyDescent="0.25">
      <c r="E813" t="s">
        <v>362</v>
      </c>
    </row>
    <row r="814" spans="1:5" x14ac:dyDescent="0.25">
      <c r="E814" t="s">
        <v>310</v>
      </c>
    </row>
    <row r="815" spans="1:5" x14ac:dyDescent="0.25">
      <c r="E815" t="s">
        <v>237</v>
      </c>
    </row>
    <row r="817" spans="1:5" x14ac:dyDescent="0.25">
      <c r="A817" t="s">
        <v>1755</v>
      </c>
      <c r="E817" t="s">
        <v>524</v>
      </c>
    </row>
    <row r="818" spans="1:5" x14ac:dyDescent="0.25">
      <c r="E818" t="s">
        <v>513</v>
      </c>
    </row>
    <row r="819" spans="1:5" x14ac:dyDescent="0.25">
      <c r="E819" t="s">
        <v>501</v>
      </c>
    </row>
    <row r="820" spans="1:5" x14ac:dyDescent="0.25">
      <c r="E820" t="s">
        <v>907</v>
      </c>
    </row>
    <row r="821" spans="1:5" x14ac:dyDescent="0.25">
      <c r="E821" t="s">
        <v>479</v>
      </c>
    </row>
    <row r="822" spans="1:5" x14ac:dyDescent="0.25">
      <c r="E822" t="s">
        <v>468</v>
      </c>
    </row>
    <row r="823" spans="1:5" x14ac:dyDescent="0.25">
      <c r="E823" t="s">
        <v>901</v>
      </c>
    </row>
    <row r="824" spans="1:5" x14ac:dyDescent="0.25">
      <c r="E824" t="s">
        <v>899</v>
      </c>
    </row>
    <row r="825" spans="1:5" x14ac:dyDescent="0.25">
      <c r="E825" t="s">
        <v>295</v>
      </c>
    </row>
    <row r="826" spans="1:5" x14ac:dyDescent="0.25">
      <c r="E826" t="s">
        <v>895</v>
      </c>
    </row>
    <row r="827" spans="1:5" x14ac:dyDescent="0.25">
      <c r="E827" t="s">
        <v>219</v>
      </c>
    </row>
    <row r="828" spans="1:5" x14ac:dyDescent="0.25">
      <c r="E828" t="s">
        <v>892</v>
      </c>
    </row>
    <row r="829" spans="1:5" x14ac:dyDescent="0.25">
      <c r="E829" t="s">
        <v>890</v>
      </c>
    </row>
    <row r="830" spans="1:5" x14ac:dyDescent="0.25">
      <c r="E830" t="s">
        <v>888</v>
      </c>
    </row>
    <row r="832" spans="1:5" x14ac:dyDescent="0.25">
      <c r="A832" t="s">
        <v>1756</v>
      </c>
      <c r="E832" t="s">
        <v>549</v>
      </c>
    </row>
    <row r="833" spans="1:5" x14ac:dyDescent="0.25">
      <c r="E833" t="s">
        <v>512</v>
      </c>
    </row>
    <row r="834" spans="1:5" x14ac:dyDescent="0.25">
      <c r="E834" t="s">
        <v>500</v>
      </c>
    </row>
    <row r="835" spans="1:5" x14ac:dyDescent="0.25">
      <c r="E835" t="s">
        <v>879</v>
      </c>
    </row>
    <row r="836" spans="1:5" x14ac:dyDescent="0.25">
      <c r="E836" t="s">
        <v>455</v>
      </c>
    </row>
    <row r="837" spans="1:5" x14ac:dyDescent="0.25">
      <c r="E837" t="s">
        <v>430</v>
      </c>
    </row>
    <row r="838" spans="1:5" x14ac:dyDescent="0.25">
      <c r="E838" t="s">
        <v>393</v>
      </c>
    </row>
    <row r="839" spans="1:5" x14ac:dyDescent="0.25">
      <c r="E839" t="s">
        <v>383</v>
      </c>
    </row>
    <row r="840" spans="1:5" x14ac:dyDescent="0.25">
      <c r="E840" t="s">
        <v>870</v>
      </c>
    </row>
    <row r="841" spans="1:5" x14ac:dyDescent="0.25">
      <c r="E841" t="s">
        <v>867</v>
      </c>
    </row>
    <row r="842" spans="1:5" x14ac:dyDescent="0.25">
      <c r="E842" t="s">
        <v>360</v>
      </c>
    </row>
    <row r="843" spans="1:5" x14ac:dyDescent="0.25">
      <c r="E843" t="s">
        <v>234</v>
      </c>
    </row>
    <row r="844" spans="1:5" x14ac:dyDescent="0.25">
      <c r="E844" t="s">
        <v>218</v>
      </c>
    </row>
    <row r="845" spans="1:5" x14ac:dyDescent="0.25">
      <c r="E845" t="s">
        <v>859</v>
      </c>
    </row>
    <row r="847" spans="1:5" x14ac:dyDescent="0.25">
      <c r="A847" t="s">
        <v>1757</v>
      </c>
      <c r="E847" t="s">
        <v>855</v>
      </c>
    </row>
    <row r="848" spans="1:5" x14ac:dyDescent="0.25">
      <c r="E848" t="s">
        <v>853</v>
      </c>
    </row>
    <row r="849" spans="5:5" x14ac:dyDescent="0.25">
      <c r="E849" t="s">
        <v>523</v>
      </c>
    </row>
    <row r="850" spans="5:5" x14ac:dyDescent="0.25">
      <c r="E850" t="s">
        <v>511</v>
      </c>
    </row>
    <row r="851" spans="5:5" x14ac:dyDescent="0.25">
      <c r="E851" t="s">
        <v>498</v>
      </c>
    </row>
    <row r="852" spans="5:5" x14ac:dyDescent="0.25">
      <c r="E852" t="s">
        <v>490</v>
      </c>
    </row>
    <row r="853" spans="5:5" x14ac:dyDescent="0.25">
      <c r="E853" t="s">
        <v>843</v>
      </c>
    </row>
    <row r="854" spans="5:5" x14ac:dyDescent="0.25">
      <c r="E854" t="s">
        <v>467</v>
      </c>
    </row>
    <row r="855" spans="5:5" x14ac:dyDescent="0.25">
      <c r="E855" t="s">
        <v>454</v>
      </c>
    </row>
    <row r="856" spans="5:5" x14ac:dyDescent="0.25">
      <c r="E856" t="s">
        <v>836</v>
      </c>
    </row>
    <row r="857" spans="5:5" x14ac:dyDescent="0.25">
      <c r="E857" t="s">
        <v>399</v>
      </c>
    </row>
    <row r="858" spans="5:5" x14ac:dyDescent="0.25">
      <c r="E858" t="s">
        <v>830</v>
      </c>
    </row>
    <row r="859" spans="5:5" x14ac:dyDescent="0.25">
      <c r="E859" t="s">
        <v>827</v>
      </c>
    </row>
    <row r="860" spans="5:5" x14ac:dyDescent="0.25">
      <c r="E860" t="s">
        <v>824</v>
      </c>
    </row>
    <row r="861" spans="5:5" x14ac:dyDescent="0.25">
      <c r="E861" t="s">
        <v>820</v>
      </c>
    </row>
    <row r="862" spans="5:5" x14ac:dyDescent="0.25">
      <c r="E862" t="s">
        <v>818</v>
      </c>
    </row>
    <row r="863" spans="5:5" x14ac:dyDescent="0.25">
      <c r="E863" t="s">
        <v>324</v>
      </c>
    </row>
    <row r="864" spans="5:5" x14ac:dyDescent="0.25">
      <c r="E864" t="s">
        <v>309</v>
      </c>
    </row>
    <row r="865" spans="1:5" x14ac:dyDescent="0.25">
      <c r="E865" t="s">
        <v>294</v>
      </c>
    </row>
    <row r="866" spans="1:5" x14ac:dyDescent="0.25">
      <c r="E866" t="s">
        <v>285</v>
      </c>
    </row>
    <row r="867" spans="1:5" x14ac:dyDescent="0.25">
      <c r="E867" t="s">
        <v>279</v>
      </c>
    </row>
    <row r="868" spans="1:5" x14ac:dyDescent="0.25">
      <c r="E868" t="s">
        <v>250</v>
      </c>
    </row>
    <row r="869" spans="1:5" x14ac:dyDescent="0.25">
      <c r="E869" t="s">
        <v>191</v>
      </c>
    </row>
    <row r="870" spans="1:5" x14ac:dyDescent="0.25">
      <c r="E870" t="s">
        <v>181</v>
      </c>
    </row>
    <row r="871" spans="1:5" x14ac:dyDescent="0.25">
      <c r="E871" t="s">
        <v>799</v>
      </c>
    </row>
    <row r="872" spans="1:5" x14ac:dyDescent="0.25">
      <c r="E872" t="s">
        <v>146</v>
      </c>
    </row>
    <row r="874" spans="1:5" x14ac:dyDescent="0.25">
      <c r="A874" t="s">
        <v>1758</v>
      </c>
      <c r="E874" t="s">
        <v>548</v>
      </c>
    </row>
    <row r="875" spans="1:5" x14ac:dyDescent="0.25">
      <c r="E875" t="s">
        <v>535</v>
      </c>
    </row>
    <row r="876" spans="1:5" x14ac:dyDescent="0.25">
      <c r="E876" t="s">
        <v>790</v>
      </c>
    </row>
    <row r="877" spans="1:5" x14ac:dyDescent="0.25">
      <c r="E877" t="s">
        <v>787</v>
      </c>
    </row>
    <row r="878" spans="1:5" x14ac:dyDescent="0.25">
      <c r="E878" t="s">
        <v>785</v>
      </c>
    </row>
    <row r="879" spans="1:5" x14ac:dyDescent="0.25">
      <c r="E879" t="s">
        <v>783</v>
      </c>
    </row>
    <row r="880" spans="1:5" x14ac:dyDescent="0.25">
      <c r="E880" t="s">
        <v>781</v>
      </c>
    </row>
    <row r="881" spans="1:5" x14ac:dyDescent="0.25">
      <c r="E881" t="s">
        <v>370</v>
      </c>
    </row>
    <row r="882" spans="1:5" x14ac:dyDescent="0.25">
      <c r="E882" t="s">
        <v>338</v>
      </c>
    </row>
    <row r="883" spans="1:5" x14ac:dyDescent="0.25">
      <c r="E883" t="s">
        <v>323</v>
      </c>
    </row>
    <row r="884" spans="1:5" x14ac:dyDescent="0.25">
      <c r="E884" t="s">
        <v>768</v>
      </c>
    </row>
    <row r="885" spans="1:5" x14ac:dyDescent="0.25">
      <c r="E885" t="s">
        <v>766</v>
      </c>
    </row>
    <row r="886" spans="1:5" x14ac:dyDescent="0.25">
      <c r="E886" t="s">
        <v>278</v>
      </c>
    </row>
    <row r="887" spans="1:5" x14ac:dyDescent="0.25">
      <c r="E887" t="s">
        <v>264</v>
      </c>
    </row>
    <row r="888" spans="1:5" x14ac:dyDescent="0.25">
      <c r="E888" t="s">
        <v>248</v>
      </c>
    </row>
    <row r="889" spans="1:5" x14ac:dyDescent="0.25">
      <c r="E889" t="s">
        <v>231</v>
      </c>
    </row>
    <row r="890" spans="1:5" x14ac:dyDescent="0.25">
      <c r="E890" t="s">
        <v>758</v>
      </c>
    </row>
    <row r="891" spans="1:5" x14ac:dyDescent="0.25">
      <c r="E891" t="s">
        <v>205</v>
      </c>
    </row>
    <row r="892" spans="1:5" x14ac:dyDescent="0.25">
      <c r="E892" t="s">
        <v>752</v>
      </c>
    </row>
    <row r="893" spans="1:5" x14ac:dyDescent="0.25">
      <c r="E893" t="s">
        <v>747</v>
      </c>
    </row>
    <row r="894" spans="1:5" x14ac:dyDescent="0.25">
      <c r="E894" t="s">
        <v>144</v>
      </c>
    </row>
    <row r="896" spans="1:5" x14ac:dyDescent="0.25">
      <c r="A896" t="s">
        <v>1759</v>
      </c>
      <c r="E896" t="s">
        <v>556</v>
      </c>
    </row>
    <row r="897" spans="5:5" x14ac:dyDescent="0.25">
      <c r="E897" t="s">
        <v>604</v>
      </c>
    </row>
    <row r="898" spans="5:5" x14ac:dyDescent="0.25">
      <c r="E898" t="s">
        <v>525</v>
      </c>
    </row>
    <row r="899" spans="5:5" x14ac:dyDescent="0.25">
      <c r="E899" t="s">
        <v>600</v>
      </c>
    </row>
    <row r="900" spans="5:5" x14ac:dyDescent="0.25">
      <c r="E900" t="s">
        <v>492</v>
      </c>
    </row>
    <row r="901" spans="5:5" x14ac:dyDescent="0.25">
      <c r="E901" t="s">
        <v>555</v>
      </c>
    </row>
    <row r="902" spans="5:5" x14ac:dyDescent="0.25">
      <c r="E902" t="s">
        <v>456</v>
      </c>
    </row>
    <row r="903" spans="5:5" x14ac:dyDescent="0.25">
      <c r="E903" t="s">
        <v>588</v>
      </c>
    </row>
    <row r="904" spans="5:5" x14ac:dyDescent="0.25">
      <c r="E904" t="s">
        <v>554</v>
      </c>
    </row>
    <row r="905" spans="5:5" x14ac:dyDescent="0.25">
      <c r="E905" t="s">
        <v>431</v>
      </c>
    </row>
    <row r="906" spans="5:5" x14ac:dyDescent="0.25">
      <c r="E906" t="s">
        <v>584</v>
      </c>
    </row>
    <row r="907" spans="5:5" x14ac:dyDescent="0.25">
      <c r="E907" t="s">
        <v>582</v>
      </c>
    </row>
    <row r="908" spans="5:5" x14ac:dyDescent="0.25">
      <c r="E908" t="s">
        <v>578</v>
      </c>
    </row>
    <row r="909" spans="5:5" x14ac:dyDescent="0.25">
      <c r="E909" t="s">
        <v>576</v>
      </c>
    </row>
    <row r="910" spans="5:5" x14ac:dyDescent="0.25">
      <c r="E910" t="s">
        <v>553</v>
      </c>
    </row>
    <row r="911" spans="5:5" x14ac:dyDescent="0.25">
      <c r="E911" t="s">
        <v>552</v>
      </c>
    </row>
    <row r="912" spans="5:5" x14ac:dyDescent="0.25">
      <c r="E912" t="s">
        <v>569</v>
      </c>
    </row>
    <row r="913" spans="1:5" x14ac:dyDescent="0.25">
      <c r="E913" t="s">
        <v>238</v>
      </c>
    </row>
    <row r="914" spans="1:5" x14ac:dyDescent="0.25">
      <c r="E914" t="s">
        <v>221</v>
      </c>
    </row>
    <row r="915" spans="1:5" x14ac:dyDescent="0.25">
      <c r="E915" t="s">
        <v>206</v>
      </c>
    </row>
    <row r="916" spans="1:5" x14ac:dyDescent="0.25">
      <c r="E916" t="s">
        <v>561</v>
      </c>
    </row>
    <row r="917" spans="1:5" x14ac:dyDescent="0.25">
      <c r="E917" t="s">
        <v>559</v>
      </c>
    </row>
    <row r="918" spans="1:5" x14ac:dyDescent="0.25">
      <c r="E918" t="s">
        <v>557</v>
      </c>
    </row>
    <row r="920" spans="1:5" x14ac:dyDescent="0.25">
      <c r="A920" t="s">
        <v>1760</v>
      </c>
      <c r="E920" t="s">
        <v>43</v>
      </c>
    </row>
    <row r="921" spans="1:5" x14ac:dyDescent="0.25">
      <c r="E921" t="s">
        <v>540</v>
      </c>
    </row>
    <row r="922" spans="1:5" x14ac:dyDescent="0.25">
      <c r="E922" t="s">
        <v>652</v>
      </c>
    </row>
    <row r="923" spans="1:5" x14ac:dyDescent="0.25">
      <c r="E923" t="s">
        <v>611</v>
      </c>
    </row>
    <row r="924" spans="1:5" x14ac:dyDescent="0.25">
      <c r="E924" t="s">
        <v>433</v>
      </c>
    </row>
    <row r="925" spans="1:5" x14ac:dyDescent="0.25">
      <c r="E925" t="s">
        <v>424</v>
      </c>
    </row>
    <row r="926" spans="1:5" x14ac:dyDescent="0.25">
      <c r="E926" t="s">
        <v>635</v>
      </c>
    </row>
    <row r="927" spans="1:5" x14ac:dyDescent="0.25">
      <c r="E927" t="s">
        <v>297</v>
      </c>
    </row>
    <row r="928" spans="1:5" x14ac:dyDescent="0.25">
      <c r="E928" t="s">
        <v>624</v>
      </c>
    </row>
    <row r="929" spans="1:5" x14ac:dyDescent="0.25">
      <c r="E929" t="s">
        <v>149</v>
      </c>
    </row>
    <row r="931" spans="1:5" x14ac:dyDescent="0.25">
      <c r="A931" t="s">
        <v>1761</v>
      </c>
      <c r="E931" t="s">
        <v>680</v>
      </c>
    </row>
    <row r="932" spans="1:5" x14ac:dyDescent="0.25">
      <c r="E932" t="s">
        <v>677</v>
      </c>
    </row>
    <row r="933" spans="1:5" x14ac:dyDescent="0.25">
      <c r="E933" t="s">
        <v>675</v>
      </c>
    </row>
    <row r="934" spans="1:5" x14ac:dyDescent="0.25">
      <c r="E934" t="s">
        <v>673</v>
      </c>
    </row>
    <row r="935" spans="1:5" x14ac:dyDescent="0.25">
      <c r="E935" t="s">
        <v>671</v>
      </c>
    </row>
    <row r="936" spans="1:5" x14ac:dyDescent="0.25">
      <c r="E936" t="s">
        <v>670</v>
      </c>
    </row>
    <row r="937" spans="1:5" x14ac:dyDescent="0.25">
      <c r="E937" t="s">
        <v>667</v>
      </c>
    </row>
    <row r="938" spans="1:5" x14ac:dyDescent="0.25">
      <c r="E938" t="s">
        <v>663</v>
      </c>
    </row>
    <row r="939" spans="1:5" x14ac:dyDescent="0.25">
      <c r="E939" t="s">
        <v>660</v>
      </c>
    </row>
    <row r="941" spans="1:5" x14ac:dyDescent="0.25">
      <c r="A941" t="s">
        <v>1762</v>
      </c>
      <c r="E941" t="s">
        <v>551</v>
      </c>
    </row>
    <row r="942" spans="1:5" x14ac:dyDescent="0.25">
      <c r="E942" t="s">
        <v>683</v>
      </c>
    </row>
    <row r="943" spans="1:5" x14ac:dyDescent="0.25">
      <c r="E943" t="s">
        <v>493</v>
      </c>
    </row>
    <row r="944" spans="1:5" x14ac:dyDescent="0.25">
      <c r="E944" t="s">
        <v>696</v>
      </c>
    </row>
    <row r="945" spans="1:5" x14ac:dyDescent="0.25">
      <c r="E945" t="s">
        <v>695</v>
      </c>
    </row>
    <row r="946" spans="1:5" x14ac:dyDescent="0.25">
      <c r="E946" t="s">
        <v>458</v>
      </c>
    </row>
    <row r="947" spans="1:5" x14ac:dyDescent="0.25">
      <c r="E947" t="s">
        <v>694</v>
      </c>
    </row>
    <row r="948" spans="1:5" x14ac:dyDescent="0.25">
      <c r="E948" t="s">
        <v>693</v>
      </c>
    </row>
    <row r="949" spans="1:5" x14ac:dyDescent="0.25">
      <c r="E949" t="s">
        <v>692</v>
      </c>
    </row>
    <row r="950" spans="1:5" x14ac:dyDescent="0.25">
      <c r="E950" t="s">
        <v>691</v>
      </c>
    </row>
    <row r="951" spans="1:5" x14ac:dyDescent="0.25">
      <c r="E951" t="s">
        <v>690</v>
      </c>
    </row>
    <row r="952" spans="1:5" x14ac:dyDescent="0.25">
      <c r="E952" t="s">
        <v>329</v>
      </c>
    </row>
    <row r="953" spans="1:5" x14ac:dyDescent="0.25">
      <c r="E953" t="s">
        <v>689</v>
      </c>
    </row>
    <row r="954" spans="1:5" x14ac:dyDescent="0.25">
      <c r="E954" t="s">
        <v>688</v>
      </c>
    </row>
    <row r="955" spans="1:5" x14ac:dyDescent="0.25">
      <c r="E955" t="s">
        <v>687</v>
      </c>
    </row>
    <row r="956" spans="1:5" x14ac:dyDescent="0.25">
      <c r="E956" t="s">
        <v>686</v>
      </c>
    </row>
    <row r="957" spans="1:5" x14ac:dyDescent="0.25">
      <c r="E957" t="s">
        <v>685</v>
      </c>
    </row>
    <row r="958" spans="1:5" x14ac:dyDescent="0.25">
      <c r="E958" t="s">
        <v>684</v>
      </c>
    </row>
    <row r="960" spans="1:5" x14ac:dyDescent="0.25">
      <c r="A960" t="s">
        <v>1763</v>
      </c>
      <c r="E960" t="s">
        <v>742</v>
      </c>
    </row>
    <row r="961" spans="1:5" x14ac:dyDescent="0.25">
      <c r="E961" t="s">
        <v>739</v>
      </c>
    </row>
    <row r="962" spans="1:5" x14ac:dyDescent="0.25">
      <c r="E962" t="s">
        <v>737</v>
      </c>
    </row>
    <row r="963" spans="1:5" x14ac:dyDescent="0.25">
      <c r="E963" t="s">
        <v>733</v>
      </c>
    </row>
    <row r="964" spans="1:5" x14ac:dyDescent="0.25">
      <c r="E964" t="s">
        <v>731</v>
      </c>
    </row>
    <row r="965" spans="1:5" x14ac:dyDescent="0.25">
      <c r="E965" t="s">
        <v>728</v>
      </c>
    </row>
    <row r="966" spans="1:5" x14ac:dyDescent="0.25">
      <c r="E966" t="s">
        <v>726</v>
      </c>
    </row>
    <row r="967" spans="1:5" x14ac:dyDescent="0.25">
      <c r="E967" t="s">
        <v>724</v>
      </c>
    </row>
    <row r="968" spans="1:5" x14ac:dyDescent="0.25">
      <c r="E968" t="s">
        <v>281</v>
      </c>
    </row>
    <row r="969" spans="1:5" x14ac:dyDescent="0.25">
      <c r="E969" t="s">
        <v>720</v>
      </c>
    </row>
    <row r="970" spans="1:5" x14ac:dyDescent="0.25">
      <c r="E970" t="s">
        <v>718</v>
      </c>
    </row>
    <row r="971" spans="1:5" x14ac:dyDescent="0.25">
      <c r="E971" t="s">
        <v>160</v>
      </c>
    </row>
    <row r="973" spans="1:5" x14ac:dyDescent="0.25">
      <c r="A973" t="s">
        <v>1</v>
      </c>
      <c r="B973">
        <v>604534</v>
      </c>
      <c r="C973" t="s">
        <v>136</v>
      </c>
      <c r="E973" t="s">
        <v>3007</v>
      </c>
    </row>
    <row r="974" spans="1:5" x14ac:dyDescent="0.25">
      <c r="A974" t="s">
        <v>1</v>
      </c>
      <c r="B974">
        <v>612395</v>
      </c>
      <c r="C974" t="s">
        <v>136</v>
      </c>
      <c r="E974" t="s">
        <v>3005</v>
      </c>
    </row>
    <row r="975" spans="1:5" x14ac:dyDescent="0.25">
      <c r="A975" t="s">
        <v>1</v>
      </c>
      <c r="B975">
        <v>604205</v>
      </c>
      <c r="C975" t="s">
        <v>136</v>
      </c>
      <c r="E975" t="s">
        <v>3003</v>
      </c>
    </row>
    <row r="976" spans="1:5" x14ac:dyDescent="0.25">
      <c r="A976" t="s">
        <v>1</v>
      </c>
      <c r="B976">
        <v>621731</v>
      </c>
      <c r="C976" t="s">
        <v>397</v>
      </c>
      <c r="E976" t="s">
        <v>3001</v>
      </c>
    </row>
    <row r="977" spans="1:5" x14ac:dyDescent="0.25">
      <c r="A977" t="s">
        <v>1</v>
      </c>
      <c r="B977">
        <v>629763</v>
      </c>
      <c r="C977" t="s">
        <v>397</v>
      </c>
      <c r="E977" t="s">
        <v>2999</v>
      </c>
    </row>
    <row r="978" spans="1:5" x14ac:dyDescent="0.25">
      <c r="A978" t="s">
        <v>1</v>
      </c>
      <c r="B978">
        <v>656176</v>
      </c>
      <c r="C978" t="s">
        <v>136</v>
      </c>
      <c r="E978" t="s">
        <v>2996</v>
      </c>
    </row>
    <row r="979" spans="1:5" x14ac:dyDescent="0.25">
      <c r="A979" t="s">
        <v>1</v>
      </c>
      <c r="B979">
        <v>662781</v>
      </c>
      <c r="C979" t="s">
        <v>397</v>
      </c>
      <c r="E979" t="s">
        <v>2994</v>
      </c>
    </row>
    <row r="980" spans="1:5" x14ac:dyDescent="0.25">
      <c r="A980" t="s">
        <v>1</v>
      </c>
      <c r="B980">
        <v>602212</v>
      </c>
      <c r="C980" t="s">
        <v>397</v>
      </c>
      <c r="E980" t="s">
        <v>2992</v>
      </c>
    </row>
    <row r="981" spans="1:5" x14ac:dyDescent="0.25">
      <c r="A981" t="s">
        <v>1</v>
      </c>
      <c r="B981">
        <v>642651</v>
      </c>
      <c r="C981" t="s">
        <v>68</v>
      </c>
      <c r="E981" t="s">
        <v>2989</v>
      </c>
    </row>
    <row r="982" spans="1:5" x14ac:dyDescent="0.25">
      <c r="A982" t="s">
        <v>1</v>
      </c>
      <c r="B982">
        <v>635943</v>
      </c>
      <c r="C982" t="s">
        <v>332</v>
      </c>
      <c r="E982" t="s">
        <v>2987</v>
      </c>
    </row>
    <row r="983" spans="1:5" x14ac:dyDescent="0.25">
      <c r="A983" t="s">
        <v>1</v>
      </c>
      <c r="B983">
        <v>646733</v>
      </c>
      <c r="C983" t="s">
        <v>44</v>
      </c>
      <c r="E983" t="s">
        <v>2985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Pooling Data Map</vt:lpstr>
      <vt:lpstr>Data</vt:lpstr>
      <vt:lpstr>CleanData</vt:lpstr>
      <vt:lpstr>Paloma Priority</vt:lpstr>
      <vt:lpstr>Aggregated Pooling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Research1</dc:creator>
  <cp:lastModifiedBy>Research1</cp:lastModifiedBy>
  <dcterms:created xsi:type="dcterms:W3CDTF">2017-05-01T19:49:07Z</dcterms:created>
  <dcterms:modified xsi:type="dcterms:W3CDTF">2017-06-21T21:21:11Z</dcterms:modified>
</cp:coreProperties>
</file>